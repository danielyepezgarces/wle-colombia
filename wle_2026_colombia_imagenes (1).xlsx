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ágenes WLE Colombia 2026" sheetId="1" r:id="rId5"/>
    <sheet state="visible" name="resumen" sheetId="2" r:id="rId6"/>
    <sheet state="visible" name="Calc_Data" sheetId="3" r:id="rId7"/>
  </sheets>
  <definedNames/>
  <calcPr/>
</workbook>
</file>

<file path=xl/sharedStrings.xml><?xml version="1.0" encoding="utf-8"?>
<sst xmlns="http://schemas.openxmlformats.org/spreadsheetml/2006/main" count="14336" uniqueCount="4895">
  <si>
    <t>Autor</t>
  </si>
  <si>
    <t>Usuario / Autor</t>
  </si>
  <si>
    <t>Latitud (Y)</t>
  </si>
  <si>
    <t>Longitud (X)</t>
  </si>
  <si>
    <t>Nombre de Archivo</t>
  </si>
  <si>
    <t>Fecha Subida (Hora Colombia COT)</t>
  </si>
  <si>
    <t>Descripción (Español)</t>
  </si>
  <si>
    <t>Ubicación GPS</t>
  </si>
  <si>
    <t>Ver en Mapa</t>
  </si>
  <si>
    <t>Enlace Directo Imagen</t>
  </si>
  <si>
    <t>Página Wikimedia Commons</t>
  </si>
  <si>
    <t>Resumen Wiki Loves Earth 2026</t>
  </si>
  <si>
    <t>Vista Previa</t>
  </si>
  <si>
    <t>(Daptrius chimachima).jpg</t>
  </si>
  <si>
    <t>Daptrius chimachima - Caracara chimachima - caricare sabanero, pigua - halcón rapaz</t>
  </si>
  <si>
    <t>4.513160, -74.537920</t>
  </si>
  <si>
    <t>Abrir Google Maps</t>
  </si>
  <si>
    <t>Abrir Foto Original</t>
  </si>
  <si>
    <t>Ver en Commons</t>
  </si>
  <si>
    <t>(Eryngium humboldtii) Familia Apiaceae.jpg</t>
  </si>
  <si>
    <t>(Eryngium humboldtii) Familia Apiaceae, Cardón</t>
  </si>
  <si>
    <t>4.527990, -73.752840</t>
  </si>
  <si>
    <t>(Hippeastrum).jpg</t>
  </si>
  <si>
    <t>Red Lion - Amaryllis - Amaryllidaceae - Hippeastrum</t>
  </si>
  <si>
    <t>4.384500, -7.403480</t>
  </si>
  <si>
    <t>(Nymphaea lotus) Nymphaeaceae.jpg</t>
  </si>
  <si>
    <t>(Nymphaea lotus) loto blanco Familia Nymphaeaceae Plantae de Colombia</t>
  </si>
  <si>
    <t>3 mosqueteros.jpg</t>
  </si>
  <si>
    <t>Su formacion me traslado a la genialidad de alejandro dumas yo me considere su D'Artagnan</t>
  </si>
  <si>
    <t>Sin coordenadas GPS</t>
  </si>
  <si>
    <t>N/A</t>
  </si>
  <si>
    <t>A la sombra en Nechí.jpg</t>
  </si>
  <si>
    <t>Una finca en Nechí</t>
  </si>
  <si>
    <t>8.072847, -74.785606</t>
  </si>
  <si>
    <t>A male caring for the next generation.jpg</t>
  </si>
  <si>
    <t>In another project: a protagonist measuring only centimeters, yet playing a unique and irreplaceable role.</t>
  </si>
  <si>
    <t>4.708471, -75.648438</t>
  </si>
  <si>
    <t>A story of the victims of Colombia's armed conflict.jpg</t>
  </si>
  <si>
    <t>A second chance for the rainforest. These frogs weren't born for terrariums or to cross borders smuggled in a suitcase. They were born to fulfill an irreplaceable role in Colombia's forests.</t>
  </si>
  <si>
    <t>7.189779, -76.447289</t>
  </si>
  <si>
    <t>A tropical milipede, family Rhinocricidae, Tayrona National Park, 2025.jpg</t>
  </si>
  <si>
    <t>A tropical millipede, likely from the family Rhinocricidae, resting on a lichen-covered tree trunk. The spiral posture is a typical defensive behavior to protect its head and underbelly, while its bright coloration warns potential predators.</t>
  </si>
  <si>
    <t>Abeja, Halictidae alimentandose.jpg</t>
  </si>
  <si>
    <t>Abeja perteneciente a la familia Halictidae, alimentándose, se puede observar su aparato bucal especializado, foto tomado en la zona rural del municipio de Chía, Cundinamarca.</t>
  </si>
  <si>
    <t>4.873370, -74.082910</t>
  </si>
  <si>
    <t>Abeja Halictidae sobre flor.jpg</t>
  </si>
  <si>
    <t>Individuo de Halictidae sobre una flor de Hypericum juniperinum, se puede apreciar como carga el polen en sus extremidades.</t>
  </si>
  <si>
    <t>Abeja Thygater sp.jpg</t>
  </si>
  <si>
    <t>Abeja solitaria del genero thygater es una especie nativa de colombia que suele anidar en el suelo, en la imagen podemos observarla polinizando una Salvia carnea</t>
  </si>
  <si>
    <t>4.741302, -73.909282</t>
  </si>
  <si>
    <t>Abeja melipona (57935).jpg</t>
  </si>
  <si>
    <t>Abeja melipona</t>
  </si>
  <si>
    <t>4.334470, -75.847580</t>
  </si>
  <si>
    <t>Abeja melipona cafetera.jpg</t>
  </si>
  <si>
    <t>Abeja melipona cafetera</t>
  </si>
  <si>
    <t>4.332538, -75.819356</t>
  </si>
  <si>
    <t>Abeja polinizando una flor de Excremis sp.jpg</t>
  </si>
  <si>
    <t>Abeja corbiculada, poliniza una flor de Excremis sp. Chía Cundinamarca.</t>
  </si>
  <si>
    <t>4.872412, -74.084590</t>
  </si>
  <si>
    <t>Abeja sobre flor de Praxelis.jpg</t>
  </si>
  <si>
    <t>Individuo de la super familia Apoidea. Aproximadamente de 6 milímetros de longitud.</t>
  </si>
  <si>
    <t>4.874161, -74.085107</t>
  </si>
  <si>
    <t>Abeja sobre flor de Praxelis sp.jpg</t>
  </si>
  <si>
    <t>Abejas angelitas trabajadoras.jpg</t>
  </si>
  <si>
    <t>Grupo de abejas angelitas en su nido.</t>
  </si>
  <si>
    <t>Abejas meliponas angelitas.jpg</t>
  </si>
  <si>
    <t>Abejas meliponas angelitas</t>
  </si>
  <si>
    <t>4.335498, -75.832438</t>
  </si>
  <si>
    <t>Abejas sobre flores de chia.jpg</t>
  </si>
  <si>
    <t>Bees on chia flowers</t>
  </si>
  <si>
    <t>Abejorro Bombus sp.jpg</t>
  </si>
  <si>
    <t>Abejorro del genero Bombus, especie de abejas nativa colombiana</t>
  </si>
  <si>
    <t>4.728480, -73.919332</t>
  </si>
  <si>
    <t>Abracris flavolineata - Barrancabermeja, Santander, Colombia - 29 Jun 2026 - Diferoch.jpg</t>
  </si>
  <si>
    <t>Adult individual of Abracris flavolineata observed in Barrancabermeja, Santander, Colombia.</t>
  </si>
  <si>
    <t>7.084860, -73.863838</t>
  </si>
  <si>
    <t>Abrazo pedemontano de manonegra.jpg</t>
  </si>
  <si>
    <t>Pair of Dendropsophus manonegra in amplexus on vegetation in the Amazonian foothills. This reproductive behavior is essential for the species' survival, with the male clasping the female during the external fertilization of the eggs.</t>
  </si>
  <si>
    <t>1.660750, -75.600525</t>
  </si>
  <si>
    <t>Abutilón o farolito japonés (Callianthe picta).jpg</t>
  </si>
  <si>
    <t>Callianthe picta</t>
  </si>
  <si>
    <t>Total</t>
  </si>
  <si>
    <t>Acantilado de los Farallones de Sutatausa con vista al valle.jpg</t>
  </si>
  <si>
    <t>Composición en primer plano del perfil texturizado, angular y escarpado de una sección de la roca en Sutatausa, donde se aprecian plantas rupícolas integradas a la piedra. Al fondo, se abre la perspectiva hacia el amplio paisaje montañoso del valle andino bajo un cielo cubierto.</t>
  </si>
  <si>
    <t>Acantilados y bosque de niebla en el cañón del Tequendama.jpg</t>
  </si>
  <si>
    <t>Fotografía de paisaje que resalta la geología del cañón del Salto del Tequendama, mostrando en primer plano la textura y estratificación de una enorme pared de roca vertical. Al fondo, la densa vegetación del bosque andino y franjas de niebla cubren las laderas de la montaña.</t>
  </si>
  <si>
    <t>4.580683, -74.297505</t>
  </si>
  <si>
    <t>Acanto - oreja de oso (Acanthus mollis).jpg</t>
  </si>
  <si>
    <t>Bear's ear acanthus (Acanthus mollis)</t>
  </si>
  <si>
    <t>Achira amarilla (Canna indica).jpg</t>
  </si>
  <si>
    <t>planta perenne tropical que puede crecer entre 1 y 2 metros de altura</t>
  </si>
  <si>
    <t>Acromyrmex ant.jpg</t>
  </si>
  <si>
    <t>Hormiga cortadora hembra</t>
  </si>
  <si>
    <t>Acróbatas del río Magdalena.jpg</t>
  </si>
  <si>
    <t>Joven acróbata en el río Magdalena , Mopox</t>
  </si>
  <si>
    <t>Actitis macularius - Cimitarra, Santander, Colombia - 30 Sep 2025 - Diferoch.jpg</t>
  </si>
  <si>
    <t>Individual of Actitis macularius observed in Cimitarra, Santander, Colombia.</t>
  </si>
  <si>
    <t>6.717535, -74.134963</t>
  </si>
  <si>
    <t>Actitis macularius - Nuquí, Chocó, Colombia - 23 Oct 2025 - Diferoch.jpg</t>
  </si>
  <si>
    <t>Individual of Actitis macularius observed in the coastal zone (Pacific Ocean) of Nuquí, Chocó, Colombia.</t>
  </si>
  <si>
    <t>5.624638, -77.419563</t>
  </si>
  <si>
    <t>Aechmea fasciata (Lindl.) Baker.png</t>
  </si>
  <si>
    <t>Aechmea fasciata (Lindl.) Baker</t>
  </si>
  <si>
    <t>4.667750, -74.099944</t>
  </si>
  <si>
    <t>Agave (Asparagaceae).jpg</t>
  </si>
  <si>
    <t>Agave of the Asparagaceae family.</t>
  </si>
  <si>
    <t>Agesander ruficornis. Acrididae.jpg</t>
  </si>
  <si>
    <t>Un individuo bastante grande y colorido, podría tratarse de una muestra de colores aposenticos.</t>
  </si>
  <si>
    <t>4.872513, -74.083813</t>
  </si>
  <si>
    <t>Agriacris sp. observado en Medina, COL.jpg</t>
  </si>
  <si>
    <t>Photo of Agriacris sp. taken in the rural area of the municipality of Medina, Cundinamarca, Colombia.</t>
  </si>
  <si>
    <t>4.546453, -73.320351</t>
  </si>
  <si>
    <t>Agriacris sp. observado en Medina, Colombia.jpg</t>
  </si>
  <si>
    <t>Aguas bajo el puente.jpg</t>
  </si>
  <si>
    <t>Quebrada El Carmen, vista parcial, aguas contaminadas, toma desde un puente, Medellín, Colombia</t>
  </si>
  <si>
    <t>Aguila Real de Montaña.jpg</t>
  </si>
  <si>
    <t>Gaze of a mountain golden eagle</t>
  </si>
  <si>
    <t>Ala de sable Lazulita.jpg</t>
  </si>
  <si>
    <t>Foto de Colibrí hembra Ala-de-sable Lazulita (Lazuline Sabrewing/Campylopterus falcatus)</t>
  </si>
  <si>
    <t>Alegría de la casa, Belenes o Miramelindos (Impatiens).jpg</t>
  </si>
  <si>
    <t>Belenes or Miramelindos (Impatiens)</t>
  </si>
  <si>
    <t>Algodon1.jpg</t>
  </si>
  <si>
    <t>Planta de algodón en el Jardín Botánico de Bogotá</t>
  </si>
  <si>
    <t>Algodón.jpg</t>
  </si>
  <si>
    <t>Aljaba (Fuchsia magellanica).jpg</t>
  </si>
  <si>
    <t>Queen's Earrings - Quiver (Fuchsia magellanica)</t>
  </si>
  <si>
    <t>Altiplano cundiboyacense.jpg</t>
  </si>
  <si>
    <t>Sabana de Bogotá</t>
  </si>
  <si>
    <t>Alto del águila (Chia).jpg</t>
  </si>
  <si>
    <t>Chía shrouded in fog, viewed from the Eagle's Nest.</t>
  </si>
  <si>
    <t>4.85912511, -74.08304594</t>
  </si>
  <si>
    <t>Altos de Chingaza - PNN Chingaza.jpg</t>
  </si>
  <si>
    <t>Serrania de los órganos</t>
  </si>
  <si>
    <t>Amanecer Nevado Cocuy 01.jpg</t>
  </si>
  <si>
    <t>La toma captura un sendero de páramo salpicado de rocas claras y vegetación baja, abriéndose paso hacia una majestuosa cumbre montañosa bajo un cielo azul despejado.</t>
  </si>
  <si>
    <t>Amanecer con vistas al Pico Cristóbal Colón und Pico Simón Bolívar en la Sierra Nevada de Santa Marta, Departamento de Magdalena, Colombia.jpg</t>
  </si>
  <si>
    <t>Una panorámica despejada hacia las cumbres nevadas del Pico Cristóbal Colón y el Pico Simón Bolívar, elevándose majestuosamente a pocos kilómetros del mar Caribe.</t>
  </si>
  <si>
    <t>Amanecer del Río Cauca.jpg</t>
  </si>
  <si>
    <t>Esta foto fue tomada en Marsella Risaralda, vereda Las Tazas y muestra el amanecer en el que el río Cauca está cubierto por una gran niebla</t>
  </si>
  <si>
    <t>Amanecer Nevado Cocuy 03.jpg</t>
  </si>
  <si>
    <t>Desde un mirador con baranda de madera, se contempla la inmensidad de un valle de páramo rodeado por imponentes formaciones rocosas iluminadas por la luz del día bajo un cielo texturizado de nubes.</t>
  </si>
  <si>
    <t>Amanecer Nevado Cocuy 04.jpg</t>
  </si>
  <si>
    <t>Una toma amplia desde la altura revela la profundidad de un valle de páramo rodeado por escarpadas laderas rocosas bajo un cielo azul con nubes ligeras.</t>
  </si>
  <si>
    <t>Amanecer Nevado Cocuy 05.jpg</t>
  </si>
  <si>
    <t>Un sendero de piedra desciende hacia una pequeña cabaña de madera rústica asentada en la ladera de una montaña, rodeada de vegetación baja y un pino solitario.</t>
  </si>
  <si>
    <t>Amanecer Nevado Cocuy 06.jpg</t>
  </si>
  <si>
    <t>El sendero de alta montaña avanza entre rocas y frailejones, flanqueado por una imponente pared de piedra con estratos visibles bajo un cielo azul despejado.</t>
  </si>
  <si>
    <t>Amanecer Nevado Cocuy 07.jpg</t>
  </si>
  <si>
    <t>Un gran letrero informativo del Parque Nacional Natural El Cocuy marca el inicio del Sendero del Cambio Climático, con el majestuoso paisaje de páramo y las cumbres rocosas recortándose al fondo.</t>
  </si>
  <si>
    <t>Amanecer Nevado Cocuy 09.jpg</t>
  </si>
  <si>
    <t>Unas delgadas ramas secas en primer plano contrastan con la vista de un profundo valle montañoso cubierto de densa vegetación baja bajo un cielo azul con nubes dispersas.</t>
  </si>
  <si>
    <t>Amanita muscaria en Cuìtiva Boyacà.jpg</t>
  </si>
  <si>
    <t>Amanita muscaria en una superficie rocosa en Cuítiva Boyacá</t>
  </si>
  <si>
    <t>Amanita muscaria in a conifer.jpg</t>
  </si>
  <si>
    <t>Amanita muscaria in a conifer near Santa Elena, Antioquia - Colombia.</t>
  </si>
  <si>
    <t>Amarilis en Bogotá.jpg</t>
  </si>
  <si>
    <t>Amarilis en Bogotá</t>
  </si>
  <si>
    <t>Amarillapollitohuila 11.jpg</t>
  </si>
  <si>
    <t>Flores huila</t>
  </si>
  <si>
    <t>Amarillashuila 10.jpg</t>
  </si>
  <si>
    <t>Amarylia.jpg</t>
  </si>
  <si>
    <t>Amarylia</t>
  </si>
  <si>
    <t>4.967142, -74.264842</t>
  </si>
  <si>
    <t>Amarylia (37161).jpg</t>
  </si>
  <si>
    <t>4.968985, -74.266381</t>
  </si>
  <si>
    <t>Amazilia Colirrufo.jpg</t>
  </si>
  <si>
    <t>Captura realizada en la reserva natural Tinamú Birding, cerca a Manizales, en el Departamento de Caldas, Colombia</t>
  </si>
  <si>
    <t>Amazilia Ventricastaña Macho.jpg</t>
  </si>
  <si>
    <t>Foto de un colibrí macho de Amazilia Ventricastaña (Saucerottia castaneiventris), visto en el Cañon del Chicamocha</t>
  </si>
  <si>
    <t>Amazilia Ventricastaña hembra.jpg</t>
  </si>
  <si>
    <t>Foro de una hembra de Amazilia Ventricastaña (Saucerottia castaneiventris), en el Socorro, Santander, Colombia</t>
  </si>
  <si>
    <t>Amazilia tzacatl jucunda - Nuquí, Chocó, Colombia - 23 Oct 2025 - Diferoch.jpg</t>
  </si>
  <si>
    <t>Individual of CAmazilia tzacatl jucunda observed in Nuquí, Chocó, Colombia.</t>
  </si>
  <si>
    <t>5.606058, -77.441795</t>
  </si>
  <si>
    <t>Ameiva bifrontata - Santa Marta, Magdalena, Colombia - 24 Jun 2025 - Diferoch.jpg</t>
  </si>
  <si>
    <t>Individual of Ameiva bifrontata observed in Santa Marta, Magdalena, Colombia.</t>
  </si>
  <si>
    <t>11.132707, -74.228905</t>
  </si>
  <si>
    <t>Amor frugivoro nocturno - PNN Cueva de los Guacharos (PRIMER PLANO).jpg</t>
  </si>
  <si>
    <t>Guacharo / Ave nativa del norte de suramerica.</t>
  </si>
  <si>
    <t>1.615202, -76.102569</t>
  </si>
  <si>
    <t>Amor por la vida y bienestar de las especies.jpg</t>
  </si>
  <si>
    <t>Parque reserva panaca</t>
  </si>
  <si>
    <t>Amplexo de Boana pugnax.jpg</t>
  </si>
  <si>
    <t>Macroscopic detail of cephalic amplexus in the species *Boana pugnax*; individuals clasping a stem in a vertical position at the Los Monos Agroecological Reserve, Rio Claro, Antioquia.</t>
  </si>
  <si>
    <t>5.862240, -74.870470</t>
  </si>
  <si>
    <t>Amplexus of Leptodactylus savagei - Cimitarra, Santander, Colombia - 03 Oct 2025 - Diferoch.jpg</t>
  </si>
  <si>
    <t>2 adults of Leptodactylus savagei in amplexus observed in Cimitarra, Santander, Colombia.</t>
  </si>
  <si>
    <t>6.701142, -74.152047</t>
  </si>
  <si>
    <t>Anacardium excelsum, Caracolí, in Tayrona National Park, Caribbean region, tropical dry forest, Colombia - 2025.jpg</t>
  </si>
  <si>
    <t>A view looking up into the expansive branch system and dense green foliage of a mature caracolí tree, surrounded by understory vegetation and palm fronds in the coastal rainforest ecosystem of Magdelena department.</t>
  </si>
  <si>
    <t>Anaconda (Eunectes murinus) PNN Cahuinari.jpg</t>
  </si>
  <si>
    <t>Anaconda (Eunectes murinus) _ Cahuinari National Natural Park</t>
  </si>
  <si>
    <t>Anaconda verde (Eunectes murinus) de Casanare, Colombia.jpg</t>
  </si>
  <si>
    <t>Anaconda verde (Eunectes murinus) desplazándose en un ecosistema de humedal en Casanare.</t>
  </si>
  <si>
    <t>Anaconda verde (Eunectes murinus) en Casanare, Colombia.jpg</t>
  </si>
  <si>
    <t>Anaconda verde (Eunectes murinus) fotografiada en Casanare, Colombia. El individuo observa directamente hacia la cámara, permitiendo apreciar algunos de los rasgos característicos de la especie. La anaconda verde es una serpiente semiacuática ampliamente distribuida en las tierras bajas tropicales de Sudamérica y se encuentra estrechamente asociada a ambientes de agua dulce y zonas inundables.</t>
  </si>
  <si>
    <t>Anaconda verde (Eunectes murinus) fotografiada en Casanare, Colombia.jpg</t>
  </si>
  <si>
    <t>Anaconda verde (Eunectes murinus) en ambiente natural de humedales en Casanare.</t>
  </si>
  <si>
    <t>Anacridium 2026-06-26.jpg</t>
  </si>
  <si>
    <t>The insect in the picture belongs to the genus Anacridium (commonly known as the Egyptian grasshopper or Egyptian locust)</t>
  </si>
  <si>
    <t>Ananas comosus Bogotá.jpg</t>
  </si>
  <si>
    <t>Fruto en sus etapas de maduración</t>
  </si>
  <si>
    <t>4.668289, -74.097017</t>
  </si>
  <si>
    <t>Anartia Amathea - Pavo real rojo.jpg</t>
  </si>
  <si>
    <t>It is a species from the Nymphalidae family, characteristic of South America.It is distinguished by its vibrant colors, featuring a pattern of red, brown, and white.The larvae feed on plants such as Ruellia tuberosa, also known as the minnieroot.</t>
  </si>
  <si>
    <t>Andean cock-of-the-rock (Rupicola peruvianus) Antioquia 4.jpg</t>
  </si>
  <si>
    <t>Andean cock-of-the-rock ( Rupicola peruvianus ), Antioquia, Colombia</t>
  </si>
  <si>
    <t>Andes mountains in Murillo (Montañas de los Andes en Murillo).jpg</t>
  </si>
  <si>
    <t>The Andes mountains as viewed from the Murillo municipality, in the Tolima department</t>
  </si>
  <si>
    <t>Andes mountains in the Huila department (Montañas de los Andes en el departamento del Huila).jpg</t>
  </si>
  <si>
    <t>Panoramic view of the Andes Central ridge as seen from a mountain peak in the Huila department</t>
  </si>
  <si>
    <t>Andicolea colombiana.jpg</t>
  </si>
  <si>
    <t>Plantas de superpáramo</t>
  </si>
  <si>
    <t>Anfibios de la Isla Gorgona.jpg</t>
  </si>
  <si>
    <t>Individual of Epipedobates currulao perched on the wet forest substrate on Gorgona Island.</t>
  </si>
  <si>
    <t>2.938272, -78.202501</t>
  </si>
  <si>
    <t>Anhinga Americana - Pato aguja americano - pájaro serpiente americano.jpg</t>
  </si>
  <si>
    <t>Anhinga Americana - Pato aguja americano - Anhinga</t>
  </si>
  <si>
    <t>Anhinga anhinga anhinga - Cimitarra, Santander, Colombia - 2 Oct 2025 - Diferoch.jpg</t>
  </si>
  <si>
    <t>Inidividual of Anhinga anhinga anhinga observed in San Juan River in Cimitarra, Santander, Colombia</t>
  </si>
  <si>
    <t>6.714175, -74.140693</t>
  </si>
  <si>
    <t>Animales en armonía.jpg</t>
  </si>
  <si>
    <t>En la institucion llegan animales que conviven en el medio urbano y otros que son llevados por pacientes y cuidadores</t>
  </si>
  <si>
    <t>10.425000, -75.540278</t>
  </si>
  <si>
    <t>Anisoptera - Barrancabermeja, Santander, Colombia - 20 Jul 2025 - Diferoch.jpg</t>
  </si>
  <si>
    <t>Adult of unidentified Anisoptera observed in Barrancabermeja, Santander, Colombia.</t>
  </si>
  <si>
    <t>7.096398, -73.756278</t>
  </si>
  <si>
    <t>Anisoptera - Barrancabermeja, Santander, Colombia - 2 Jun 2025.jpg</t>
  </si>
  <si>
    <t>Anisoptera of unidentified species observed in Barrancabermeja, Santander, Colombia.</t>
  </si>
  <si>
    <t>7.085099, -73.864105</t>
  </si>
  <si>
    <t>Anisoptera - Barrancabermeja, Santander, Colombia - 31 Dec 2025 - Diferoch - 1.jpg</t>
  </si>
  <si>
    <t>7.084832, -73.863968</t>
  </si>
  <si>
    <t>Anisoptera - Barrancabermeja, Santander, Colombia - 31 Dec 2025 - Diferoch - 2.jpg</t>
  </si>
  <si>
    <t>7.084830, -73.863968</t>
  </si>
  <si>
    <t>Anolis heterodermus camuflado.jpg</t>
  </si>
  <si>
    <t>Individuo observado al lado de la carretera, totalmente inmóvil camuflado por varias ramas y capas de hojas. Chía, Cundinamarca.</t>
  </si>
  <si>
    <t>4.897689, -74.082070</t>
  </si>
  <si>
    <t>Anolis solitario.jpg</t>
  </si>
  <si>
    <t>An endemic individual of Anolis solitarius perched on a musaceae leaf in a montane forest of the Sierra Nevada de Santa Marta at 1800 m a.s.l., camouflaged among the humid understory vegetation.</t>
  </si>
  <si>
    <t>10.857000, -73.722000</t>
  </si>
  <si>
    <t>Anolis solitario 01.jpg</t>
  </si>
  <si>
    <t>Anolis sulcifrons.jpg</t>
  </si>
  <si>
    <t>Colombia tiene una gran diversidad en el genero anolis, y nunca dejan de sorprender en la imagen se observa un A. sulcifrons especie endémica de Colombia la cuál se encuentra en un estado de conservación IUCN casi amenazado.</t>
  </si>
  <si>
    <t>4.564131, -74.526377</t>
  </si>
  <si>
    <t>Antes del salto.jpg</t>
  </si>
  <si>
    <t>La mirada bajo un saltamontes en reposo, perteneciente al género Bogotacris, fue observado en un sendero del Ecoparque Mirador de Choachí, Cundinamarca (Colombia). Este ortóptero descansa sobre una hoja, momentos antes de preparar su próximo salto, donde se camuflara en el verde del pasto y del musgo de las montañas.</t>
  </si>
  <si>
    <t>4.527500, -73.925700</t>
  </si>
  <si>
    <t>Anthurium veitchii-King Anthurium.jpg</t>
  </si>
  <si>
    <t>The King Anthurium - a majestic epiphytic aroid from Andean cloud forests of Colombia</t>
  </si>
  <si>
    <t>4.668211, -74.100198</t>
  </si>
  <si>
    <t>Anthurium veitchil.jpg</t>
  </si>
  <si>
    <t>Anthurium rey</t>
  </si>
  <si>
    <t>4.668601, -74.097017</t>
  </si>
  <si>
    <t>Anturio-Anthurium andraeanum 27 de abril 2026.jpg</t>
  </si>
  <si>
    <t>Anturio-Anthurium andraeanum</t>
  </si>
  <si>
    <t>ARAÑA TIGRE(ARGIOPE ARGENTATA).jpg</t>
  </si>
  <si>
    <t>Esta colorida araña pertenece a la familia Araneidae, se caracteriza por su patrón de coloración entre amarillo y negro que le confiere el nombre común de Araña tigre, además de esto el prosoma tiene un color que va de blanquecino a plateado y posee ocho ojos simples.</t>
  </si>
  <si>
    <t>Anuncio de lluvia.jpg</t>
  </si>
  <si>
    <t>8.070528, -74.789983</t>
  </si>
  <si>
    <t>Aphelandra sinclairiana-Panama Queen.jpg</t>
  </si>
  <si>
    <t>Aphelandra sinclairiana,coral aphelandra, orange shrimp plant, Panama queen,Sinclair's aphelandra</t>
  </si>
  <si>
    <t>Apis mellifera - Bogotá D. C., Colombia - 23 Aug 2025 - Diferoch.jpg</t>
  </si>
  <si>
    <t>Adult of Apis mellifera observed in the campus of Universidad de los Andes in Bogotá D. C., Colombia.</t>
  </si>
  <si>
    <t>4.599825, -74.063408</t>
  </si>
  <si>
    <t>Apis mellifera alimentándose.jpg</t>
  </si>
  <si>
    <t>Individuo de Apis mellifera alimentandose,. Fotografía tomada en Chía, Cundinamarca, zona de montaña.</t>
  </si>
  <si>
    <t>4.871020, -74.085761</t>
  </si>
  <si>
    <t>Apis mellifera in flight approaching flower.jpg</t>
  </si>
  <si>
    <t>Apis mellifera in flight approaching a flower, photographed in a home garden in Cali, Colombia.</t>
  </si>
  <si>
    <t>Apis mellifera sobre flor.jpg</t>
  </si>
  <si>
    <t>Individuo de Apis mellifera alimentandose de néctar. Fotografía tomada en Chía, Cundinamarca, zona de montaña.</t>
  </si>
  <si>
    <t>Aquarius Palifolius.jpg</t>
  </si>
  <si>
    <t>Planta Jardín Botánico de Bogotá</t>
  </si>
  <si>
    <t>Aquarius Palifolius detalle.jpg</t>
  </si>
  <si>
    <t>Foto tropicario Jardín Botánico Bogotá</t>
  </si>
  <si>
    <t>4.668038, -74.099624</t>
  </si>
  <si>
    <t>Aragoa abietina (con un saltamontes).jpg</t>
  </si>
  <si>
    <t>Aragoa abietina (con un saltamontes), pinito de flor, arbusto</t>
  </si>
  <si>
    <t>Araneae - Bogotá D. C., Colombia - 10 Nov 2025 - Diferoch.jpg</t>
  </si>
  <si>
    <t>Individual of unidentified Araneae and its burrow observed in the campus of Universidad de los Andes in Bogotá D. C., Colombia.</t>
  </si>
  <si>
    <t>4.600772, -74.066122</t>
  </si>
  <si>
    <t>Araña Paipa.jpg</t>
  </si>
  <si>
    <t>Spider_Paipa</t>
  </si>
  <si>
    <t>5.780000, -73.117500</t>
  </si>
  <si>
    <t>Araña Salticidae en posición previa al salto.jpg</t>
  </si>
  <si>
    <t>Araña macho de Salticidae, momento previo al salto, se puede apreciar la seda que usan como línea de seguridad al rededor de la hoja donde esta posada.</t>
  </si>
  <si>
    <t>Araña Salticidae trepando sobre una hoja.jpg</t>
  </si>
  <si>
    <t>Individuo macho de araña Salticidae, destacan sus prominentes quelíceros</t>
  </si>
  <si>
    <t>Araña cangrejo.jpg</t>
  </si>
  <si>
    <t>trancicion a color</t>
  </si>
  <si>
    <t>Araña cangrejo de las flores.jpg</t>
  </si>
  <si>
    <t>depredador</t>
  </si>
  <si>
    <t>Araña en vegetación.jpg</t>
  </si>
  <si>
    <t>Araña en vegetación</t>
  </si>
  <si>
    <t>Araña patona.jpg</t>
  </si>
  <si>
    <t>Araña patona, Pholcus phalangioides, Peña Negra, Cachipay, Cundinamarca, Colombia, 2025.</t>
  </si>
  <si>
    <t>Araña tejedora del huerto.jpg</t>
  </si>
  <si>
    <t>Leucage venusta</t>
  </si>
  <si>
    <t>4.969301, -74.321680</t>
  </si>
  <si>
    <t>Araña tigre, Guaviare, Colombia.jpg</t>
  </si>
  <si>
    <t>Tiger spider or Argiope argentata. Photo taken in Laguna Negra, Guaviare, Colombia.</t>
  </si>
  <si>
    <t>2.569947, -72.697547</t>
  </si>
  <si>
    <t>Araña verde en un amanecer.png</t>
  </si>
  <si>
    <t>Buenos días ciénaga voy con todo otra vez</t>
  </si>
  <si>
    <t>Arbol Ciudad de piedra Guaviares.jpg</t>
  </si>
  <si>
    <t>Arbol Ciudad de piedra Guaviare</t>
  </si>
  <si>
    <t>Arbol a contraluz.jpg</t>
  </si>
  <si>
    <t>Arbol a contraluz con paisaje semiurbano con hierba en el subsuelo y con una tienda en una esquina.</t>
  </si>
  <si>
    <t>Arbol de Mango en Cartagena.jpg</t>
  </si>
  <si>
    <t>Arbol de Mango en Cartagena</t>
  </si>
  <si>
    <t>10.406944, -75.465000</t>
  </si>
  <si>
    <t>Arboloco bogotano (Polymnia pyramidalis) - húmedal Santa María del Lago, Bogotá, Colombia.jpg</t>
  </si>
  <si>
    <t>En el húmedal Santa María del Lago en Bogotá, Colombia, se puede encontrar un pequeño parche de estos árboles, cuyo arreglo peculiar de la distribución de sus ramas hace alusión a su nombre común "arboloco".</t>
  </si>
  <si>
    <t>Arbusto Volcán en Nuquí, Chocó 2025.jpg</t>
  </si>
  <si>
    <t>Arbusto Volcán en Nuquí, Chocó</t>
  </si>
  <si>
    <t>Arbusto de Photinia (Rosaceae).jpg</t>
  </si>
  <si>
    <t>Photinia Shrub (Rosaceae).</t>
  </si>
  <si>
    <t>Arcoiris, Bogotá, Colombia.jpg</t>
  </si>
  <si>
    <t>arcoiris en atardecer Bogotano</t>
  </si>
  <si>
    <t>Arcoiris con paisaje.jpg</t>
  </si>
  <si>
    <t>Lindo amanecer en la ciudad de villavicencio acompañado con arcoiris</t>
  </si>
  <si>
    <t>Arcoíris en Monserrate.jpg</t>
  </si>
  <si>
    <t>Rainbow visible through clouds over the landscape of Monserrat, Colombia</t>
  </si>
  <si>
    <t>4.605830, -74.056390</t>
  </si>
  <si>
    <t>Ardea alba egretta - Nuquí, Chocó, Colombia - 24 Oct 2025 - Diferoch.jpg</t>
  </si>
  <si>
    <t>Individual of Ardea alba egretta observed in Nuquí, Chocó, Colombia.</t>
  </si>
  <si>
    <t>5.705420, -77.269532</t>
  </si>
  <si>
    <t>Ardea cocoi - Cimitarra, Santander, Colombia - 30 Sep 2025 - Diferoch - 1.jpg</t>
  </si>
  <si>
    <t>Adult of Ardea cocoi observed on the riverbank of Carare River in Cimitarra, Santander, Colombia.</t>
  </si>
  <si>
    <t>6.740643, -74.113625</t>
  </si>
  <si>
    <t>Ardea cocoi - Cimitarra, Santander, Colombia - 30 Sep 2025 - Diferoch - 2.jpg</t>
  </si>
  <si>
    <t>Adult of Ardea cocoi observed on the riverbank of San Juan River in Cimitarra, Santander, Colombia.</t>
  </si>
  <si>
    <t>6.735480, -74.121475</t>
  </si>
  <si>
    <t>Aretillos 20260529 093138.jpg</t>
  </si>
  <si>
    <t>Planta conocida con el nombre de fucsia, aretillos o aljaba. Tiene hermosas flores colgantes de vivos colores, perfectas para atraer mariposas y colibríes</t>
  </si>
  <si>
    <t>Argiope Argentata spider with its prey (Araña Argiope Argentata con su presa).jpg</t>
  </si>
  <si>
    <t>An Argiope Argentata spider getting ready to eat its prey, in the city of Ibagué, Tolima</t>
  </si>
  <si>
    <t>Arid rock face with Spanish moss (Tillandsia usneoides) near Villa de Leyva, 2026.jpg</t>
  </si>
  <si>
    <t>A steep sedimentary rock formation in the semi-arid microclimate of Boyacá department, heavily colonized by the epiphytic bromeliad Tillandsia usneoides and drought-resistant xerophytic vegetation.</t>
  </si>
  <si>
    <t>Aristolochia en flor.jpg</t>
  </si>
  <si>
    <t>Aristolochia sp. cultivada en el torpicario del Jardín Botánico de Bogotá</t>
  </si>
  <si>
    <t>4.667722, -74.100206</t>
  </si>
  <si>
    <t>Aristolochia gigantea "Calico flower".jpg</t>
  </si>
  <si>
    <t>Aristolochia gigantea commonly known as the "Calico flower," "pelican flower," or "Dutchman's pipe.</t>
  </si>
  <si>
    <t>Aristolochia gigantea "Calico flower" Close-up.jpg</t>
  </si>
  <si>
    <t>Details of an Aristolochia gigantea commonly known as the "Calico flower," "pelican flower," or "Dutchman's pipe.</t>
  </si>
  <si>
    <t>Aristoloquia1.jpg</t>
  </si>
  <si>
    <t>Es una flor rara, las moscas la polinizan, ella se cierra y con sus pelos mantiene a la mosca allí polinizando. Cuando abre nuevamente una vez las moscas la polinizan, ella permite que las moscas salgan.</t>
  </si>
  <si>
    <t>Aristoloquia2.jpg</t>
  </si>
  <si>
    <t>Aristoloquia3.jpg</t>
  </si>
  <si>
    <t>Aristoloquia5.jpg</t>
  </si>
  <si>
    <t>Aristoloquia6.jpg</t>
  </si>
  <si>
    <t>Su flor es rara, las moscas la polinizan, ella se cierra y con sus pelos mantiene a la mosca allí polinizando. Cuando abre nuevamente una vez las moscas la polinizan, ella permite que las moscas salgan.</t>
  </si>
  <si>
    <t>Aristoloquia7.jpg</t>
  </si>
  <si>
    <t>Aristoloquia8.jpg</t>
  </si>
  <si>
    <t>Aristoloquia 1.jpg</t>
  </si>
  <si>
    <t>Arrayán (Luma apiculata o Myrcianthes).jpg</t>
  </si>
  <si>
    <t>The arrayán (Luma apiculata or Myrcianthes spp.) is a native evergreen tree of South America, known for its smooth, reddish-brown bark that peels off, fragrant white flowers, and slow growth.</t>
  </si>
  <si>
    <t>Arrayán guayabo (Psidium guajava) 01.jpg</t>
  </si>
  <si>
    <t>El guayabo (Psidium guajava) es un árbol frutal perennifolio de la familia Myrtaceae, nativo de América tropical, reconocido por su corteza lisa, delgada y cobriza que se desprende.</t>
  </si>
  <si>
    <t>Arte Natural.jpg</t>
  </si>
  <si>
    <t>Botánica del Jardín Botánico de Bogotá</t>
  </si>
  <si>
    <t>Arte rupestre indígena y vandalismo en los Farallones de Sutatausa.jpg</t>
  </si>
  <si>
    <t>Vista en primer plano de una sección de la pared rocosa de los Farallones de Sutatausa que conserva arte rupestre ancestral de origen muisca, pintado con pigmentos rojizos de origen mineral. Desafortunadamente, la superficie evidencia un grave impacto antrópico debido a la superposición de un grafiti azul sobre el patrimonio arqueológico.</t>
  </si>
  <si>
    <t>Asociación espacial entre Reduviidae sp. y Cosmos bipinnatus.jpg</t>
  </si>
  <si>
    <t>Individual of Reduviidae sp. perched on the stem of Cosmos bipinnatus in a floral microhabitat.</t>
  </si>
  <si>
    <t>Astylus aulicus - 23-May-2025.jpg</t>
  </si>
  <si>
    <t>Astylus aulicus in Parque Ecológico Matarredonda, Cundinamarca, Colombia.</t>
  </si>
  <si>
    <t>4.548350, -73.996670</t>
  </si>
  <si>
    <t>Atardece en la mariposa - PNN Chingaza.jpg</t>
  </si>
  <si>
    <t>Serrania de los Organos y laguna de Chingaza</t>
  </si>
  <si>
    <t>Atardecer Azul.jpg</t>
  </si>
  <si>
    <t>Foto tomada en la Universidad de La Salle, sede Candelaria. Bogotá D.C</t>
  </si>
  <si>
    <t>Atardecer Bogotà.jpg</t>
  </si>
  <si>
    <t>La imagen captura el atardecer en una silueta urbana, donde el sol se oculta entre nubes bajas y el perfil oscuro de los edificios.</t>
  </si>
  <si>
    <t>Atardecer Boyaca.jpg</t>
  </si>
  <si>
    <t>Un atardecer de tonos naranjas intensos ilumina el cielo, contrastando fuertemente con las siluetas oscuras de una montaña y un gran árbol en primer plano.</t>
  </si>
  <si>
    <t>Atardecer Cartagenaa.jpg</t>
  </si>
  <si>
    <t>La fotografía muestra un atardecer costero con el sol filtrándose entre nubes ligeras, reflejando destellos dorados sobre el oleaje y siluetas de bañistas a lo lejos.</t>
  </si>
  <si>
    <t>Atardecer Guajiro - 1.jpg</t>
  </si>
  <si>
    <t>Atardecer Guajiro</t>
  </si>
  <si>
    <t>Atardecer Guajiro - 2.jpg</t>
  </si>
  <si>
    <t>Atardecer Nevado El Cocuy.jpg</t>
  </si>
  <si>
    <t>Una panorámica en altura muestra un extenso valle de páramo recorrido por un río sinuoso, flanqueado por laderas montañosas bajo un cielo claro con sutiles tonos de atardecer.</t>
  </si>
  <si>
    <t>Atardecer Playa Blanca Cartagena.jpg</t>
  </si>
  <si>
    <t>Las siluetas de las ramas y hojas de un árbol en primer plano enmarcan un cálido atardecer sobre el mar, reflejando la luz del sol en las olas que rompen cerca de la orilla de piedra.</t>
  </si>
  <si>
    <t>Atardecer Rio Cusiana.jpg</t>
  </si>
  <si>
    <t>atardecer de rio cusiana a la altura del municipio de Maní- Casanare</t>
  </si>
  <si>
    <t>Atardecer Río Sinú.jpg</t>
  </si>
  <si>
    <t>Río Sinú 002</t>
  </si>
  <si>
    <t>Atardecer Río Sinú 002.jpg</t>
  </si>
  <si>
    <t>Río Sinú</t>
  </si>
  <si>
    <t>Atardecer Santuario de fauna y flora Acandí, Playón y Playona.jpg</t>
  </si>
  <si>
    <t>Playa anidación tortuga caná</t>
  </si>
  <si>
    <t>Atardecer bogota sky 15 hilton Bogotá.jpg</t>
  </si>
  <si>
    <t>atardecer capitalino</t>
  </si>
  <si>
    <t>Atardecer cartagener - 2.jpg</t>
  </si>
  <si>
    <t>atardecer en Cartagena, Colombia</t>
  </si>
  <si>
    <t>10.428975, -75.548181</t>
  </si>
  <si>
    <t>Atardecer cartagenero - 1.jpg</t>
  </si>
  <si>
    <t>10.392856, -75.550558</t>
  </si>
  <si>
    <t>Atardecer cartagenero - 3.jpg</t>
  </si>
  <si>
    <t>10.410697, -75.551344</t>
  </si>
  <si>
    <t>Atardecer en Bahía Solano.jpg</t>
  </si>
  <si>
    <t>Atardecer dorado en las playas de Bahía Solano</t>
  </si>
  <si>
    <t>Atardecer en Cartagena - Colombia.jpg</t>
  </si>
  <si>
    <t>Playa Bocagrande</t>
  </si>
  <si>
    <t>Atardecer en Cienaga Magdalena.jpg</t>
  </si>
  <si>
    <t>Pasadas las horas se disfruta de una tranquila y hermosa partida del sol</t>
  </si>
  <si>
    <t>Atardecer en Muelle 1888.jpg</t>
  </si>
  <si>
    <t>Sunset at the most important international gastronomic center on the Atlantic coast in Puerto Colombia, which pays homage to the year the maritime terminal was built.</t>
  </si>
  <si>
    <t>10.988300, -74.952200</t>
  </si>
  <si>
    <t>Atardecer en Península de Barú.jpg</t>
  </si>
  <si>
    <t>Un atardecer en la península de Barú, Cartagena.</t>
  </si>
  <si>
    <t>Atardecer en Santa Marta Colombia.jpg</t>
  </si>
  <si>
    <t>Departamento del Guaviare - Colombia</t>
  </si>
  <si>
    <t>Atardecer en Tena Cundinamarca Colombia.jpg</t>
  </si>
  <si>
    <t>sunset in Tena Cundinamarca Colombia</t>
  </si>
  <si>
    <t>Atardecer en el Caribe.jpg</t>
  </si>
  <si>
    <t>Atardecer naranja desde el mar Caribe, Santa Marta</t>
  </si>
  <si>
    <t>11.138708, -74.227797</t>
  </si>
  <si>
    <t>Atardecer en el Río, Montería, Córdoba.jpg</t>
  </si>
  <si>
    <t>Río Sinú 006</t>
  </si>
  <si>
    <t>Atardecer en el Río Inírida.jpg</t>
  </si>
  <si>
    <t>Atardecer en el Río Sinú, Montería, Córdoba.jpg</t>
  </si>
  <si>
    <t>Rio Sinú en Montería</t>
  </si>
  <si>
    <t>Atardecer en el mar caribe en Riohacha en 2026.jpg</t>
  </si>
  <si>
    <t>Sunset in Riohacha</t>
  </si>
  <si>
    <t>11.554475, -72.909081</t>
  </si>
  <si>
    <t>Atardecer en el mar caribe en Riohacha en 2026 junio 12.jpg</t>
  </si>
  <si>
    <t>Atardecer en el mar caribe en Riohacha en 2026</t>
  </si>
  <si>
    <t>Atardecer en el mar caribe en Riohacha en junio de 2026.jpg</t>
  </si>
  <si>
    <t>Atardecer en la laguna de tomine.jpg</t>
  </si>
  <si>
    <t>Embalse de cundinamarca</t>
  </si>
  <si>
    <t>Atardecer llanero - Casanare.jpg</t>
  </si>
  <si>
    <t>atardecer desde una vista de la vereda Nunchia - Casanare</t>
  </si>
  <si>
    <t>Atardecer playa llanera.jpg</t>
  </si>
  <si>
    <t>atardecer en paisaje llanero en Puerto Gaitan, Meta sobre el rio meta visto desde lancha</t>
  </si>
  <si>
    <t>Atardecer quimbaya-quindio.jpg</t>
  </si>
  <si>
    <t>Atardecer quindiano</t>
  </si>
  <si>
    <t>Atardecer sobre rio.jpg</t>
  </si>
  <si>
    <t>Atardecer llanero en Puerto Gaitan, Meta visto desde lancha sobre rio meta</t>
  </si>
  <si>
    <t>Atardecer universidad Nacional.jpg</t>
  </si>
  <si>
    <t>La perspectiva desde un puente peatonal captura el tráfico y los buses articulados fluyendo bajo un cielo gris que se enciende en un vibrante horizonte naranja.</t>
  </si>
  <si>
    <t>Atardecer visto desde San Francisco, Cundinamarca.jpg</t>
  </si>
  <si>
    <t>Atardecer en San Francisco, Cundinamarca, Colombia, al fondo la coordillera</t>
  </si>
  <si>
    <t>4.581600, -7.417210</t>
  </si>
  <si>
    <t>Atardecer yopal.jpg</t>
  </si>
  <si>
    <t>Viajando hacia yopal en tractomula</t>
  </si>
  <si>
    <t>Ateles hybridus - Cimitarra, Santander, Colombia - 01 Oct 2025 - Diferoch.jpg</t>
  </si>
  <si>
    <t>Individual of Ateles hybridus feeding in Cimitarra, Santander, Colombia.</t>
  </si>
  <si>
    <t>6.701292, -74.149575</t>
  </si>
  <si>
    <t>Ateles hybridus - Cimitarra, Santander, Colombia - 30 Sep 2025 - Diferoch - 1.jpg</t>
  </si>
  <si>
    <t>Individual of Ateles hybridus observed in Cimitarra, Santander, Colombia.</t>
  </si>
  <si>
    <t>6.711957, -74.143097</t>
  </si>
  <si>
    <t>Ateles hybridus - Cimitarra, Santander, Colombia - 30 Sep 2025 - Diferoch - 2.jpg</t>
  </si>
  <si>
    <t>6.711950, -74.143112</t>
  </si>
  <si>
    <t>Ateles hybridus - Cimitarra, Santander, Colombia - 30 Sep 2025 - Diferoch - 3.jpg</t>
  </si>
  <si>
    <t>Adult female of Ateles hybridus observed in Cimitarra, Santander, Colombia.</t>
  </si>
  <si>
    <t>6.711295, -74.145012</t>
  </si>
  <si>
    <t>Atelopus laetissimus-especie endemica de Colombia.jpg</t>
  </si>
  <si>
    <t>Atelopus laetissimus-especie de anfibio endemica de Colombia-y solo se conoce en el área de su localidad tipo en la parte noroccidental de la Sierra Nevada de Santa Marta</t>
  </si>
  <si>
    <t>Atmósfera brumosa y luz solar filtrada sobre laguna de Sumapaz.jpg</t>
  </si>
  <si>
    <t>Composición de paisaje minimalista y atmosférico que captura la alta humedad del Páramo de Sumapaz. La silueta del sol apenas se filtra a través de un denso e impenetrable manto de niebla gris que descansa sobre la superficie quieta de la Laguna los Tunjos.</t>
  </si>
  <si>
    <t>Atmósfera mística y niebla en el cañón del Tequendama.jpg</t>
  </si>
  <si>
    <t>Composición dramática del cañón del Tequendama dominado por la densa niebla característica de la región. En la parte superior izquierda se alcanza a divisar de forma sutil la histórica edificación de la Casa Museo Salto del Tequendama rodeada de bruma, mientras el río fluye espumoso abajo entre las montañas.</t>
  </si>
  <si>
    <t>4.574554, -74.293864</t>
  </si>
  <si>
    <t>Ave de Salento.jpg</t>
  </si>
  <si>
    <t>Bird in Salento forest</t>
  </si>
  <si>
    <t>4.612094, -75.548003</t>
  </si>
  <si>
    <t>Ave del paraíso Manizales.jpg</t>
  </si>
  <si>
    <t>Bird in the Manizales forest</t>
  </si>
  <si>
    <t>Ave ribereña en el ecosistema del Río Magdalena.jpg</t>
  </si>
  <si>
    <t>Registro de fauna local en una de las márgenes del Río Magdalena. Una garza blanca (Ardea alba) utiliza la estructura de un árbol seco colapsado y la vegetación arbustiva densa como zona de descanso y acecho en el entorno ribereño.</t>
  </si>
  <si>
    <t>Aves de Cali.jpg</t>
  </si>
  <si>
    <t>Bichofue</t>
  </si>
  <si>
    <t>Aves urbanas.jpg</t>
  </si>
  <si>
    <t>Tangara palmera</t>
  </si>
  <si>
    <t>Avicultura de pequeña escala en el entorno rural del Magdalena.jpg</t>
  </si>
  <si>
    <t>Plano medio que retrata un grupo de gallinas domésticas (Gallus gallus domesticus) dentro de una estructura de producción avícola tradicional bajo techo de zinc. La escena ilustra las actividades cotidianas de seguridad alimentaria y economía campesina en los alrededores del río.</t>
  </si>
  <si>
    <t>Avifauna Cienaga de Malambo 01.jpg</t>
  </si>
  <si>
    <t>Registro de aves en Malambo - Atlántico - Colombia</t>
  </si>
  <si>
    <t>Avifauna Cienaga de Malambo 02.webp</t>
  </si>
  <si>
    <t>Avifauna Cienaga de Malambo 03.jpg</t>
  </si>
  <si>
    <t>Avifauna Cienaga de Malambo 04.jpg</t>
  </si>
  <si>
    <t>Avifauna Cienaga de Malambo 05.jpg</t>
  </si>
  <si>
    <t>Avifauna de alta montaña en el Páramo de Sumapaz.jpg</t>
  </si>
  <si>
    <t>Tororoí leonado (Grallaria quitensis) Retrato biológico detallado en plano medio de un ejemplar de avifauna nativa (un bicho feo o comprapán, familia Grallariidae o similar) colonizando el suelo saturado de agua. El ejemplar destaca sobre un fondo texturizado de musgos verdes, turba y plantas cojín húmedas.</t>
  </si>
  <si>
    <t>Avispa caza tarántula.jpg</t>
  </si>
  <si>
    <t>Se llama así porque esas arañas son sus presas. Los machos tienen antenas rectas y las hembras antenas enroscadas. Sus colores llamativos son para ahuyentar a depredadores pero no es venenosa.</t>
  </si>
  <si>
    <t>4.666700, -75.500000</t>
  </si>
  <si>
    <t>Avispa cazadora de tarantulas, genero Pepsis.jpg</t>
  </si>
  <si>
    <t>Individuo de Pepsis sp. Observado caminando con un comportamiento de búsqueda activa de arañas.</t>
  </si>
  <si>
    <t>Avispas cazadoras de tarantulas. Pepsis sp.jpg</t>
  </si>
  <si>
    <t>Individuo observado alimentándose del néctar de una flor. Chía Cundinamarca.</t>
  </si>
  <si>
    <t>Azul entre sombras.jpg</t>
  </si>
  <si>
    <t>La luz atraviesa el follaje e ilumina el plumaje azul de una tangara, creando un fuerte contraste con el bosque oscuro.</t>
  </si>
  <si>
    <t>Azul y mi verde.jpg</t>
  </si>
  <si>
    <t>The peaks whisper</t>
  </si>
  <si>
    <t>5.066608, -75.301217</t>
  </si>
  <si>
    <t>Azúcar del pan - PNN Sierra Nevada Guican.jpg</t>
  </si>
  <si>
    <t>Reflejo del Pan de azúcar y Pulpito del diablo sobre laguna grande de la sierra</t>
  </si>
  <si>
    <t>Babilla (Caiman crocodilus) alimentándose de una zarigüeya en Villavicencio, Colombia.jpg</t>
  </si>
  <si>
    <t>Fotografía de una babilla (Caiman crocodilus) en comportamiento de alimentación en un cuerpo de agua en Villavicencio, Colombia. El ejemplar se encuentra sujetando una zarigüeya (Didelphis marsupialis), cuyo cuerpo permanece parcialmente sumergido mientras sobresale una porción del mismo sobre la superficie del agua. La babilla permanece inmóvil mientras mantiene su presa, en un comportamiento típico de depredación y alimentación de esta especie en ambientes acuáticos.</t>
  </si>
  <si>
    <t>Bahia el Aguacate en Capurganá Colombia.jpg</t>
  </si>
  <si>
    <t>Bahía El Aguacate es un paradisíaco corregimiento y playa de aguas cristalinas ubicado a solo 15 minutos en lancha (o 1.5 horas de caminata) desde Capurganá, Chocó. Es famosa por su biodiversidad, su excelente visibilidad para principiantes de buceo y por ofrecer una experiencia de turismo ecológico aislado.</t>
  </si>
  <si>
    <t>Bahía de Sapzurro y claridad marina.jpg</t>
  </si>
  <si>
    <t>Registro documental de la transparencia y calidad del agua en la bahía de Sapzurro, litoral del Darién chocoano. La imagen ilustra los fondos arenosos y arrecifales someros en la zona de influencia directa del Santuario de Fauna y Flora Acandí, Playón y Playona, evidenciando el óptimo estado de conservación del ecosistema marino del Caribe suroccidental.</t>
  </si>
  <si>
    <t>Balazo.jpg</t>
  </si>
  <si>
    <t>Monstera deliciosa, familia Araceae-originaria del centro de América. Produce un fruto delicioso en los climas más propicios para su desarrollo, de ahí su nombre "deliciosa"p</t>
  </si>
  <si>
    <t>Balazo2.jpg</t>
  </si>
  <si>
    <t>Ballena jorobada o ballena yubarta (Megaptera novaeangliae).jpg</t>
  </si>
  <si>
    <t>A humpback whale leaps in the Colombian Pacific Ocean</t>
  </si>
  <si>
    <t>Bananaquit (Coereba flaveola) sobre la flor de un banano.jpg</t>
  </si>
  <si>
    <t>El platanero (Coereba flaveola) es una especie de ave paseriforme de la familia Thraupidae, la única perteneciente al género Coereba.</t>
  </si>
  <si>
    <t>Barbas de gallo.jpg</t>
  </si>
  <si>
    <t>Familia de las Rubiaceae. Proveniente de México y Colombia</t>
  </si>
  <si>
    <t>Barbas de viejo.jpg</t>
  </si>
  <si>
    <t>Planta que vive del aire (plantas atmosféricas)</t>
  </si>
  <si>
    <t>Barbas en Paipa.jpg</t>
  </si>
  <si>
    <t>Vista de un gran árbol con barbas y Lago Sochagota en Paipa</t>
  </si>
  <si>
    <t>Barranco Norcasia.jpg</t>
  </si>
  <si>
    <t>Climb over me</t>
  </si>
  <si>
    <t>5.566756, -74.906822</t>
  </si>
  <si>
    <t>Barranquero Andino.jpg</t>
  </si>
  <si>
    <t>Foto de un Barranquero Andino (Andean Motmot/Momotus aequatorialis)</t>
  </si>
  <si>
    <t>Barranquero en Chinchilla.jpg</t>
  </si>
  <si>
    <t>Barranquero en la reserva forestal demonstrativa Don Miguel, Caldas</t>
  </si>
  <si>
    <t>Barranquillo o Barranquero.jpg</t>
  </si>
  <si>
    <t>Pájaro insignia de la ciudad de Manizales desde 1995, se trata del Barranquillo Coronado (Momotus aecuatorialis). Este pájaro fue rescatado después de chocar contra un vidrio en el barrio La Francia en Manizales</t>
  </si>
  <si>
    <t>Basiliscus galeritus 2026.jpg</t>
  </si>
  <si>
    <t>A specimen of Basiliscus galeritus captured in the Los Monos Reserve, Rio Claro Antioquia. Notable features include the distinctness of its scalation and the vibrant coloration characteristic of this species in its natural habitat.</t>
  </si>
  <si>
    <t>Batara Mayor.jpg</t>
  </si>
  <si>
    <t>Baño de páramo - PNN Chingaza (PRIMER PLANO).jpg</t>
  </si>
  <si>
    <t>Calzadito Reluciente</t>
  </si>
  <si>
    <t>Beach in Colombia.jpg</t>
  </si>
  <si>
    <t>Beach in Colombia Coast</t>
  </si>
  <si>
    <t>Beach in Riohacha.jpg</t>
  </si>
  <si>
    <t>Kiosk In Beach</t>
  </si>
  <si>
    <t>Beard Lichen of the Cloud Forest, near Minca, 2025.jpg</t>
  </si>
  <si>
    <t>Hanging from damp branches, this intricate Usnea lichen—a complex symbiotic organism of fungi and algae—serves as a vital indicator of exceptional air quality in Minca's high-altitude ecosystem.</t>
  </si>
  <si>
    <t>Beautiful Roads in Colombia.jpg</t>
  </si>
  <si>
    <t>Highway in Colombia</t>
  </si>
  <si>
    <t>Belalcazar Cauca.jpg</t>
  </si>
  <si>
    <t>Reserva indígena en el Macizo colombiano</t>
  </si>
  <si>
    <t>Bella hasta las once.jpg</t>
  </si>
  <si>
    <t>Turnera Subulata - Turnareaceae - originaria de Panamá y hasta el Centro de Brasil</t>
  </si>
  <si>
    <t>Belleza que advierte.jpg</t>
  </si>
  <si>
    <t>Los intensos colores anuncian una estrategia de defensa conocida como aposematismo. La naturaleza convierte el color en un lenguaje universal de supervivencia.</t>
  </si>
  <si>
    <t>Bicho en hoja.jpg</t>
  </si>
  <si>
    <t>Bicho dorado en hoja de Coral</t>
  </si>
  <si>
    <t>10.407097, -75.465147</t>
  </si>
  <si>
    <t>Bicoloured antpitta (Grallaria rufocinerea rufocinerea) Caldas 2.jpg</t>
  </si>
  <si>
    <t>Bicoloured antpitta ( Grallaria rufocinerea rufocinerea ), Reserva Ecologica Rio Blanco, Manizales, Caldas, Colombia</t>
  </si>
  <si>
    <t>5.070000, -75.440000</t>
  </si>
  <si>
    <t>Bienparado-Parque Nacional Natural Sierra de la Macarena-Colombia-6.jpg</t>
  </si>
  <si>
    <t>Bienparado común (Nyctibius griseus) adoptando su característica postura de camuflaje en el Parque Nacional Natural Sierra de La Macarena, departamento del Meta, Colombia, el 8 de agosto de 2024.</t>
  </si>
  <si>
    <t>Bienparado-Parque Nacional Natural Sierra de la Macarena-Colombia-7.jpg</t>
  </si>
  <si>
    <t>Bienparado-Parque Nacional Natural Sierra de la Macarena-Colombia-8.jpg</t>
  </si>
  <si>
    <t>Bienparado Común.jpg</t>
  </si>
  <si>
    <t>El Bienparado Común(Common Potoo/Nyctibius griseus)</t>
  </si>
  <si>
    <t>Bienparado Común (Nyctibius griseus) en bosque colombiano.jpg</t>
  </si>
  <si>
    <t>The Common Potoo (Nyctibius griseus) remains on the tree it was born, waiting for the perfect moment to leave it and begin its life in the forest.</t>
  </si>
  <si>
    <t>Bienparado Común (Nyctibius griseus) en los bosques de colombiano.jpg</t>
  </si>
  <si>
    <t>Bienparado Común (Nyctibius griseus) en su nido.jpg</t>
  </si>
  <si>
    <t>Bienteveo.jpg</t>
  </si>
  <si>
    <t>Benteveo, Bienteveo, Pitangus sulphuratus, Peña Negra, Cachipay, Cundinamarca, Colombia, 2025.</t>
  </si>
  <si>
    <t>Bird Yellow.jpg</t>
  </si>
  <si>
    <t>A yellow bird, in my work day</t>
  </si>
  <si>
    <t>Black-bellied Whistling-Ducks-Pisingos.jpg</t>
  </si>
  <si>
    <t>Black-bellied Whistling Ducks - Pisingos - Dendrocygna autumnalis</t>
  </si>
  <si>
    <t>Blancahuila 08.jpg</t>
  </si>
  <si>
    <t>Flores blancas huila</t>
  </si>
  <si>
    <t>Blancashuila 01.jpg</t>
  </si>
  <si>
    <t>Blancaslunarhuila 09.jpg</t>
  </si>
  <si>
    <t>Blood on the snow.jpg</t>
  </si>
  <si>
    <t>Colombia, land of eternal spring and eternal summers</t>
  </si>
  <si>
    <t>7.016228, -73.107620</t>
  </si>
  <si>
    <t>Blue damselfly (Zygoptera) on dry leave.jpg</t>
  </si>
  <si>
    <t>Caballito del diablo azul sobre hojarasca seca en Colombia.</t>
  </si>
  <si>
    <t>Boa constrictor aliada en el equilibrio ecosistemico.jpg</t>
  </si>
  <si>
    <t>Este plano detalle captura la mirada profunda y la majestuosidad de una boa constrictor (Boa constrictor) tras haber sido rescatada y devuelta a su libertad en la inmensidad de los Llanos Orientales. La fotografía busca transformar el miedo en admiración: enfoca con nitidez la perfecta geometría de sus escamas y el sutil movimiento de su lengua explorando el entorno, mientras el fondo se desvanece en sombras. Más allá de su imponente belleza, la imagen es un testimonio de reconciliación entre el ser humano y la fauna silvestre, retratando a este incomprendido reptil no como una amenaza, sino como una protectora que regula con su presencia el latido y la salud de los ecosistemas colombianos.</t>
  </si>
  <si>
    <t>4.091467, -73.502273</t>
  </si>
  <si>
    <t>Boa constrictor de la Orinoquia.jpg</t>
  </si>
  <si>
    <t>Boana boans 2026.jpg</t>
  </si>
  <si>
    <t>Specimen of Boana boans on a branch near a stream in the Los Monos Agroforestry Reserve, Rio Claro, Antioquia.</t>
  </si>
  <si>
    <t>Boats in Playaca.jpg</t>
  </si>
  <si>
    <t>Boats in Clear waters of Colombia</t>
  </si>
  <si>
    <t>Bogotá al caer la tarde.jpg</t>
  </si>
  <si>
    <t>Los edificios enmarcan una vista donde la naturaleza y la ciudad se encuentran al final del día.</t>
  </si>
  <si>
    <t>Bolitoglossa lozanoi 2026-2.jpg</t>
  </si>
  <si>
    <t>A specimen of Bolitoglossa lozanoi (Lozano's salamander) perched on the surface of a leaf at the Los Monos agroecological reserve, Rio Claro, Antioquia.</t>
  </si>
  <si>
    <t>Bolitoglossa lozanoi 2026.jpg</t>
  </si>
  <si>
    <t>Bombus - Bogotá D. C., Colombia - 23 Aug 2025 - Diferoch - 1.jpg</t>
  </si>
  <si>
    <t>Adult of unidentified Bombus observed in the campus of Universidad de los Andes in Bogotá D. C., Colombia.</t>
  </si>
  <si>
    <t>4.599830, -74.063447</t>
  </si>
  <si>
    <t>Bombus - Bogotá D. C., Colombia - 23 Aug 2025 - Diferoch - 2.jpg</t>
  </si>
  <si>
    <t>4.601090, -74.064102</t>
  </si>
  <si>
    <t>Bombus Rubicundus en el Paramo de Santurban.jpg</t>
  </si>
  <si>
    <t>Bombus Rubicundus en el Paramo de Santurban</t>
  </si>
  <si>
    <t>Bombus hortulanus - Abejorro de los andes.jpg</t>
  </si>
  <si>
    <t>Macho de Bombus hortalanus, individuo encontrado en el suelo, fotografiado en la zona montañosa de Chía, Cundinamarca.</t>
  </si>
  <si>
    <t>Borago officinalis-medicinal herb.jpg</t>
  </si>
  <si>
    <t>Borago officinalis-medicinal herb-starflower-Boraginaceae</t>
  </si>
  <si>
    <t>5.375900, -7.331320</t>
  </si>
  <si>
    <t>Borrachero.jpg</t>
  </si>
  <si>
    <t>Brugmansia</t>
  </si>
  <si>
    <t>4.980291, -74.318442</t>
  </si>
  <si>
    <t>Borrachero (30089).jpg</t>
  </si>
  <si>
    <t>4.966373, -74.290475</t>
  </si>
  <si>
    <t>Borrachero (Solanaceae).jpg</t>
  </si>
  <si>
    <t>Solanaceae</t>
  </si>
  <si>
    <t>Borraja de flor blanca (Borago officinalis alba o bianca) abeja melífera.jpg</t>
  </si>
  <si>
    <t>movimiento</t>
  </si>
  <si>
    <t>Borraja de flor blanca abeja melífera.jpg</t>
  </si>
  <si>
    <t>Bosque 20260529 090140.jpg</t>
  </si>
  <si>
    <t>En la imagen se observa un ecosistema llamado Bosque nublado o bosque de niebla. Se caracteriza por un clima fresco, niebla superficial y humedad constante.</t>
  </si>
  <si>
    <t>Bosque Espeletia uribei.jpg</t>
  </si>
  <si>
    <t>Frailejones de la especie Espeletia uribei. Especie endémica del PNN Chingaza, que se caracteriza por su altura (puede ser superior a los 10 metros) y por poseer un tallo desnudo.</t>
  </si>
  <si>
    <t>Bosque Húmedo Nublado - PNN Cueva de los Guacharos.jpg</t>
  </si>
  <si>
    <t>Bosques en vía de extinción con especies como el nogal, el comino, los cedros, la quina y los pinos colombianos</t>
  </si>
  <si>
    <t>Bosque altoandino.jpg</t>
  </si>
  <si>
    <t>Bosque altoandino Santa Maria Boyaca. Autor. Axl</t>
  </si>
  <si>
    <t>Bosque de Calaguala (Pleopeltis macrocarpa).jpg</t>
  </si>
  <si>
    <t>Calaguala Forest (Pleopeltis macrocarpa)</t>
  </si>
  <si>
    <t>Bosque de palma de cera.jpg</t>
  </si>
  <si>
    <t>Wax palm forest</t>
  </si>
  <si>
    <t>4.322739, -75.549214</t>
  </si>
  <si>
    <t>Bosque de pinos quebrada La vieja.jpg</t>
  </si>
  <si>
    <t>Bosque de pinos quebrada La Vieja</t>
  </si>
  <si>
    <t>4.637430, -74.044630</t>
  </si>
  <si>
    <t>Bosque denso de frailejones en el Parque Nacional Natural Sumapaz.jpg</t>
  </si>
  <si>
    <t>Vista panorámica aérea oblicua que documenta la asombrosa densidad y conservación de frailejones (Espeletia) cubriendo el suelo del páramo a gran escala. La comunidad vegetal rodea un pequeño pozo de agua en el plano medio y se extiende de manera uniforme hacia las laderas superiores envueltas en bruma.</t>
  </si>
  <si>
    <t>Bosque en el Jardín Botánico.jpg</t>
  </si>
  <si>
    <t>Forest in the Botanical Garden</t>
  </si>
  <si>
    <t>Bosque encantado del FIRE.jpg</t>
  </si>
  <si>
    <t>Contrariamente a lo que significa el fuego para las plantas en la institución han crecido durante años los arboles compartiendo vegetacion y fauna local</t>
  </si>
  <si>
    <t>Bosque seco tropical Huila.jpg</t>
  </si>
  <si>
    <t>Paisaje bosque seco tropical</t>
  </si>
  <si>
    <t>Bosque subandino mixto - PNN Cueva de los Guacharos.jpg</t>
  </si>
  <si>
    <t>Bosque tropical.jpg</t>
  </si>
  <si>
    <t>Tropical forest</t>
  </si>
  <si>
    <t>Bosque urbano.jpg</t>
  </si>
  <si>
    <t>Carpintero Buchipecoso</t>
  </si>
  <si>
    <t>Bosque y sendero.jpg</t>
  </si>
  <si>
    <t>Forest and trail</t>
  </si>
  <si>
    <t>Bosque árboles espina.jpg</t>
  </si>
  <si>
    <t>Bosque artificial</t>
  </si>
  <si>
    <t>Bosques de Robles.jpg</t>
  </si>
  <si>
    <t>Picos de la Fragua</t>
  </si>
  <si>
    <t>1.663076, -76.112399</t>
  </si>
  <si>
    <t>Bosques de Robles - PNN Cueva de los Guacharos.jpg</t>
  </si>
  <si>
    <t>Bosque humedo subandino</t>
  </si>
  <si>
    <t>Bosques de niebla en el PNN Tamá, parte Colombiana.jpg</t>
  </si>
  <si>
    <t>bosques andinos que se encuentran en toda la frontera de ambos paises (Colombia y Venezuela), en el Parque Nacional Natural Tamá, fotografita tomada desde el sector de orocue en la parte de Colombia</t>
  </si>
  <si>
    <t>Bosques de niebla en el PNN Tamá.jpg</t>
  </si>
  <si>
    <t>una de las montañas (Venezuela) que se ven desde el Tamá colombiano, en las cabañas de Orocue</t>
  </si>
  <si>
    <t>Bosques florecidos - PNN Chingaza.jpg</t>
  </si>
  <si>
    <t>Bosques de niebla alto andinos en temporada de floracion</t>
  </si>
  <si>
    <t>Botumbo (Rosaceae).jpg</t>
  </si>
  <si>
    <t>Botumbo (Rosaceae)</t>
  </si>
  <si>
    <t>Bougainvillea Jardín Botánico de Bogotá.jpg</t>
  </si>
  <si>
    <t>Bougainvillea creciendo en la estructura de arcos, que son parte del Jardín Botánico de Bogotá</t>
  </si>
  <si>
    <t>Bougainvillea purple flower.jpg</t>
  </si>
  <si>
    <t>Bougainvillea purple flower</t>
  </si>
  <si>
    <t>Boyacá, Colombia, 2026.jpg</t>
  </si>
  <si>
    <t>Boyacá, Colombia, 2026.</t>
  </si>
  <si>
    <t>Bradypus variegatus 2026.jpg</t>
  </si>
  <si>
    <t>A Bradypus variegatus specimen at the Tulenapa Reserve, Antioquia. Its cryptic behavior and arboreal habits are characteristic of this mammal, which is essential to the region's rainforest ecosystems.</t>
  </si>
  <si>
    <t>7.766700, -76.650000</t>
  </si>
  <si>
    <t>Breutelia pendula-moss-musgo.jpg</t>
  </si>
  <si>
    <t>Breutelia pendula-moss-musgo</t>
  </si>
  <si>
    <t>Bromelia (Bromeliaceae).jpg</t>
  </si>
  <si>
    <t>Bromeliad (Bromeliaceae)</t>
  </si>
  <si>
    <t>Bromelia (Guzmania lingulata).jpg</t>
  </si>
  <si>
    <t>Bromeliad (Guzmania lingulata)</t>
  </si>
  <si>
    <t>Bromelia de flor blanca.jpg</t>
  </si>
  <si>
    <t>White flowering bromeliad.</t>
  </si>
  <si>
    <t>Bromelia de paramo.jpg</t>
  </si>
  <si>
    <t>Tillandsia turnery</t>
  </si>
  <si>
    <t>4.648014, -73.945739</t>
  </si>
  <si>
    <t>Bromelia del género Nidularium.jpg</t>
  </si>
  <si>
    <t>Bromelia del género Nidularium – familia Bromeliaceae.</t>
  </si>
  <si>
    <t>4.669437, -74.097702</t>
  </si>
  <si>
    <t>Bromelia mayo 2026.jpg</t>
  </si>
  <si>
    <t>Bromelia en Jardín Botánico de Bogotá</t>
  </si>
  <si>
    <t>Bromelia morada.jpg</t>
  </si>
  <si>
    <t>Purple bromeliad</t>
  </si>
  <si>
    <t>Bromelia roja (Guzmania lingulata).jpg</t>
  </si>
  <si>
    <t>Bromeliad plant-Bromeliad plant.jpg</t>
  </si>
  <si>
    <t>Bromeliad plant-Bromeliad plant-Puya nitida-Puya trianae-Bromelias Epífitas</t>
  </si>
  <si>
    <t>Bromelias (24553).jpg</t>
  </si>
  <si>
    <t>Bromelias</t>
  </si>
  <si>
    <t>4.906410, -75.064338</t>
  </si>
  <si>
    <t>Bromelias (70524).jpg</t>
  </si>
  <si>
    <t>4.940291, -74.869639</t>
  </si>
  <si>
    <t>Bromelias (85952).jpg</t>
  </si>
  <si>
    <t>4.898919, -74.810261</t>
  </si>
  <si>
    <t>Bromelias (95822).jpg</t>
  </si>
  <si>
    <t>4.905542, -74.900263</t>
  </si>
  <si>
    <t>Bromelias de tanque – Familia Bromeliaceae.jpg</t>
  </si>
  <si>
    <t>Bromelias de tanque – Familia Bromeliaceae</t>
  </si>
  <si>
    <t>Bromelias epifitas.jpg</t>
  </si>
  <si>
    <t>Bromelias epifitas en un hospedero</t>
  </si>
  <si>
    <t>Bromelias epífitas en Bojacá.jpg</t>
  </si>
  <si>
    <t>Bromelias epifitas encontradas en un bosque de Bojacá</t>
  </si>
  <si>
    <t>Brote de planta con clorosis o variegación.jpg</t>
  </si>
  <si>
    <t>Vista en plano medio de un brote vegetal creciendo en un terreno abierto. Las hojas basales muestran una coloración verde sólida, mientras que las hojas superiores presentan un patrón moteado amarillento,</t>
  </si>
  <si>
    <t>7.883198, -72.531270</t>
  </si>
  <si>
    <t>Brote en hoja simple - Genero Triplaris.jpg</t>
  </si>
  <si>
    <t>Triplaris</t>
  </si>
  <si>
    <t>Brotes de arbol de magnolia grandiflora.jpg</t>
  </si>
  <si>
    <t>Brotes de arbol magnolio</t>
  </si>
  <si>
    <t>Brown-banded antpitta (Grallaria milleri) Caldas 2.jpg</t>
  </si>
  <si>
    <t>Brown-banded antpitta ( Grallaria milleri ), Reserva Ecologica Rio Blanco, Manizales, Caldas, Colombia</t>
  </si>
  <si>
    <t>Brown Pelican and two Snowy Egrets in Santa Marta Port, Colombia.jpg</t>
  </si>
  <si>
    <t>Brown Pelican (Pelecanus occidentalis) and two Snowy Egrets (Egretta thula) at Santa Marta Port, Magdalena Department, Colombia.</t>
  </si>
  <si>
    <t>Buffet natural.jpg</t>
  </si>
  <si>
    <t>Hummingbird long-tailed Sylph feeding</t>
  </si>
  <si>
    <t>Bumblebees (Bombus sp.) on a Dahlia flower in Paipa, Boyacá, Colombia.jpg</t>
  </si>
  <si>
    <t>Bumblebee (Bombus sp.) visiting a Dahlia flower in Paipa, Boyacá Department, Colombia.</t>
  </si>
  <si>
    <t>Burro Colombiano.jpg</t>
  </si>
  <si>
    <t>Burrito de la Unión, Valle del Cauca.</t>
  </si>
  <si>
    <t>Buscando amor - PNN Cueva de los Guacharos (PRIMER PLANO).jpg</t>
  </si>
  <si>
    <t>Gallito de roca / Ave nativa de la region Andino-Amazonica.</t>
  </si>
  <si>
    <t>Bye-chat-nutella.gif</t>
  </si>
  <si>
    <t>nutella flying xd</t>
  </si>
  <si>
    <t>Bóveda celeste profunda en el desierto de la Tatacoa.jpg</t>
  </si>
  <si>
    <t>Astrofotografía de campo amplio que muestra una densa acumulación de estrellas sobre el fondo oscuro del espacio profundo. La imagen resalta las condiciones excepcionales de nitidez atmosférica dentro del Distrito Regional de Manejo Integrado La Tatacoa.</t>
  </si>
  <si>
    <t>Búho Llanero en Casanaré - 2022.jpg</t>
  </si>
  <si>
    <t>Ejemplar de búho llanero (Athene cunicularia) observado en su hábitat natural. Esta especie se caracteriza por anidar en madrigueras excavadas en el suelo y habitar áreas abiertas como sabanas, pastizales y zonas agrícolas.</t>
  </si>
  <si>
    <t>Búho posando en árbol.jpg</t>
  </si>
  <si>
    <t>Individuo de Bubo virginianus descansando en la rama de un árbol</t>
  </si>
  <si>
    <t>Caballito de batalla.png</t>
  </si>
  <si>
    <t>animal excéntrico con actitud altiva que demuestra su espíritu de lucha y persistencia</t>
  </si>
  <si>
    <t>Caballitos escarlata.jpg</t>
  </si>
  <si>
    <t>Foto de un Caballitos escarlata</t>
  </si>
  <si>
    <t>Cabo San Juan Mountain View (2024).jpg</t>
  </si>
  <si>
    <t>Mountain view of Cabo San Juan</t>
  </si>
  <si>
    <t>Cabo San Juan Rocky View (2024).jpg</t>
  </si>
  <si>
    <t>Rocky view of Cabo San Juan</t>
  </si>
  <si>
    <t>Cabo San Juan Splashing Rock (2024).jpg</t>
  </si>
  <si>
    <t>Wave crashing into rock at Cabo San Juan</t>
  </si>
  <si>
    <t>Cabo Tiburon en Frontera entre Colombia y Panama.jpg</t>
  </si>
  <si>
    <t>Cabo Tiburón es el último rincón del Caribe colombiano antes de la frontera con Panamá, ubicado al norte del Chocó. Es famoso por su alta biodiversidad marina, aguas cristalinas y por albergar el inicio de la Serranía del Darién.</t>
  </si>
  <si>
    <t>Cabo de la Vela, Guajira.jpg</t>
  </si>
  <si>
    <t>Vista del Cabo de la Vela desde el Pilón de Azúcar.</t>
  </si>
  <si>
    <t>Cabo de la Vela Guajira Colombia Caserio.jpg</t>
  </si>
  <si>
    <t>Entrada al caserio</t>
  </si>
  <si>
    <t>Cabo de la vela ascenso al pilón de azúcar.jpg</t>
  </si>
  <si>
    <t>Caminantes al inicio del pilón de azúcar, majestuoso mirador del cabo de la vela.</t>
  </si>
  <si>
    <t>Cabo de la vela mirador del pilón de azúcar.jpg</t>
  </si>
  <si>
    <t>Zona rocosa sobre el mar, mirador del pilón de azucar</t>
  </si>
  <si>
    <t>Cabo de la vela playa del pilón de azúcar.jpg</t>
  </si>
  <si>
    <t>Desierto anaranjado y playas cristalinas, abajo del pilón de azúcar</t>
  </si>
  <si>
    <t>Cabritos acostados.jpg</t>
  </si>
  <si>
    <t>Cabritos en un espacio circular para manerne su calor corporal juntos. Parque Granja Extrekma</t>
  </si>
  <si>
    <t>Cactus blanco, Colombia.jpg</t>
  </si>
  <si>
    <t>White cactus, commonly called Nopalillo. Bogotá, Colombia</t>
  </si>
  <si>
    <t>4.690000, -74.061000</t>
  </si>
  <si>
    <t>Cactus cabecinegro en Los Hoyos.jpg</t>
  </si>
  <si>
    <t>Los Hoyos sector, Tatacoa Desert (Huila, Colombia). A specimen of *Melocactus curvispinus* (black-headed cactus) with its reddish cephalium, growing in front of the imposing dry-mud canyons that define this section of tropical dry forest.</t>
  </si>
  <si>
    <t>3.237648, -75.118296</t>
  </si>
  <si>
    <t>Cactus globular entre formaciones rocosas en Los Hoyos.jpg</t>
  </si>
  <si>
    <t>Plano medio corto que documenta un ejemplar de cactus globular (género Melocactus) abriéndose paso en un terreno cubierto de rocas y sedimentos. La imagen ilustra la adaptación de la flora en las laderas áridas del sector gris dentro del Distrito Regional de Manejo Integrado La Tatacoa.</t>
  </si>
  <si>
    <t>Cactus orquidea, Colombia.jpg</t>
  </si>
  <si>
    <t>Royal orchid prickly pear cactus or Disocactus ackermannii, Cundinamarca, Colombia</t>
  </si>
  <si>
    <t>4.840000, -73.880000</t>
  </si>
  <si>
    <t>Cadillo rocero.jpg</t>
  </si>
  <si>
    <t>Hierba silvestre Bidens pilosa, de la familia de las asteráceas, conocida como amor seco, es común en climas templados y tropicales de Colombia. Foto tomada en un pastizal de las montañas de Anolaima, Cundinamarca.</t>
  </si>
  <si>
    <t>Cafetos 20260530 124600.jpg</t>
  </si>
  <si>
    <t>La imagen es de una finca cafetera con plantaciones de plátano. Pertenece al paisaje cultural cafetero en el depto. De Risaralda.</t>
  </si>
  <si>
    <t>Caimán Caucano.jpg</t>
  </si>
  <si>
    <t>Caimán en rio caucano</t>
  </si>
  <si>
    <t>Caimán en el lago de las garzas.jpg</t>
  </si>
  <si>
    <t>Caiman pequeño en el lago de las garzas , reserva viento solar.</t>
  </si>
  <si>
    <t>9.134017, -76.179847</t>
  </si>
  <si>
    <t>Caimán llanero (Crocodylus intermedius) tomando el sol en Casanare, Colombia.jpg</t>
  </si>
  <si>
    <t>Fotografía del caimán llanero (Crocodylus intermedius), registrada en el departamento de Casanare, Colombia. El individuo se encuentra sobre la orilla de un río, tomando el sol en un comportamiento de termorregulación característico de los crocodílidos. Esta especie es endémica de la cuenca del Orinoco y se encuentra en peligro crítico de extinción, debido principalmente a la pérdida de hábitat y la caza histórica. Su presencia en ecosistemas fluviales es clave para el equilibrio ecológico de los sistemas acuáticos de la región.</t>
  </si>
  <si>
    <t>Cajeto (Citharexylum subflavescens).jpg</t>
  </si>
  <si>
    <t>The cajeto (Citharexylum subflavescens), also known as caragay or guitar tree, is a tree native to Colombia, native to the High Andean region, which reaches up to 20 meters in height.</t>
  </si>
  <si>
    <t>Calaguala (Pleopeltis macrocarpa).jpg</t>
  </si>
  <si>
    <t>Calaguala (Pleopeltis macrocarpa)</t>
  </si>
  <si>
    <t>Caldas.jpg</t>
  </si>
  <si>
    <t>Land of the richness</t>
  </si>
  <si>
    <t>5.572411, -74.904481</t>
  </si>
  <si>
    <t>Calliandra trinervia.jpg</t>
  </si>
  <si>
    <t>Calliandra trinervia</t>
  </si>
  <si>
    <t>Calliandra trinervia Benth.jpg</t>
  </si>
  <si>
    <t>Calliandra trinervia Benth</t>
  </si>
  <si>
    <t>Callystemon.jpg</t>
  </si>
  <si>
    <t>Callystemon</t>
  </si>
  <si>
    <t>4.960986, -75.027090</t>
  </si>
  <si>
    <t>Calzón de búho.jpg</t>
  </si>
  <si>
    <t>Calzón de búho nombre común de una kholeria que aman los murciélagos</t>
  </si>
  <si>
    <t>4.820536, -74.401208</t>
  </si>
  <si>
    <t>Camarones Guajira Colombia.jpg</t>
  </si>
  <si>
    <t>Camarones Town In Colombia</t>
  </si>
  <si>
    <t>Camino cascadas del fin del mundo.jpg</t>
  </si>
  <si>
    <t>Putumayo camino cascadas del fin del mundo</t>
  </si>
  <si>
    <t>Camino cascadas del fin del mundo putumayo.jpg</t>
  </si>
  <si>
    <t>Cascadas del fin del mundo</t>
  </si>
  <si>
    <t>Campanahuila 15.jpg</t>
  </si>
  <si>
    <t>Campanilla. Thevetia peruviana.jpg</t>
  </si>
  <si>
    <t>Foto tomada en Bogotá. D.C</t>
  </si>
  <si>
    <t>Campanillashuila 06.jpg</t>
  </si>
  <si>
    <t>Campo colombiano.jpg</t>
  </si>
  <si>
    <t>Colombian countryside</t>
  </si>
  <si>
    <t>Campos de Cundinamarca.jpg</t>
  </si>
  <si>
    <t>La amplitud del paisaje invita a contemplar la riqueza natural de Mesitas del Colegio.</t>
  </si>
  <si>
    <t>Campylorhynchus griseus bicolor - Barrancabermeja, Santander, Colombia - 14 Jun 2026 - Diferoch.jpg</t>
  </si>
  <si>
    <t>Individual of Campylorhynchus griseus bicolor observed in Barrancabermeja, Santander, Colombia.</t>
  </si>
  <si>
    <t>7.096003, -73.756218</t>
  </si>
  <si>
    <t>Cane toad (Rhinella horribilis) on the leaf-littered forest floor in Tayrona National Park, 2025.jpg</t>
  </si>
  <si>
    <t>A lateral view of a mature Rhinella horribilis showcasing its camouflaged, warty skin and prominent parotoid glands, positioned on damp soil among leaf litter in the coastal rainforest ecosystem of Magdalena department.</t>
  </si>
  <si>
    <t>Cantos de medio día.jpg</t>
  </si>
  <si>
    <t>Mientras el sol abrazador de los llanos sucumbe los bosques y sabanas, el con su canto apacigua su angustia</t>
  </si>
  <si>
    <t>Capas montañeras.jpg</t>
  </si>
  <si>
    <t>Vista topografía y cadenas montañosas con valles. Villeta, Cundinamarca. Trayecto Albán-Villeta, que hace parte del Camino real Honda-Santa Fe.</t>
  </si>
  <si>
    <t>Capas sedimentarias expuestas en los Farallones de Sutatausa.jpg</t>
  </si>
  <si>
    <t>Plano medio que documenta los notables procesos geológicos de sedimentación visibles en las imponentes murallas de piedra arenisca de Sutatausa, resaltando las franjas de tonos grises, amarillos y ocres causados por la composición mineral y la exposición continua a los elementos.</t>
  </si>
  <si>
    <t>Capuchin Monkey in Tayrona National Park.jpg</t>
  </si>
  <si>
    <t>Small monkey lying on its belly on a tree branch.</t>
  </si>
  <si>
    <t>11.308901, -73.936915</t>
  </si>
  <si>
    <t>Capybara Meta Colombia 20260113.jpg</t>
  </si>
  <si>
    <t>Capybara Meta Colombia</t>
  </si>
  <si>
    <t>Caracara chimachima (Daptrius chimachima).jpg</t>
  </si>
  <si>
    <t>Caracol Cantera.jpg</t>
  </si>
  <si>
    <t>Caracol africano</t>
  </si>
  <si>
    <t>Caracol Cantera 2.jpg</t>
  </si>
  <si>
    <t>Caracol brillante.jpg</t>
  </si>
  <si>
    <t>siembra</t>
  </si>
  <si>
    <t>Caracol de Jardín.jpg</t>
  </si>
  <si>
    <t>Caracol de Jardín Valparaiso Antioquia. Sandra Ramírez Giraldo</t>
  </si>
  <si>
    <t>Caracol diminuto.jpg</t>
  </si>
  <si>
    <t>Caracol diminuto</t>
  </si>
  <si>
    <t>4.867486, -74.376092</t>
  </si>
  <si>
    <t>Caracol junio 2025 1.jpg</t>
  </si>
  <si>
    <t>caracol</t>
  </si>
  <si>
    <t>Caracol terrestre.jpg</t>
  </si>
  <si>
    <t>Megalobulimus sp. - Caracol terrestre</t>
  </si>
  <si>
    <t>Cardón de páramo (Puya sp.).jpg</t>
  </si>
  <si>
    <t>Cardón (Puya sp.), un guardián de hojas espinosas observado en el Páramo de Cruz Verde, al suroriente de Bogotá.</t>
  </si>
  <si>
    <t>4.546010, -73.965653</t>
  </si>
  <si>
    <t>Carpentiro habado - Melanerpes rubricapillus.jpg</t>
  </si>
  <si>
    <t>Rio hacha - Carpentiro habado - Melanerpes rubricapillus</t>
  </si>
  <si>
    <t>Carpintero Bellotero - Melanerpes formicivorus.jpg</t>
  </si>
  <si>
    <t>Esta especie es conocida por ser sociable, por anidar en árboles o ramas secas y almacenar cientos de bellotas en árboles que utiliza como graneros naturales, desempeñando un importante papel en la dinámica del bosque.</t>
  </si>
  <si>
    <t>3.561100, -76.556900</t>
  </si>
  <si>
    <t>Carpintero en casa.jpg</t>
  </si>
  <si>
    <t>Pájaro carpintero llevando alimento a su casa en una palma.</t>
  </si>
  <si>
    <t>11.306367, -74.065745</t>
  </si>
  <si>
    <t>Carpintero libando.jpg</t>
  </si>
  <si>
    <t>Carpintero Habado</t>
  </si>
  <si>
    <t>Carriquí verdeamarillo junio 2025.jpg</t>
  </si>
  <si>
    <t>Observé un comportamiento muy interesante y es que cuando se reflejaba en un vidrio reflectante, parecía que identificara a un compañero o compañera y trataba de "seducirlo", con un canto y baile particular.</t>
  </si>
  <si>
    <t>Carriquí verdeamarillo junio 2025 1.jpg</t>
  </si>
  <si>
    <t>Carriquí verdiamarillo.jpg</t>
  </si>
  <si>
    <t>(cyanocorax yncas) es una especie de ave de la familia Corvidae. La observación de ese día mostró que al reflejarse en un vidrio reflectante, este pájaro se "confundía" con otro compañero o compañera y trataba de seducirle, cantando y bailando de manera particular</t>
  </si>
  <si>
    <t>4.625208, -75.542599</t>
  </si>
  <si>
    <t>Carriquí verdiamarillo (30052).jpg</t>
  </si>
  <si>
    <t>4.639299, -75.562209</t>
  </si>
  <si>
    <t>Carriquí verdiamarillo (64601).jpg</t>
  </si>
  <si>
    <t>4.634831, -75.564658</t>
  </si>
  <si>
    <t>Cartagena,colombia.jpg</t>
  </si>
  <si>
    <t>este es el paisaje de cartagena que se observa desde el castillo de san felipe, se puede observar la mezcla con el mar y el cielo creando un paisaje tranquilo contrastando con la arquitectura colonial.</t>
  </si>
  <si>
    <t>Cartagena Ensoñadora.jpg</t>
  </si>
  <si>
    <t>Cartagena de ensueño</t>
  </si>
  <si>
    <t>Cartuchos (23466).jpg</t>
  </si>
  <si>
    <t>Cartuchos</t>
  </si>
  <si>
    <t>4.987514, -74.992323</t>
  </si>
  <si>
    <t>Cartuchos (25984).jpg</t>
  </si>
  <si>
    <t>5.038751, -75.447503</t>
  </si>
  <si>
    <t>Cartuchos (38939).jpg</t>
  </si>
  <si>
    <t>4.906215, -75.223621</t>
  </si>
  <si>
    <t>Cartuchos (51416).jpg</t>
  </si>
  <si>
    <t>4.932381, -75.077572</t>
  </si>
  <si>
    <t>Cartuchos (67545).jpg</t>
  </si>
  <si>
    <t>4.934326, -75.296447</t>
  </si>
  <si>
    <t>Cartuchos (71991).jpg</t>
  </si>
  <si>
    <t>4.978368, -75.348129</t>
  </si>
  <si>
    <t>Cartuchos cola de marrano.jpg</t>
  </si>
  <si>
    <t>Cartuchos cola de marrano</t>
  </si>
  <si>
    <t>4.920387, -74.913422</t>
  </si>
  <si>
    <t>Cascada-PARQUE NACIONAL NATURAL CHINGAZA.jpg</t>
  </si>
  <si>
    <t>Cascada-PARQUE NACIONAL NATURAL CHINGAZA</t>
  </si>
  <si>
    <t>Cascada IMG-20260628-WA0014.jpg</t>
  </si>
  <si>
    <t>En la imagen se observa la Cascada de la gruta, una caida de agua natural dentro de las instalaciones del hotel termales del ruiz.</t>
  </si>
  <si>
    <t>Cascada La Chorrera in the distance.jpg</t>
  </si>
  <si>
    <t>The waterfall Cascada La Chorrera (the tallest in Colombia) through the leaves, in Parque La Chorrera</t>
  </si>
  <si>
    <t>4.595670, -73.957806</t>
  </si>
  <si>
    <t>Cascada Nevado Cocuy 02.jpg</t>
  </si>
  <si>
    <t>Una caída de agua se desliza sobre una gran placa de roca inclinada, enmarcada por laderas de vegetación de páramo y una imponente cima rocosa al fondo bajo un cielo despejado.</t>
  </si>
  <si>
    <t>Cascada de deshielo sobre paredes rocosas del Nevado del Ruiz.jpg</t>
  </si>
  <si>
    <t>Fotografía de paisaje que registra un delgado hilo de agua descendiendo de forma vertical sobre una colosal estructura rocosa de origen volcánico, mostrando los contrastes entre la piedra oscura y el agua de fusión glacial.</t>
  </si>
  <si>
    <t>Cascada en Guasca.jpg</t>
  </si>
  <si>
    <t>Paisaje de un rio en Guasca - La Reserva El Zoque</t>
  </si>
  <si>
    <t>4.840625, -73.832821</t>
  </si>
  <si>
    <t>Cascada en Guasca - La Reserva El Zoque.jpg</t>
  </si>
  <si>
    <t>4.840558, -73.832826</t>
  </si>
  <si>
    <t>Cascada en Murillo, Tolima.jpg</t>
  </si>
  <si>
    <t>Cascada en Murillo, Tolima</t>
  </si>
  <si>
    <t>Cascada en Murillo, Tolima (33725).jpg</t>
  </si>
  <si>
    <t>Cascada la 70.jpg</t>
  </si>
  <si>
    <t>caida de cascada ubicada en el valle de tenza, boyaca</t>
  </si>
  <si>
    <t>Cascadas Ventanas de Tisquizoque.jpg</t>
  </si>
  <si>
    <t>Cascadas Ventanas de Tisquizoque, en Florian, Santander</t>
  </si>
  <si>
    <t>Cascadas estacionales en las paredes del cañón del Tequendama.jpg</t>
  </si>
  <si>
    <t>Vista frontal de un acantilado rocoso que muestra múltiples caídas de agua finas y paralelas. La pared de piedra arenisca está densamente poblada por plantas rupícolas, musgos y helechos, evidenciando la alta humedad y los nacimientos de agua característicos del ecosistema de bosque de niebla andino.</t>
  </si>
  <si>
    <t>4.575476, -74.294875</t>
  </si>
  <si>
    <t>Castilleja güican.jpg</t>
  </si>
  <si>
    <t>Castilleja güican</t>
  </si>
  <si>
    <t>6.369703, -72.318169</t>
  </si>
  <si>
    <t>Caterpillar of a hag moth (family Limacodidae) on a leaf, Colombia, 2025.jpg</t>
  </si>
  <si>
    <t>A close-up view of a bizarre, densely hairy Limacodidae caterpillar featuring prominent reddish and white tufted processes, resting on a green leaf against a blurred forest background.</t>
  </si>
  <si>
    <t>Caverna del oro.jpg</t>
  </si>
  <si>
    <t>La caverna del oro, es un paisaje de otro planeta, ubicado en el departamento de Santander, encontramos el municipio de Barbosa, desde allí tomé un transporte que me llevó a el Peñol y poderme adentrar a las entrañas de la montaña.</t>
  </si>
  <si>
    <t>Cayena en Jardín Barranquilla.jpg</t>
  </si>
  <si>
    <t>Fotografia</t>
  </si>
  <si>
    <t>Cañagria – Género Costus – Familia Costaceae.png</t>
  </si>
  <si>
    <t>Nombre común Cañagria – Género Costus – Familia Costaceae</t>
  </si>
  <si>
    <t>Caño Cristales, Colombia. 2023.jpg</t>
  </si>
  <si>
    <t>Caño cristales</t>
  </si>
  <si>
    <t>Caño Cristales-Parque Nacional Natural Sierra de la Macarena-Colombia-2.jpg</t>
  </si>
  <si>
    <t>Vista aérea de las pozas naturales y formaciones rocosas de Caño Cristales en el Parque Nacional Natural Sierra de La Macarena, departamento del Meta, Colombia</t>
  </si>
  <si>
    <t>2.264106, -73.794565</t>
  </si>
  <si>
    <t>Caño Cristales-Parque Nacional Natural Sierra de la Macarena-Colombia-3.jpg</t>
  </si>
  <si>
    <t>DCIM\PANORAMA\100_0776\DJI</t>
  </si>
  <si>
    <t>2.264107, -73.794565</t>
  </si>
  <si>
    <t>Caño Cristales-Parque Nacional Natural Sierra de la Macarena-Colombia-4.jpg</t>
  </si>
  <si>
    <t>Caño Cristales-Parque Nacional Natural Sierra de la Macarena-Colombia-5.jpg</t>
  </si>
  <si>
    <t>Caño Cristales 2023.jpg</t>
  </si>
  <si>
    <t>Caño Cristales</t>
  </si>
  <si>
    <t>Caño Juan Angola.jpg</t>
  </si>
  <si>
    <t>Caño Juan Angola</t>
  </si>
  <si>
    <t>10.441944, -75.523611</t>
  </si>
  <si>
    <t>Cañon del Chicamocha Santander 2015.jpg</t>
  </si>
  <si>
    <t>Cañon más grnade de Colombia</t>
  </si>
  <si>
    <t>Cañones erosionados del desierto gris.jpg</t>
  </si>
  <si>
    <t>Nature trails in the "Gray Zone" of the Tatacoa Desert (Huila, Colombia), June 7, 2026. A panoramic view of an old runoff channel surrounded by formations carved by rainfall erosion, set against a cloudy sky.</t>
  </si>
  <si>
    <t>3.237393, -75.118115</t>
  </si>
  <si>
    <t>Cebus capucinus curtus, Gorgona Island.jpg</t>
  </si>
  <si>
    <t>Cebus capucinus curtus, PNN Isla Gorgona</t>
  </si>
  <si>
    <t>2.968460, -78.183017</t>
  </si>
  <si>
    <t>Cebus cesarae, Becerril-Cesar.jpg</t>
  </si>
  <si>
    <t>Cebus cesarae, Becerril-Cesar</t>
  </si>
  <si>
    <t>Cebus versicolor - Barrancabermeja, Santander, Colombia - 13 Jun 2026 - Diferoch - 1.jpg</t>
  </si>
  <si>
    <t>Individual of Cebus versicolor observed in Barrancabermeja, Santander, Colombia.</t>
  </si>
  <si>
    <t>7.084857, -73.863883</t>
  </si>
  <si>
    <t>Cebus versicolor - Barrancabermeja, Santander, Colombia - 13 Jun 2026 - Diferoch - 2.jpg</t>
  </si>
  <si>
    <t>Mother and offspring of Cebus versicolor observed in Barrancabermeja, Santander, Colombia.</t>
  </si>
  <si>
    <t>7.084838, -73.863868</t>
  </si>
  <si>
    <t>Cebus versicolor - Barrancabermeja, Santander, Colombia - 17 Jun 2026 - Diferoch - 1.jpg</t>
  </si>
  <si>
    <t>Individual of Cebus versicolor observed carrying food in Barrancabermeja, Santander, Colombia.</t>
  </si>
  <si>
    <t>7.084910, -73.863777</t>
  </si>
  <si>
    <t>Cebus versicolor - Barrancabermeja, Santander, Colombia - 17 Jun 2026 - Diferoch - 2.jpg</t>
  </si>
  <si>
    <t>Male of Cebus versicolor observed in Barrancabermeja, Santander, Colombia.</t>
  </si>
  <si>
    <t>7.084917, -73.863762</t>
  </si>
  <si>
    <t>Cebus versicolor - Barrancabermeja, Santander, Colombia - 17 Jun 2026 - Diferoch - 3.jpg</t>
  </si>
  <si>
    <t>Cebus versicolor - Cimitarra, Santander, Colombia - 30 Sep 2025 - Diferoch.jpg</t>
  </si>
  <si>
    <t>Adult female of Cebus versicolor observed in Cimitarra, Santander, Colombia.</t>
  </si>
  <si>
    <t>6.711225, -74.144913</t>
  </si>
  <si>
    <t>Cecropia sp - Julian Barrera.jpg</t>
  </si>
  <si>
    <t>24 de abril del 2026 en el Jardín botanico de bogota</t>
  </si>
  <si>
    <t>Cedrela odorata 2026-05-23.jpg</t>
  </si>
  <si>
    <t>Cedrela odorata (commonly known as Spanish Cedar) is a magnificent, economically important canopy tree native to the tropical and seasonally dry biomes of Central and South America.</t>
  </si>
  <si>
    <t>Cedro americano.jpg</t>
  </si>
  <si>
    <t>Cedrela Adorata</t>
  </si>
  <si>
    <t>4.964957, -75.240538</t>
  </si>
  <si>
    <t>Cedro cebolla (Cedrela montana).jpg</t>
  </si>
  <si>
    <t>Cedrela montana</t>
  </si>
  <si>
    <t>Cedro cebolla (Meliaceae).jpg</t>
  </si>
  <si>
    <t>Meliaceae</t>
  </si>
  <si>
    <t>Cedro cebolla de porte alto.jpg</t>
  </si>
  <si>
    <t>Tall onion cedar</t>
  </si>
  <si>
    <t>Cedro del japón (Cryptomeria japonica).jpg</t>
  </si>
  <si>
    <t>Japanese cedar (Cryptomeria japonica)</t>
  </si>
  <si>
    <t>Ceiba 2.jpg</t>
  </si>
  <si>
    <t>Ceiba bruja, Ceiba Bonga - Ceiba Pentandra - Familia Malvaceae - Centroamérica, Suramérica y África</t>
  </si>
  <si>
    <t>Ceiba 2026-05-23.jpg</t>
  </si>
  <si>
    <t>The main subject in the image is a massive tree, likely a Ceiba (Ceiba pentandra), which is famous for its towering height, expansive canopy, and smooth, light-colored trunk.</t>
  </si>
  <si>
    <t>Ceiba 3.jpg</t>
  </si>
  <si>
    <t>Ceiba Ibague.jpg</t>
  </si>
  <si>
    <t>Integration between road infrastructure, urban planning, and environmental conservation. The most prominent element is the monumental tree, which has been preserved within the urban design through protective works and adaptation of the public space.</t>
  </si>
  <si>
    <t>Ceiba amarilla.jpg</t>
  </si>
  <si>
    <t>Tronador - Hura crepitans - Familia Euphorbiaceae - Neotrópico</t>
  </si>
  <si>
    <t>Ceiba amarilla2.jpg</t>
  </si>
  <si>
    <t>Tronador - Hura crepitans - Familia Euphorbiaceae - Neotrópico. Se le llama tronador porque al crecer el fruto que es como una mandarina de madera, truena.</t>
  </si>
  <si>
    <t>Centinela del bosque seco Mimus gilvus sobre cactus cardón en la Tatacoa.jpg</t>
  </si>
  <si>
    <t>Retrato zoológico en plano medio corto que registra la interacción ecológica en el bosque seco tropical del Huila. Un ejemplar de sinsonte tropical (Mimus gilvus) permanece alerta sobre las espinas superiores de un cactus cardón (Stenocereus griseus), mostrando detalles nítidos de su plumaje, pico y largas plumas rectrices de la cola, aislado perfectamente contra un fondo de cielo azul difuminado.</t>
  </si>
  <si>
    <t>Centinelas del campo.jpg</t>
  </si>
  <si>
    <t>Firmes bajo el cielo cundinamarqués, las palmas acompañan el paisaje con elegancia y serenidad.</t>
  </si>
  <si>
    <t>CHICAMOCHA NATIONAL PARK.jpg</t>
  </si>
  <si>
    <t>COLOMBIAN CHICAMOCHA NATIONAL PARK. This picture was taken in 2026 while driving on the roads. Visible Stunning Mountains that demonstrates the Special Geography of Colombia. Noticeable shapes on those Mountains.</t>
  </si>
  <si>
    <t>Centro histórico nocturno cartagena.jpg</t>
  </si>
  <si>
    <t>Turismo nocturno dentro de la ciudad amurallada</t>
  </si>
  <si>
    <t>Cereus Hilmannianus.jpg</t>
  </si>
  <si>
    <t>cacturs en Jardín Botánico de Bogotá</t>
  </si>
  <si>
    <t>Cereus Hilmanniaunus2.jpg</t>
  </si>
  <si>
    <t>Cactus en Jardín Botnánico de Bogotá</t>
  </si>
  <si>
    <t>Cerezo (Rosaceae).jpg</t>
  </si>
  <si>
    <t>Rosaceae</t>
  </si>
  <si>
    <t>Cerrando el día.jpg</t>
  </si>
  <si>
    <t>Montañas de Anolaima, Cundinamarca en finca de pastoreo de sobrevivencia. Una única vaca con su ternero han sido recogidos y quedan los últimos rayos de sol naranja que avisan que el verano se acerca.</t>
  </si>
  <si>
    <t>Cerro de Monserrate (56500).jpg</t>
  </si>
  <si>
    <t>Cerro de Monserrate</t>
  </si>
  <si>
    <t>4.614518, -74.066319</t>
  </si>
  <si>
    <t>Cerro de las antenas.jpg</t>
  </si>
  <si>
    <t>Vereda El Verjón Bajo ubicada en el Complejo Cruz Verde-Sumapaz. Divisoria de aguas de los cerros orientales de Bogotá.</t>
  </si>
  <si>
    <t>Cerros Mavicure, Pajarito y El Mono.jpg</t>
  </si>
  <si>
    <t>Cerros de Monserrate.jpg</t>
  </si>
  <si>
    <t>Photo taken on Monserrate hill with a view of the eastern hills</t>
  </si>
  <si>
    <t>Cestro (Cestrum elegans).jpg</t>
  </si>
  <si>
    <t>Cestrum elegans</t>
  </si>
  <si>
    <t>Chaetolepis microphylla 28,06,26 páramo de Belmira.jpg</t>
  </si>
  <si>
    <t>Chaetolepis microphylla en Belmira</t>
  </si>
  <si>
    <t>Chagra Yuca Brava - Mirañas PNN Cahuinari.jpg</t>
  </si>
  <si>
    <t>Brave Yuca Crop _ Cahuinari National Natural Park</t>
  </si>
  <si>
    <t>Chaparro florecido.jpg</t>
  </si>
  <si>
    <t>Flores del árbol Adenaria floribunda, conocido como Chaparro, Guayabito o Coralito en Colombia. Crece silvestre en las montañas de Colombia, distribuido por aves que se alimentan de sus frutos. Foto tomada en Anolaima, Cundinamarca.</t>
  </si>
  <si>
    <t>Chaquiro dulce.jpg</t>
  </si>
  <si>
    <t>Podocarpus Guatemalensis - Familia Podocarpaceae - originaria de México a Ecuador y hasta Venezuela</t>
  </si>
  <si>
    <t>Charadrius semipalmatus - Nuquí, Chocó, Colombia - 23 Oct 2025 - Diferoch.jpg</t>
  </si>
  <si>
    <t>Individual of Charadrius semipalmatus observed in the coastal zone (Pacific Ocean) of Nuquí, Chocó, Colombia.</t>
  </si>
  <si>
    <t>5.609680, -77.438163</t>
  </si>
  <si>
    <t>Charca en el Parque Nacional Natural El Cocuy.jpg</t>
  </si>
  <si>
    <t>Charca en el Parque Nacional Natural El Cocuy en el sendero Pulpito del Diablo</t>
  </si>
  <si>
    <t>Charlas de familia - PNN Sumapaz.jpg</t>
  </si>
  <si>
    <t>Aguila de Páramo adulta enseñando a aguila juvenil</t>
  </si>
  <si>
    <t>Chasing waterfalls at Quebrada Valencia.jpg</t>
  </si>
  <si>
    <t>Chasing waterfalls at Quebrada Valencia</t>
  </si>
  <si>
    <t>Chauna chavaria - Cimitarra, Santander, Colombia - 01 Oct 2025 - Diferoch.jpg</t>
  </si>
  <si>
    <t>Individual of Chauna chavaria sleeping in Cimitarra, Santander, Colombia.</t>
  </si>
  <si>
    <t>6.717308, -74.134933</t>
  </si>
  <si>
    <t>Chaviva es un pueblo en el municipio de puerto lopez, departamento del meta.jpg</t>
  </si>
  <si>
    <t>integración</t>
  </si>
  <si>
    <t>4.358534, -72.327617</t>
  </si>
  <si>
    <t>Cheracebus medemi.jpg</t>
  </si>
  <si>
    <t>Colombian Black-handed Titi</t>
  </si>
  <si>
    <t>1.005889, -76.660463</t>
  </si>
  <si>
    <t>Chestnut-crowned antpitta (Grallaria ruficapilla) Caldas 2.jpg</t>
  </si>
  <si>
    <t>Chestnut-crowned antpitta ( Grallaria ruficapilla ), Reserva Ecologica Rio Blanco, Manizales, Caldas, Colombia</t>
  </si>
  <si>
    <t>Chicharra-Tettigades chilensis.jpg</t>
  </si>
  <si>
    <t>Los cicádidos (Cicadidae), conocidos comúnmente como cigarras, chicharras, chiquilichis, cocoras</t>
  </si>
  <si>
    <t>Chigüiros - Llanos Orientales.jpg</t>
  </si>
  <si>
    <t>Foto tomada en el habita de los chiguiros en el hato madre vieja</t>
  </si>
  <si>
    <t>Chinche verde.jpg</t>
  </si>
  <si>
    <t>Chinche verde</t>
  </si>
  <si>
    <t>Chiraco o Pedro Hernández.jpg</t>
  </si>
  <si>
    <t>Toxicodendrum striatum. Árbol nativo de Colombia y Sudamérica, se caracteriza por su alta toxicidad causando urticaria, especialmente durante la floración</t>
  </si>
  <si>
    <t>4.970307, -74.292184</t>
  </si>
  <si>
    <t>Chironius spixii - Barrancabermeja, Santander, Colombia - 14 Jun 2026 - Diferoch - 1.jpg</t>
  </si>
  <si>
    <t>Individual of Chironius spixii observed in Barrancabermeja, Santander, Colombia.</t>
  </si>
  <si>
    <t>7.094522, -73.756050</t>
  </si>
  <si>
    <t>Chironius spixii - Barrancabermeja, Santander, Colombia - 14 Jun 2026 - Diferoch - 2.jpg</t>
  </si>
  <si>
    <t>7.094518, -73.756050</t>
  </si>
  <si>
    <t>Chlorophonia pyrrhophrys - Chestnut-breasted Chlorophonia.jpg</t>
  </si>
  <si>
    <t>un macho de esta especie ayudando a adecuar y construir una futura nidificación</t>
  </si>
  <si>
    <t>Chuguacá (Icacinaceae).jpg</t>
  </si>
  <si>
    <t>Chuguacá (Icacinaceae)</t>
  </si>
  <si>
    <t>Cicadidae - Cimitarra, Santander, Colombia - 03 Oct 2025 - Diferoch.jpg</t>
  </si>
  <si>
    <t>Adult individual of unidentified Cicadidae observed in Cimitarra, Santander, Colombia.</t>
  </si>
  <si>
    <t>6.700988, -74.152512</t>
  </si>
  <si>
    <t>Cielo Cartagenero.jpg</t>
  </si>
  <si>
    <t>Cielo Cartagenero</t>
  </si>
  <si>
    <t>10.426667, -75.550833</t>
  </si>
  <si>
    <t>Cielo estrellado en el desierto de la Tatacoa.jpg</t>
  </si>
  <si>
    <t>Astrofotografía de campo amplio que muestra el cielo nocturno despejado y repleto de estrellas sobre el desierto. La captura aprovecha la baja contaminación lumínica del Distrito Regional de Manejo Integrado La Tatacoa.</t>
  </si>
  <si>
    <t>Cielo parcialmente despejado.jpg</t>
  </si>
  <si>
    <t>8.079061, -74.780725</t>
  </si>
  <si>
    <t>Cielo parcialmente nublado en Nechí.jpg</t>
  </si>
  <si>
    <t>8.081753, -74.778411</t>
  </si>
  <si>
    <t>Ciempiés de patas de fuego.jpg</t>
  </si>
  <si>
    <t>Son una clase de artrópodos caracterizados por sus cuerpos alargados.</t>
  </si>
  <si>
    <t>4.972988, -74.290768</t>
  </si>
  <si>
    <t>Cienaga, Magdalena.jpg</t>
  </si>
  <si>
    <t>Cienaga, Magdalena</t>
  </si>
  <si>
    <t>10.990622, -74.287111</t>
  </si>
  <si>
    <t>Cienaga 2.jpg</t>
  </si>
  <si>
    <t>Cool View in Cienaga</t>
  </si>
  <si>
    <t>Cienaga In Guajira.jpg</t>
  </si>
  <si>
    <t>Beautiful Cienague in Colombia</t>
  </si>
  <si>
    <t>Cigüeñuela Cuellinegra.jpg</t>
  </si>
  <si>
    <t>Foto tomada en el Ecoparque Ciénaga de Mallorquín de Barranquilla de una Cigüeñuela Cuellinegra en su hábitat natural</t>
  </si>
  <si>
    <t>11.046389, -74.846667</t>
  </si>
  <si>
    <t>Ciudad amurallada cartagena.jpg</t>
  </si>
  <si>
    <t>Turismo local costero colombiano</t>
  </si>
  <si>
    <t>Ciudad de Pasto, a las faldas del majestuoso Volcán Galeras. Conjunción Luna, Venus, Mercurio y Júpiter.jpg</t>
  </si>
  <si>
    <t>Volcán Galeras, a sus faldas, la hermosa ciudad de Pasto, Sur de Colombia.Atardecer astral. Luna en alineación con Venus, Mercurio y Júpiter</t>
  </si>
  <si>
    <t>Ciudad de Pasto, a las faldas del majestuoso Volcán Galeras.jpg</t>
  </si>
  <si>
    <t>Alineación astral Luna, Venus, Mercurio y Júpiter adornando el horizonte del hermoso volcán Galeras engalanando a la ciudad de Pasto, Sur de Colombia.</t>
  </si>
  <si>
    <t>Ciudad de Piedra vegetación Guaviare.jpg</t>
  </si>
  <si>
    <t>Ciudad de piedra vegetación</t>
  </si>
  <si>
    <t>Ciudad de piedra Guaviare.jpg</t>
  </si>
  <si>
    <t>Roca Ciudad de Piedra</t>
  </si>
  <si>
    <t>Ciudad de piedra erosión Guaviare.jpg</t>
  </si>
  <si>
    <t>Piedra tallada por la erosión</t>
  </si>
  <si>
    <t>Ciénaga de Mallorquín.jpg</t>
  </si>
  <si>
    <t>Barranquilla</t>
  </si>
  <si>
    <t>Clavelillo visitado.jpg</t>
  </si>
  <si>
    <t>Flores de Emilia fosbergii, hierba de la familia de las asteráceas. Originaria de África, crece silvestre en climas templados en Colombia. Atrae polinizadores, En la foto tomada en Anolaima, la visita una Zizula cyna, mariposa azul con puntos negros.</t>
  </si>
  <si>
    <t>Climb Climb Climb.jpg</t>
  </si>
  <si>
    <t>As children do we reach out for the sun until we can fly?</t>
  </si>
  <si>
    <t>COLOMBIA ENTRE EL ATARDECER.jpg</t>
  </si>
  <si>
    <t>COLOMBIA BETWEEN THE SUNSET</t>
  </si>
  <si>
    <t>Clivia miniata (Flor de jardín).jpg</t>
  </si>
  <si>
    <t>Species of flowering plant in the genus Clivia of the family Amaryllidaceae.</t>
  </si>
  <si>
    <t>Clivia miniata . Clivia naranja.jpg</t>
  </si>
  <si>
    <t>Clivia miniata . Orange Clivia</t>
  </si>
  <si>
    <t>Close-up of an Epidendrum orchid inflorescence near Villa de Leyva, 2026.jpg</t>
  </si>
  <si>
    <t>A detailed macro view of the pinkish-purple flowers of a wild terrestrial Epidendrum orchid, displaying the fringed labellum structure against a blurred green background in the Boyacá department.</t>
  </si>
  <si>
    <t>Close up de epipedobates currulao en gorgona.jpg</t>
  </si>
  <si>
    <t>Close-up of an individual of Epipedobates currulao perched on the wet forest substrate on Gorgona Island.</t>
  </si>
  <si>
    <t>2.938807, -78.202501</t>
  </si>
  <si>
    <t>Clusia shrub with epiphytic bromeliads in a semi-arid highland landscape near Villa de Leyva, 2026.jpg</t>
  </si>
  <si>
    <t>A gnarled Clusia specimen thriving on a rocky ridge in the Boyacá department, heavily draped with Spanish moss (Tillandsia usneoides) and small air plants, with the mountain valleys of the semi-arid zone in the background.</t>
  </si>
  <si>
    <t>Coast of Santa Marta.jpg</t>
  </si>
  <si>
    <t>Coast of Santa Marta</t>
  </si>
  <si>
    <t>Coastal Lagune in the Tayrona National Park, Magdalena Department, Colombia.jpg</t>
  </si>
  <si>
    <t>A species-rich transitional ecosystem where tropical palm forests and protected brackish water lagoons provide a vital refuge for wildlife.</t>
  </si>
  <si>
    <t>Coastal lagoon with Typha marsh and coconut palms in Tayrona National Park, 2026.jpg</t>
  </si>
  <si>
    <t>Cobertura de frailejones en los pajonales del Parque Los Nevados.jpg</t>
  </si>
  <si>
    <t>Vista de paisaje enfocado en la ladera de un páramo andino donde se aprecia una densa comunidad de frailejones (Espeletia), destacando sus troncos altos y erectos característicos que actúan como reguladores hídricos clave en la alta montaña colombiana.</t>
  </si>
  <si>
    <t>Coca1.jpg</t>
  </si>
  <si>
    <t>Erythroxylum</t>
  </si>
  <si>
    <t>Coca2.jpg</t>
  </si>
  <si>
    <t>Coca3.jpg</t>
  </si>
  <si>
    <t>Coca de monte.jpg</t>
  </si>
  <si>
    <t>Coca de Danta - Erithroxilum gracilipes - Familia Erithroxilaceae</t>
  </si>
  <si>
    <t>Coca planta de Colombia.jpg</t>
  </si>
  <si>
    <t>Coeligena prunellei 01.jpg</t>
  </si>
  <si>
    <t>This hummingbird belongs to the species Coeligena prunellei, which is endemic to the western slope of Colombia’s Cordillera Oriental, in the departments of Cundinamarca, Santander, and Boyacá. This species is listed as VULNERABLE on the IUCN Red List. The photo was taken in Chicaque Natural Park (4.606493513903091, -74.30473224612278) in a garden dominated by plants of the genus Abutilon, from which this species was feeding.</t>
  </si>
  <si>
    <t>Coeligena prunellei 02.jpg</t>
  </si>
  <si>
    <t>Coenobita compressus - Nuquí, Chocó, Colombia - 23 Oct 2025 - Diferoch.jpg</t>
  </si>
  <si>
    <t>Group of Coenobita compressus in an open coconut.</t>
  </si>
  <si>
    <t>5.624810, -77.421272</t>
  </si>
  <si>
    <t>Coexistencia de Entornos.jpg</t>
  </si>
  <si>
    <t>Una Ceiba ancestral portadora de vida, y el edificio institucional donde se ejecutan las atenciones medicas</t>
  </si>
  <si>
    <t>Cojín de Liquen de Guasca.jpg</t>
  </si>
  <si>
    <t>Fotografía de un conjunto de Liquen dispuesto en forma de cojín - La Reserva El Zoque</t>
  </si>
  <si>
    <t>4.842038, -73.834023</t>
  </si>
  <si>
    <t>Col de monte - Anthurium fendleri - Araceae.jpg</t>
  </si>
  <si>
    <t>Anthurium fendleri - Araceae</t>
  </si>
  <si>
    <t>Cola blanca camuflada - PNN Sierra nevada de Guican.jpg</t>
  </si>
  <si>
    <t>Venado cola blanca moviendose entre frailejones</t>
  </si>
  <si>
    <t>Coleoptero Paipa.jpg</t>
  </si>
  <si>
    <t>Beetle_Paipa</t>
  </si>
  <si>
    <t>Coleóptero con alas rotas.jpg</t>
  </si>
  <si>
    <t>Coleóptero polífago de la familia Cerambycidae. Se observa con un ala rota alimentándose de un árbol de Balú o chachafruto en Anolaima, Cundinamarca, Colombia..</t>
  </si>
  <si>
    <t>Colibri coruscans en el bosque.jpg</t>
  </si>
  <si>
    <t>Este pequeño amiguito me miró fijamente</t>
  </si>
  <si>
    <t>Colibrí - Eriocnemis vestita de La Reserva El Zoque.jpg</t>
  </si>
  <si>
    <t>Colibrí fotografiado en La Reserva El Zoque</t>
  </si>
  <si>
    <t>4.843104, -73.830812</t>
  </si>
  <si>
    <t>Colibrí 0260529.jpg</t>
  </si>
  <si>
    <t>Avistamiento de colibríes en los termales del ruiz. Se les conoce tambien como picaflor o chuparrosas. El de la imagen es muy común en zonas andinas. Se alimenta de nectar.</t>
  </si>
  <si>
    <t>Colibrí Amazilia capiazul (Saucerottia cyanifrons) en Paque Verde Y Agua, Fusagasugá, (Cundinamarca).jpg</t>
  </si>
  <si>
    <t>Indigo-capped hummingbird (Saucerottia cyanifrons) in Fusagasugá, (Cundinamarca)</t>
  </si>
  <si>
    <t>4.360644, -74.335404</t>
  </si>
  <si>
    <t>Colibrí Colirrufo - Amazilia tzacatl.jpg</t>
  </si>
  <si>
    <t>Nativo de México, América Central y noroeste de América del Sur. El colibrí colirrufo se alimenta del néctar de las flores del bosque montano, mostrando la agilidad y precisión que caracteriza a los colibríes neotropicales.</t>
  </si>
  <si>
    <t>Colibrí Nuquiblanco - Florisuga mellivora.jpg</t>
  </si>
  <si>
    <t>Nativo de la América tropical (Neotrópico). El colibrí nuquiblanco descansa brevemente entre la vegetación del bosque nublado, donde encuentra abundantes flores para alimentarse.</t>
  </si>
  <si>
    <t>Colibrí Orejivioleta Menor (Colibri cyanotus) Sandra Ramírez Giraldo.jpg</t>
  </si>
  <si>
    <t>Colibrí Orejivioleta Menor (Colibri cyanotus), avistado en Santa Elena, Medellín, Antioquia. Sandra Ramírez Giraldo</t>
  </si>
  <si>
    <t>Colibrí Pardo - Colibri delphinae.jpg</t>
  </si>
  <si>
    <t>Nativo de América Central y del Sur. El colibrí pardo exhibe su plumaje de tonos suaves mientras explora el sotobosque en busca de néctar.</t>
  </si>
  <si>
    <t>Colibrí nuquiblanco-Florisuga mellivora.jpg</t>
  </si>
  <si>
    <t>hummingbird</t>
  </si>
  <si>
    <t>Colibrí pardo.jpg</t>
  </si>
  <si>
    <t>Colibrí rutilante (45487).jpg</t>
  </si>
  <si>
    <t>Colibrí rutilante</t>
  </si>
  <si>
    <t>4.893333, -75.090288</t>
  </si>
  <si>
    <t>Colibrí rutilante (92699).jpg</t>
  </si>
  <si>
    <t>4.953006, -74.894930</t>
  </si>
  <si>
    <t>Colibrí urbano.jpg</t>
  </si>
  <si>
    <t>Colibrí coliblanco</t>
  </si>
  <si>
    <t>Collared inca (Coeligena torquata) male in flight Caldas 2.jpg</t>
  </si>
  <si>
    <t>Collared inca ( Coeligena torquata ) male, Reserva Ecologica Rio Blanco, Manizales, Caldas, Colombia</t>
  </si>
  <si>
    <t>Colocasia or Alocasia planta.jpg</t>
  </si>
  <si>
    <t>Colocasia or Alocasia planta</t>
  </si>
  <si>
    <t>Colombian Beaches.jpg</t>
  </si>
  <si>
    <t>Beach in Colombia</t>
  </si>
  <si>
    <t>Colombian fog.jpg</t>
  </si>
  <si>
    <t>Yellow dots of the soul</t>
  </si>
  <si>
    <t>5.071261, -75.287675</t>
  </si>
  <si>
    <t>Color balling.jpg</t>
  </si>
  <si>
    <t>10.929443, -74.773300</t>
  </si>
  <si>
    <t>Columbina talpacoti rufipennis - Barrancabermeja, Santander, Colombia - 31 Dec 2025 - Diferoch - 1.jpg</t>
  </si>
  <si>
    <t>Individual of Columbina talpacoti rufipennis observed in Barrancabermeja, Santander, Colombia.</t>
  </si>
  <si>
    <t>7.085015, -73.864067</t>
  </si>
  <si>
    <t>Columbina talpacoti rufipennis - Barrancabermeja, Santander, Colombia - 31 Dec 2025 - Diferoch - 2.jpg</t>
  </si>
  <si>
    <t>7.085015, -73.864090</t>
  </si>
  <si>
    <t>Colín Crestudo (Colinus cristatus).jpg</t>
  </si>
  <si>
    <t>(Colinus cristatus) colín crestudo o codorniz crestada-perdiz familia Odontophoridae-ave galliforme</t>
  </si>
  <si>
    <t>Comelina difusa.jpg</t>
  </si>
  <si>
    <t>Hierba perenne y suculenta de la familia de las commelináceas conocida en Colombia como Canutillo. Son llamativas sus flores azules brillante o celestes a pesar de su tamaño de apenas unos 2 cm.</t>
  </si>
  <si>
    <t>Como es arriba es abajo.jpg</t>
  </si>
  <si>
    <t>Este lugar se llama Termales La Cabaña en Murillo Tolima, ubicado a 4.200msnm, un lugar precioso, de aguas azufradas.</t>
  </si>
  <si>
    <t>4.876822, -75.263344</t>
  </si>
  <si>
    <t>Compañera de piscina.jpg</t>
  </si>
  <si>
    <t>Entre el agua, el sol y la tranquilidad del día, una libélula se convirtió en la protagonista del momento.</t>
  </si>
  <si>
    <t>Compañeras de río.jpg</t>
  </si>
  <si>
    <t>En medio del río, dos mariposas comparten un pequeño refugio entre el agua y las piedras.</t>
  </si>
  <si>
    <t>Compañero Fiel.jpg</t>
  </si>
  <si>
    <t>Complejo camaronero la guajira.jpg</t>
  </si>
  <si>
    <t>Complejo camaronero la guajira, descierto y casa.</t>
  </si>
  <si>
    <t>Compsus - Bogotá D. C., Colombia - 23 Aug 2025 - Diferoch - 1.jpg</t>
  </si>
  <si>
    <t>Adult of unidentified Compsus observed in the campus of Universidad de los Andes in Bogotá, D. C., Colombia.</t>
  </si>
  <si>
    <t>4.599895, -74.063584</t>
  </si>
  <si>
    <t>Compsus - Bogotá D. C., Colombia - 23 Aug 2025 - Diferoch - 2.jpg</t>
  </si>
  <si>
    <t>4.600495, -74.063438</t>
  </si>
  <si>
    <t>Conexión bajo un mismo horizonte.jpg</t>
  </si>
  <si>
    <t>El encuentro inesperado de dos escarabajos en copula de la familia Curculionidae, conocidos como gorgojos de nariz ancha (Compsus canescens), avistados en un sendero del Humedal Córdoba en Bogotá, Colombia. Esta pareja de Compsus se encuentran en perfecta sincronía, donde se puede observar en la parte superior el macho, el cual se encuentra montando a la hembra, ubicada en la parte inferior, resaltando por su gran tamaño a diferencia de su pretendiente, la conexión entre ambos es casi invisible entre los senderos bogotanos.</t>
  </si>
  <si>
    <t>4.703611, -74.066667</t>
  </si>
  <si>
    <t>Confusión.jpg</t>
  </si>
  <si>
    <t>Foto tomada en el sector el laguito, en Cartagena de Indias, en un recorrido de consistencia por la contaminación ambiental</t>
  </si>
  <si>
    <t>10.396081, -75.559639</t>
  </si>
  <si>
    <t>Constelación Púrpura.jpg</t>
  </si>
  <si>
    <t>Una mirada cercana a un denso racimo silvestre lleno de pequeños botones florales de color magenta. La imagen captura la belleza del detalle colectivo, donde decenas de pequeñas estructuras se preparan para abrirse al mismo tiempo en un estallido de color.</t>
  </si>
  <si>
    <t>4.594490, -74.070340</t>
  </si>
  <si>
    <t>Contacto con una Planta.jpg</t>
  </si>
  <si>
    <t>Planta del Museo del Castillo</t>
  </si>
  <si>
    <t>Contaminación acuática.jpg</t>
  </si>
  <si>
    <t>Cuerpo de agua, quebrada el Carmen, Medellín, Colombia.</t>
  </si>
  <si>
    <t>6.243749, -75.553864</t>
  </si>
  <si>
    <t>Contraste habitado.jpg</t>
  </si>
  <si>
    <t>Escala humana, densidad y espacio abierto en la ciudad de villavicencio</t>
  </si>
  <si>
    <t>Copa verde-azulada (Chlorociboria aeruginascens).png</t>
  </si>
  <si>
    <t>Una esmeralda del bosque sobre la madera: copa verde-azulada ubicada en un bosque bajo montano de Vianí, Cundinamarca.</t>
  </si>
  <si>
    <t>4.854420, -74.575762</t>
  </si>
  <si>
    <t>Copetón 20260529 103759.jpg</t>
  </si>
  <si>
    <t>El ave de la imagen es un copetón o frechento. Especie americana.</t>
  </si>
  <si>
    <t>Cora Pavonia-Hygrophoraceae.jpg</t>
  </si>
  <si>
    <t>Cora Pavonia-Hygrophoraceae-basidioliquén cianobacterial de la familia Hygrophoraceae-En el Parque Nacional Natural Chingaza, este hongo en simbiosis con algas es una pieza clave en los ecosistemas de páramo</t>
  </si>
  <si>
    <t>Coragyps atratus brasiliensis - Nuquí, Chocó, Colombia - 21 Oct 2025 - Diferoch - 1.jpg</t>
  </si>
  <si>
    <t>Individual of Coragyps atratus brasiliensis observed in the coastal zone of Nuquí, Chocó, Colombia.</t>
  </si>
  <si>
    <t>5.704153, -77.272468</t>
  </si>
  <si>
    <t>Coragyps atratus brasiliensis - Nuquí, Chocó, Colombia - 21 Oct 2025 - Diferoch - 2.jpg</t>
  </si>
  <si>
    <t>5.624992, -77.420840</t>
  </si>
  <si>
    <t>Coragyps atratus brasiliensis - Nuquí, Chocó, Colombia - 23 Oct 2025 - Diferoch - 1.jpg</t>
  </si>
  <si>
    <t>Individual of Coragyps atratus brasiliensis observed in Nuquí, Chocó, Colombia.</t>
  </si>
  <si>
    <t>5.624478, -77.421250</t>
  </si>
  <si>
    <t>Coragyps atratus brasiliensis - Nuquí, Chocó, Colombia - 23 Oct 2025 - Diferoch - 2.jpg</t>
  </si>
  <si>
    <t>Coragyps atratus brasiliensis - Nuquí, Chocó, Colombia - 23 Oct 2025 - Diferoch - 3.jpg</t>
  </si>
  <si>
    <t>Coragyps atratus en entorno urbano de disposición de residuos en Pasto, Nariño.jpg</t>
  </si>
  <si>
    <t>Coragyps atratus in an urban waste disposal environment in Pasto, Nariño.</t>
  </si>
  <si>
    <t>Corazón de Luz.png</t>
  </si>
  <si>
    <t>Entre la suavidad de los pétalos y el fuego de su corazón, la flor revela un universo oculto a simple vista.</t>
  </si>
  <si>
    <t>Cordillera Central Quindio-Tolima.jpg</t>
  </si>
  <si>
    <t>Sunset from my home</t>
  </si>
  <si>
    <t>Cordillera de sumapaz.jpg</t>
  </si>
  <si>
    <t>Fotografia de cordillera de sumapaz, se aprecia la neblina cubrir la montaña</t>
  </si>
  <si>
    <t>Cormorán Neotropical- Nannopterum brasilianum-Laguna El Tabacal La Vega.jpg</t>
  </si>
  <si>
    <t>Cormorán Neotropical-Nannopterum brasilianum-ave suliforme de la familia Phalacrocoracidae-Laguna El Tabacal La Vega</t>
  </si>
  <si>
    <t>5.029400, -74.327600</t>
  </si>
  <si>
    <t>Corona de Cristo. Euphorbia milii.jpg</t>
  </si>
  <si>
    <t>Foto tomada a las afueras de la Biblioteca Luis Angel Arango. Bogotá D.C. Colombia</t>
  </si>
  <si>
    <t>Corona de Fuegos Artificiales.jpg</t>
  </si>
  <si>
    <t>Un majestuoso plano cerrado que revela la compleja estructura de un Agapanto. Sus pétalos alternan matices azules y violáceos que brillan con luz propia, destacando sobre un fondo de hojas alargadas y oscuras que aportan una gran profundidad a la imagen.</t>
  </si>
  <si>
    <t>Corona de flores.jpg</t>
  </si>
  <si>
    <t>Los frailejones que nos acompañan en el camino de páramos nos hacen recordar lo bello y único que es nuestro planeta, el como nos provee de riqueza natural y vida</t>
  </si>
  <si>
    <t>4.980914, -75.335031</t>
  </si>
  <si>
    <t>Corona de nieblas.jpg</t>
  </si>
  <si>
    <t>La laguna negra es un punto de entrada al parque natural nacional Los Nevados, una masa de agua glacial que inspira admiración</t>
  </si>
  <si>
    <t>4.980656, -75.335258</t>
  </si>
  <si>
    <t>Corono (Salicaceae).jpg</t>
  </si>
  <si>
    <t>Corono (Salicaceae).</t>
  </si>
  <si>
    <t>Corono (Xylosma spiculifera).jpg</t>
  </si>
  <si>
    <t>Corono (Xylosma spiculifera)</t>
  </si>
  <si>
    <t>Corpinopsis sp- Julian Barrera.jpg</t>
  </si>
  <si>
    <t>17 de febrero del 2026, Universidad de la Salle ( Hongo entintado)</t>
  </si>
  <si>
    <t>Corpinopsis spp Julian Barrera.jpg</t>
  </si>
  <si>
    <t>18 de febrero del 2026, Universidad de la Salle (Hongo entintado ya esporulado)</t>
  </si>
  <si>
    <t>Covarachía, Boyacá.jpg</t>
  </si>
  <si>
    <t>Covarachía, Boyacá</t>
  </si>
  <si>
    <t>Covarachía, Boyacá , 2025.jpg</t>
  </si>
  <si>
    <t>Covarachía</t>
  </si>
  <si>
    <t>Crab claw, hanging lobster-claws, hanging parrot’s beak, lobster claw, parrot’s beak heliconia.jpg</t>
  </si>
  <si>
    <t>Heliconia rostrata-Platanillo colgante-specie</t>
  </si>
  <si>
    <t>Cracker butterfly 2026-05-23.jpg</t>
  </si>
  <si>
    <t>This is a butterfly from the genus Hamadryas, commonly known as a cracker butterfly.</t>
  </si>
  <si>
    <t>Crepuscular rays 2026-06-26.jpg</t>
  </si>
  <si>
    <t>The morning sunlight forms striking crepuscular rays (sunbeams) breaking through a layer of stormy clouds. In the foreground, you can see a parking lot filled with various cars and an apartment building on the right side.</t>
  </si>
  <si>
    <t>Crepúsculo entre cordilleras.jpg</t>
  </si>
  <si>
    <t>Las capas de montañas se funden con la bruma del atardecer, creando una escena donde la luz marca la transición entre el día y la noche.</t>
  </si>
  <si>
    <t>Crescent-faced antpitta (Grallaricula lineifrons) Caldas 2.jpg</t>
  </si>
  <si>
    <t>Crescent-faced antpitta ( Grallaricula lineifrons ), Reserva Ecologica Rio Blanco, Manizales, Caldas, Colombia</t>
  </si>
  <si>
    <t>Crimson-backed Tanager.jpg</t>
  </si>
  <si>
    <t>Crisopa verde reposando en una rama.jpg</t>
  </si>
  <si>
    <t>Adulto de Crisopidae, individuo reposando debajo de una rama después de aterrizar con su característico vuelo agitado pero lento.</t>
  </si>
  <si>
    <t>Crocosmia 20260529 091535.jpg</t>
  </si>
  <si>
    <t>Llamada tambien varita de san josé, sus flores son excelentes para atraer polinizadores como colibríes</t>
  </si>
  <si>
    <t>Cráter de erupción de Armero.jpg</t>
  </si>
  <si>
    <t>visto desde un avión, el nevado del Ruiz y el lado donde hizo erupción en el 1985. También la poca nieve que le queda</t>
  </si>
  <si>
    <t>Cráter del Volcán Puracé.jpg</t>
  </si>
  <si>
    <t>Cráter del Volcán Puracé. Ubicado en Puracé, Colombia.</t>
  </si>
  <si>
    <t>Cría de pato paramuno (Anas andium) en el Parque Nacional Natural Chingaza, Colombia.jpg</t>
  </si>
  <si>
    <t>Cría de pato paramuno (Anas andium) fotografiada en una de las lagunas del Parque Nacional Natural Chingaza. Esta especie es característica de los humedales altoandinos y ecosistemas de páramo del norte de los Andes. La imagen documenta una etapa temprana del ciclo de vida de la especie en un entorno acuático de alta montaña, hábitat fundamental para su alimentación, refugio y desarrollo.</t>
  </si>
  <si>
    <t>Crías de Colibrí coruscans - Colibrí chillón, Bogotá, Colombia.jpg</t>
  </si>
  <si>
    <t>These are the baby birds of a Rufous-collared Sparrow or Coruscans, a species native to Bogotá, Colombia</t>
  </si>
  <si>
    <t>4.690000, -74.060000</t>
  </si>
  <si>
    <t>Cuando la cordillera se une con el azul de la bandera.jpg</t>
  </si>
  <si>
    <t>Cordillera of the Colombian Andes observed on the horizon from the rocky coast "La Ventana" on Gorgona Island, approximately 30 km from the continental coast.</t>
  </si>
  <si>
    <t>2.936613, -78.205967</t>
  </si>
  <si>
    <t>Cucharo (Primulaceae).jpg</t>
  </si>
  <si>
    <t>Primulaceae</t>
  </si>
  <si>
    <t>Cuchilla de San Lorenzo, Sierra Nevada de Santa Marta, Magdalena, Colombia.jpg</t>
  </si>
  <si>
    <t>Landscape view of Cuchilla de San Lorenzo in the Sierra Nevada de Santa Marta, Magdalena Department, Colombia.</t>
  </si>
  <si>
    <t>Cuchillas de la Oriental.jpg</t>
  </si>
  <si>
    <t>Cuchillas y cadenas montañosas de la Cordillera Oriental. Vista desde el refugio de montaña El Rajadero en el PNN Chingaza (San Juanito, Meta).</t>
  </si>
  <si>
    <t>Cucú ardilla.jpg</t>
  </si>
  <si>
    <t>Cuco ardilla común (Piaya cayana), una especie de ave cuculiforme del Neotrópico.</t>
  </si>
  <si>
    <t>4.984594, -74.264242</t>
  </si>
  <si>
    <t>Cucú ardilla se posa en un árbol.jpg</t>
  </si>
  <si>
    <t>4.984627, -74.264040</t>
  </si>
  <si>
    <t>Cuenca Alta y Media del Río Inírida, Guainía.jpg 01.jpg</t>
  </si>
  <si>
    <t>La fotos aquí subidas fueron tomadas a lo largo de los últimos tres años. Desde 2023 los paisajes del departamento del Guainía fueron objeto de interés para mí, un lugar maravilloso perteneciente a comunidades indígenas curripacos, puinaves y cubeos.</t>
  </si>
  <si>
    <t>2.263333, -69.918611</t>
  </si>
  <si>
    <t>Cuenca Media del Río Inírida, Guainía.jpg 02.jpg</t>
  </si>
  <si>
    <t>Cuenca Media del Río Inírida, Guainía.jpg 03.jpg</t>
  </si>
  <si>
    <t>Cuenca Media del Río Inírida, Guainía.jpg 04.jpg</t>
  </si>
  <si>
    <t>Cuenca Media del Río Inírida, Guainía.jpg 05.jpg</t>
  </si>
  <si>
    <t>Cuenca Media del Río Inírida, Guainía.jpg 06.jpg</t>
  </si>
  <si>
    <t>Cuenca Media del Río Inírida, Guainía.jpg 07.jpg</t>
  </si>
  <si>
    <t>Cuenca Media del Río Inírida, Guainía.jpg 08.jpg</t>
  </si>
  <si>
    <t>Cuenca Media del Río Inírida, Guainía.jpg 09.jpg</t>
  </si>
  <si>
    <t>Cuenca Media del Río Inírida, Guainía.jpg 10.jpg</t>
  </si>
  <si>
    <t>Cuenca Media del Río Inírida, Guainía.jpg 11.jpg</t>
  </si>
  <si>
    <t>Cuenca Media del Río Inírida, Guainía.jpg 12.jpg</t>
  </si>
  <si>
    <t>Cuenca Media del Río Inírida, Guainía.jpg 13.jpg</t>
  </si>
  <si>
    <t>3.645495, -67.936312</t>
  </si>
  <si>
    <t>Cuenca Media del Río Inírida, Guainía.jpg 14.jpg</t>
  </si>
  <si>
    <t>3.461922, -67.970807</t>
  </si>
  <si>
    <t>Cuenca Media del Río Inírida, Guainía.jpg 15.jpg</t>
  </si>
  <si>
    <t>Cuenca Media del Río Inírida, Guainía.jpg 16.jpg</t>
  </si>
  <si>
    <t>Cuenca Media del Río Inírida, Guainía.jpg 17.jpg</t>
  </si>
  <si>
    <t>Cuenca Media del Río Inírida, Guainía.jpg 18.jpg</t>
  </si>
  <si>
    <t>Cuenca Media del Río Inírida, Guainía.jpg 19.jpg</t>
  </si>
  <si>
    <t>Cuenca Media del Río Inírida, Guainía.jpg 20.jpg</t>
  </si>
  <si>
    <t>Cuenca Media del Río Inírida, Guainía.jpg 21.jpg</t>
  </si>
  <si>
    <t>Cuenca Media del Río Inírida, Guainía.jpg 22.jpg</t>
  </si>
  <si>
    <t>Cuenca Media del Río Inírida, Guainía.jpg 23.jpg</t>
  </si>
  <si>
    <t>Cuenca Media del Río Inírida, Guainía.jpg 24.jpg</t>
  </si>
  <si>
    <t>Cuenca Media del Río Inírida, Guainía.jpg 25.jpg</t>
  </si>
  <si>
    <t>Cuenca Media del Río Inírida, Guainía.jpg 26.jpg</t>
  </si>
  <si>
    <t>Cuenca Media del Río Inírida, Guainía.jpg 27.jpg</t>
  </si>
  <si>
    <t>Cuenca Media del Río Inírida, Guainía.jpg 28.jpg</t>
  </si>
  <si>
    <t>Cuenca Media del Río Inírida, Guainía.jpg 29.jpg</t>
  </si>
  <si>
    <t>Cuenca Media del Río Inírida, Guainía.jpg 30.jpg</t>
  </si>
  <si>
    <t>Cuenca Media del Río Inírida, Guainía.jpg 31.jpg</t>
  </si>
  <si>
    <t>Cuenca Media del Río Inírida, Guainía.jpg 32.jpg</t>
  </si>
  <si>
    <t>Cuenca Media del Río Inírida, Guainía.jpg 33.jpg</t>
  </si>
  <si>
    <t>Cuenca Media del Río Inírida, Guainía.jpg 34.jpg</t>
  </si>
  <si>
    <t>3.208950, -68.220461</t>
  </si>
  <si>
    <t>Cuenca Media del Río Inírida, Guainía.jpg 35.jpg</t>
  </si>
  <si>
    <t>Cuenca Media del Río Inírida, Guainía.jpg 36.jpg</t>
  </si>
  <si>
    <t>Cuenca Media del Río Inírida, Guainía.jpg 37.jpg</t>
  </si>
  <si>
    <t>Cuenca Media del Río Inírida, Guainía.jpg 38.jpg</t>
  </si>
  <si>
    <t>Cuenca Media del Río Inírida, Guainía.jpg 39.jpg</t>
  </si>
  <si>
    <t>2.972793, -68.759265</t>
  </si>
  <si>
    <t>Cuenca Media del Río Inírida, Guainía.jpg 40.jpg</t>
  </si>
  <si>
    <t>Cuenca Media del Río Inírida, Guainía.jpg 41.jpg</t>
  </si>
  <si>
    <t>2.723425, -69.411142</t>
  </si>
  <si>
    <t>Cuenca Media del Río Inírida, Guainía.jpg 42.jpg</t>
  </si>
  <si>
    <t>Cuenca Media del Río Inírida, Guainía.jpg 43.jpg</t>
  </si>
  <si>
    <t>Cuenca del rio Quindio.jpg</t>
  </si>
  <si>
    <t>Quindío River watershed</t>
  </si>
  <si>
    <t>Cuerno de venado – Familia Polypodiaceae.jpg</t>
  </si>
  <si>
    <t>Cuerno de venado – Familia Polypodiaceae</t>
  </si>
  <si>
    <t>Cuerpo de agua El Peñol - Guatapé.jpg</t>
  </si>
  <si>
    <t>El Peñol - Guatapé Body of Water</t>
  </si>
  <si>
    <t>Cueva de los Guacharos.jpg</t>
  </si>
  <si>
    <t>Cueva de los Guacharos</t>
  </si>
  <si>
    <t>1.550000, -76.133333</t>
  </si>
  <si>
    <t>Cueva de los Guacharos - PNN Cueva de los Guacharos.jpg</t>
  </si>
  <si>
    <t>Sendero Cueva De los Guacharos</t>
  </si>
  <si>
    <t>Cultivo de arroz cucuta, norte de santander.jpg</t>
  </si>
  <si>
    <t>Extenso cultivo de arroz en un estado óptimo de crecimiento y color verde esmeralda, dominado en la base por una marcada franja de sombra natural. Al fondo, una imponente cadena de montañas andinas.</t>
  </si>
  <si>
    <t>Cultivo de café San Agustin (Huila).jpg</t>
  </si>
  <si>
    <t>Cultivo de café San Agustin (Huila)</t>
  </si>
  <si>
    <t>Curiosidad en el Dosel, Mono Maicero de la Orinoquía.png</t>
  </si>
  <si>
    <t>Esta imagen es una ventana a la alma curiosa y viva del dosel colombiano. El mono maicero nos ladea la cabeza con un gesto de pura inocencia e inteligencia, como si estuviera a punto de hacernos una pregunta. Su mirada profunda, capturada en el momento justo, nos conecta instantáneamente con el corazón de la vida silvestre. Es un recordatorio conmovedor de que cada ser en estos bosques posee una historia, un propósito y una fragilidad que nos llama a la protección y al respeto.</t>
  </si>
  <si>
    <t>Curso del Río Inírida en la Reserva Nacional Natural Puinawai, Guainía 01.jpg</t>
  </si>
  <si>
    <t>Vista del Río Inírida en las cercanías de la comunidad indígena de Garza Morichal. Esta zona hace parte de la Reserva Nacional Natural Puinawai y del Resguardo Cuenca Media y Alta del Río Inírida (CMARI).</t>
  </si>
  <si>
    <t>Curso del Río Inírida en la Reserva Nacional Natural Puinawai, Guainía 02.jpg</t>
  </si>
  <si>
    <t>Curso del Río Inírida en la Reserva Nacional Natural Puinawai, Guainía 03.jpg</t>
  </si>
  <si>
    <t>Curso del Río Inírida en la Reserva Nacional Natural Puinawai, Guainía 04.jpg</t>
  </si>
  <si>
    <t>Curso del Río Inírida en la Reserva Nacional Natural Puinawai, Guainía 05.jpg</t>
  </si>
  <si>
    <t>Curso del Río Inírida en la Reserva Nacional Natural Puinawai, Guainía 06.jpg</t>
  </si>
  <si>
    <t>Curso del Río Inírida en la Reserva Nacional Natural Puinawai, Guainía 07.jpg</t>
  </si>
  <si>
    <t>Curso del Río Inírida en la Reserva Nacional Natural Puinawai, Guainía 08.jpg</t>
  </si>
  <si>
    <t>Curso del Río Inírida en la Reserva Nacional Natural Puinawai, Guainía 09.jpg</t>
  </si>
  <si>
    <t>Curso del Río Inírida en la Reserva Nacional Natural Puinawai, Guainía 10.jpg</t>
  </si>
  <si>
    <t>Curso del Río Inírida en la Reserva Nacional Natural Puinawai, Guainía 11.jpg</t>
  </si>
  <si>
    <t>Curso del Río Inírida en la Reserva Nacional Natural Puinawai, Guainía 12.jpg</t>
  </si>
  <si>
    <t>Curso del Río Inírida en la Reserva Nacional Natural Puinawai, Guainía 13.jpg</t>
  </si>
  <si>
    <t>Curso del Río Inírida en la Reserva Nacional Natural Puinawai, Guainía 14.jpg</t>
  </si>
  <si>
    <t>Curso del Río Inírida en la Reserva Nacional Natural Puinawai, Guainía 15.jpg</t>
  </si>
  <si>
    <t>Curso del Río Inírida en la Reserva Nacional Natural Puinawai, Guainía 16.jpg</t>
  </si>
  <si>
    <t>Curso del Río Inírida en la Reserva Nacional Natural Puinawai, Guainía 17.jpg</t>
  </si>
  <si>
    <t>Curso del Río Inírida en la Reserva Nacional Natural Puinawai, Guainía 18.jpg</t>
  </si>
  <si>
    <t>Curso del Río Inírida en la Reserva Nacional Natural Puinawai, Guainía 19.jpg</t>
  </si>
  <si>
    <t>Curso del Río Inírida en la Reserva Nacional Natural Puinawai, Guainía 20.jpg</t>
  </si>
  <si>
    <t>2.266171, -69.918742</t>
  </si>
  <si>
    <t>Curso del Río Inírida en la Reserva Nacional Natural Puinawai, Guainía 21.jpg</t>
  </si>
  <si>
    <t>Curso del Río Magdalena entre sistemas montañosos.jpg</t>
  </si>
  <si>
    <t>Perspectiva horizontal del Río Magdalena a su paso entre montañas con densa cobertura vegetal. La toma muestra el ancho cauce bajo un cielo parcialmente cubierto de nubes cúmulus, destacándose una infraestructura de comunicaciones en la cima más alta al fondo.</t>
  </si>
  <si>
    <t>Cáscara papirácea de uchuva seco e intacto.jpg</t>
  </si>
  <si>
    <t>Capacho de uchuva</t>
  </si>
  <si>
    <t>Cáñamo de Mauricio (Furcraea foetida).jpg</t>
  </si>
  <si>
    <t>Furcraea foetida</t>
  </si>
  <si>
    <t>Cóndor andino (Vultur gryphus) en el Parque Nacional Natural Chingaza.jpg</t>
  </si>
  <si>
    <t>Cóndor andino (Vultur gryphus) en el Parque Nacional Natural Chingaza.</t>
  </si>
  <si>
    <t>Dalia 20026.jpg</t>
  </si>
  <si>
    <t>Flores</t>
  </si>
  <si>
    <t>Dalia 2026.jpg</t>
  </si>
  <si>
    <t>Dalia</t>
  </si>
  <si>
    <t>Dalia de gallo (Dahlia tenuicaulis).jpg</t>
  </si>
  <si>
    <t>Dahlia tenuicaulis</t>
  </si>
  <si>
    <t>Dalia doble.jpg</t>
  </si>
  <si>
    <t>Dalia doble</t>
  </si>
  <si>
    <t>Dalia silvestre.jpg</t>
  </si>
  <si>
    <t>(Dahlia imperialis)</t>
  </si>
  <si>
    <t>4.975199, -74.304805</t>
  </si>
  <si>
    <t>Dalia silvestre (35311).jpg</t>
  </si>
  <si>
    <t>Dalia y abeja.jpg</t>
  </si>
  <si>
    <t>Dalia melocotón, Asteraceae, Apricot Desire, y Abeja Melífera, Guacamayas, Boyacá, Colombia, 2026</t>
  </si>
  <si>
    <t>Dalia y abeja 2.jpg</t>
  </si>
  <si>
    <t>Dalia y abeja</t>
  </si>
  <si>
    <t>4.172187, -74.146794</t>
  </si>
  <si>
    <t>Danaus erippus - Mariposa monarca.jpg</t>
  </si>
  <si>
    <t>Danaus erippus - Mariposa monarca</t>
  </si>
  <si>
    <t>Danza Colgante.jpg</t>
  </si>
  <si>
    <t>Una hermosa captura vertical que muestra un delicado racimo de flores de Fucsia suspendidas en el aire. El intenso color rojo carmín de sus alargados cálices y pétalos genera un contraste espectacular con la suave vegetación que se asoma al fondo.</t>
  </si>
  <si>
    <t>Daptrius chimachima cordatus - Barrancabermeja, Santander, Colombia - 01 Jul 2026 - Diferoch.jpg</t>
  </si>
  <si>
    <t>Adult individual of Daptrius chimachima cordatus observed in Barrancabermeja, Santander, Colombia.</t>
  </si>
  <si>
    <t>7.085000, -73.863883</t>
  </si>
  <si>
    <t>Daptrius chimachima juvenil.jpg</t>
  </si>
  <si>
    <t>Ejemplar juvenil de Daptrius chimachima en La Guajira, Colombia</t>
  </si>
  <si>
    <t>Darse en la cabeza.jpg</t>
  </si>
  <si>
    <t>Darse en la cabeza</t>
  </si>
  <si>
    <t>Dawn at the commercial port of Cartagena de Indias, Bolívar, Colombia.jpg</t>
  </si>
  <si>
    <t>Dawn at the commercial port of Cartagena de Indias, Bolívar Department, Colombia.</t>
  </si>
  <si>
    <t>Day In Playa Blanca.jpg</t>
  </si>
  <si>
    <t>Blue colored Sea in Colombian Beach</t>
  </si>
  <si>
    <t>De Monserrate a Guadalupe.jpg</t>
  </si>
  <si>
    <t>La vegetación de la montaña enmarca la vista hacia el Cerro de Guadalupe, dos guardianes naturales del horizonte bogotano.</t>
  </si>
  <si>
    <t>De la civilización a los cerros.jpg</t>
  </si>
  <si>
    <t>De la civilización a los cerros, está foto la tome estando en los Cerros de Mavicure, un lugar lejano en nuestro país que ha venido abriendose paulatinamente al turismo nacional e internacional.</t>
  </si>
  <si>
    <t>3.457897, -67.969261</t>
  </si>
  <si>
    <t>Dead brain coral colony Leptoria.jpg</t>
  </si>
  <si>
    <t>Coral tipo cerebro—géneros Leptoria (Pacífico Caribe (Diploria o Colpophyllia) muerto</t>
  </si>
  <si>
    <t>11.283333, -74.183333</t>
  </si>
  <si>
    <t>Delosperma Cooperi 28 de marzo 2025.jpg</t>
  </si>
  <si>
    <t>Delosperma Cooperi</t>
  </si>
  <si>
    <t>Dendrobates truncatus 2026-2.jpg</t>
  </si>
  <si>
    <t>An adult Dendrobates truncatus (yellow-striped poison frog) perched on the surface of a leaf at the Los Monos agroecological reserve, Rio Claro, Antioquia.</t>
  </si>
  <si>
    <t>Dendrobates truncatus 2026.jpg</t>
  </si>
  <si>
    <t>Dendrobates truncatus 27-05-2026.jpg</t>
  </si>
  <si>
    <t>Fauna Colombiana</t>
  </si>
  <si>
    <t>Dendrochilum orchid.jpg</t>
  </si>
  <si>
    <t>Dendrochilum orchid</t>
  </si>
  <si>
    <t>4.983754, -74.268623</t>
  </si>
  <si>
    <t>Dendrochilum orchid se.jpg</t>
  </si>
  <si>
    <t>Dendrochilum orchid se</t>
  </si>
  <si>
    <t>4.984224, -74.278261</t>
  </si>
  <si>
    <t>DETALLE HOJAS DE BANANO.jpg</t>
  </si>
  <si>
    <t>Detalle hojas de banano</t>
  </si>
  <si>
    <t>DSC00245-Mejorado-NR.png</t>
  </si>
  <si>
    <t>The splendid colours of the raimbow infront of your eyes.</t>
  </si>
  <si>
    <t>DSC03062-Mejorado-NR.png</t>
  </si>
  <si>
    <t>Striking Bronzy inca caught in the middle of the air.</t>
  </si>
  <si>
    <t>DSC08020-Mejorado-NR-2.jpg</t>
  </si>
  <si>
    <t>A shining gem (purple backed thornbill) posing over a red flower.</t>
  </si>
  <si>
    <t>DSCN6658-Mejorado-NR.jpg</t>
  </si>
  <si>
    <t>Glass frog</t>
  </si>
  <si>
    <t>Densidad del bosque en las laderas de Sutatausa.jpg</t>
  </si>
  <si>
    <t>Vista de enfoque cerrado que resalta el patrón natural generado por el denso dosel de los árboles que recubren las laderas de los Farallones de Sutatausa, mostrando variaciones de luz, sombras y contrastes entre el follaje verde oscuro.</t>
  </si>
  <si>
    <t>Desayunando de cabeza - PNN Cueva de los Guacharos (PRIMER PLANO).jpg</t>
  </si>
  <si>
    <t>Cacique Candela / Ave endèmica de Colombia. Amenaza de extincion: Vulnerble (VU)</t>
  </si>
  <si>
    <t>Desayunando tarde - PNN Chingaza.jpg</t>
  </si>
  <si>
    <t>Tucan celeste de bosques alto andinos</t>
  </si>
  <si>
    <t>Descanso en compañía.jpg</t>
  </si>
  <si>
    <t>Murciélagos empezando el descanso juntos, bajo una hoja de palma de iraca. Parque Nacional Natural Tayrona</t>
  </si>
  <si>
    <t>Descenso salino - El infierno frio.jpg</t>
  </si>
  <si>
    <t>Mina de sal de Nemocón faroles y fuente de agua.</t>
  </si>
  <si>
    <t>Desierto Estrellado.jpg</t>
  </si>
  <si>
    <t>La luz artificial revela las formas erosionadas del desierto mientras un cielo estrellado cubre uno de los paisajes más singulares de Colombia.</t>
  </si>
  <si>
    <t>Desierto de La Tatacoa (Tatacoa Desert).jpg</t>
  </si>
  <si>
    <t>Panoramic view of the Tatacoa Desert in the Huila department of Colombia</t>
  </si>
  <si>
    <t>Desierto de la tatacoa rojo.jpg</t>
  </si>
  <si>
    <t>Desierto natural de neiva, huila</t>
  </si>
  <si>
    <t>Desierto la Tatacoa.jpg</t>
  </si>
  <si>
    <t>En el Tolima</t>
  </si>
  <si>
    <t>Desierto la Tatacoa (2).jpg</t>
  </si>
  <si>
    <t>Tolima</t>
  </si>
  <si>
    <t>Desierto la Tatacoa (3).jpg</t>
  </si>
  <si>
    <t>Pueblo viejo</t>
  </si>
  <si>
    <t>Desplazamiento de garza real sobre el espejo de agua del río.jpg</t>
  </si>
  <si>
    <t>Toma de acción que registra una garza blanca (Ardea alba) cruzando el Río Magdalena a baja altura. El fuerte contraste de luz destaca la silueta blanca de las alas abiertas en pleno aleteo frente al fondo umbrío de la vegetación de la orilla opuesta.</t>
  </si>
  <si>
    <t>Destello Dorado entre las Ramas.jpg</t>
  </si>
  <si>
    <t>El plumaje brillante resalta como un destello de luz entre la vegetación.</t>
  </si>
  <si>
    <t>Destello de esmeralda.jpg</t>
  </si>
  <si>
    <t>Reflejo de un escarabajo posible del género Cotinis.</t>
  </si>
  <si>
    <t>Detalle abstracto de cárcavas grises en la Tatacoa.jpg</t>
  </si>
  <si>
    <t>Fotografía de paisaje de detalle que muestra la textura rugosa y los pliegues verticales esculpidos por la erosión en los montículos de arcilla gris. La toma resalta el marcado contraste entre las luces y sombras del terreno en el Distrito Regional de Manejo Integrado La Tatacoa.</t>
  </si>
  <si>
    <t>Detalle de hoja seca sobre la superficie de la roca en Sutatausa.jpg</t>
  </si>
  <si>
    <t>Fotografía en ángulo muy bajo (primerísimo primer plano) centrada en una pequeña hoja seca depositada sobre la superficie fuertemente erosionada, gris y porosa de la roca de los Farallones de Sutatausa, abriendo el campo visual hacia una franja de cielo azul con nubes blancas al fondo.</t>
  </si>
  <si>
    <t>Detalle de la cresta y caída del Salto del Tequendama.jpg</t>
  </si>
  <si>
    <t>Captura aérea en plano detalle que muestra la masa de agua en movimiento vertiginoso justo en el momento de su caída libre. Contrasta la tonalidad blanquecina del agua espumosa frente a las rocas oscuras y la vegetación hidrófila que coloniza las laderas húmedas de la cascada.</t>
  </si>
  <si>
    <t>4.575004, -74.293933</t>
  </si>
  <si>
    <t>Detalle del Agua y sus Plantas.jpg</t>
  </si>
  <si>
    <t>Planta Acuática del Jardín Botánico de Bogotá</t>
  </si>
  <si>
    <t>Detrás de los árboles.jpg</t>
  </si>
  <si>
    <t>8.072878, -74.785600</t>
  </si>
  <si>
    <t>Dia hermoso en el Salto del Tequendama.jpg</t>
  </si>
  <si>
    <t>Hermoso dia y algo raro con este paisaje que a menudo es opacado por la neblina gracias al clima que se presenta a menudo en la zona</t>
  </si>
  <si>
    <t>Diamante pechigamuza - Heliodoxa rubinoides.jpg</t>
  </si>
  <si>
    <t>Nativo de regiones andinas del noroeste y centro oeste de América del Sur. Un colibrí diamante pechigamuza revela el característico brillo iridiscente de su plumaje mientras permanece atento entre las ramas.</t>
  </si>
  <si>
    <t>Didelphis marsupialis - Barrancabermeja, Santander, Colombia - 2 Jun 2025 - 1.jpg</t>
  </si>
  <si>
    <t>Inidividual of Didelphis marsupialis observed in Barrancabermeja, Santander, Colombia.</t>
  </si>
  <si>
    <t>7.084880, -73.863915</t>
  </si>
  <si>
    <t>Didelphis marsupialis - Barrancabermeja, Santander, Colombia - 2 Jun 2025 - 2.jpg</t>
  </si>
  <si>
    <t>7.084865, -73.863877</t>
  </si>
  <si>
    <t>Didelphis marsupialis - Barrancabermeja, Santander, Colombia - 2 Jun 2025 - 3.jpg</t>
  </si>
  <si>
    <t>Two individuals of Didelphis marsupialis moments after fighting, observed in Barrancabermeja, Santander, Colombia.</t>
  </si>
  <si>
    <t>7.084798, -73.863785</t>
  </si>
  <si>
    <t>Dimorfismo sexual en Sporophila luctuosa en vegetación natural.jpg</t>
  </si>
  <si>
    <t>Individuals of Sporophila luctuosa exhibiting differences in plumage between sexes.</t>
  </si>
  <si>
    <t>Diptera - Bogotá D. C., Colombia - 23 Aug 2025 - Diferoch - 1.jpg</t>
  </si>
  <si>
    <t>Adult of unidentified Diptera observed in the campus of Universidad de los Andes in Bogotá D. C., Colombia.</t>
  </si>
  <si>
    <t>4.601548, -74.066155</t>
  </si>
  <si>
    <t>Diptera - Bogotá D. C., Colombia - 23 Aug 2025 - Diferoch - 2.jpg</t>
  </si>
  <si>
    <t>4.600512, -74.063240</t>
  </si>
  <si>
    <t>Diptera - Bogotá D. C., Colombia - 23 Aug 2025 - Diferoch - 3.jpg</t>
  </si>
  <si>
    <t>4.599790, -74.063430</t>
  </si>
  <si>
    <t>Divisando el lago.jpg</t>
  </si>
  <si>
    <t>Sighting the lake</t>
  </si>
  <si>
    <t>Divisando el mar desde Santa Marta (Colombia).jpg</t>
  </si>
  <si>
    <t>Ocean view from Santa Marta (Colombia)</t>
  </si>
  <si>
    <t>Dobleshuila 07.jpg</t>
  </si>
  <si>
    <t>Donde el río se encuentra con el mar.jpg</t>
  </si>
  <si>
    <t>Ecoparque Ciénaga de Mallorquín is a coastal wetland north of the city of Barranquilla, at the mouth of the Magdalena River, right where it meets the sea.</t>
  </si>
  <si>
    <t>11.046700, -74.844200</t>
  </si>
  <si>
    <t>Donde nace el silencio.jpg</t>
  </si>
  <si>
    <t>El agua desciende sobre la roca mientras la vegetación envuelve el paisaje, creando un rincón donde la naturaleza domina cada detalle.</t>
  </si>
  <si>
    <t>Dorada, Caldas (charca guarinocito) Febrero 23 del 2025.jpg</t>
  </si>
  <si>
    <t>Charca de Guarinocito</t>
  </si>
  <si>
    <t>Dosel forestal en los Farallones de Sutatausa.jpg</t>
  </si>
  <si>
    <t>oma en ángulo contrapicado que resalta la altura y verticalidad de los árboles de eucalipto plantados en las faldas de los Farallones de Sutatausa, cuyas siluetas convergen de forma simétrica hacia un cielo grisáceo y brumoso.</t>
  </si>
  <si>
    <t>Drago (Croton mutisiarius).jpg</t>
  </si>
  <si>
    <t>Drago (Croton mutisiarius)</t>
  </si>
  <si>
    <t>Dragonfly (Rhionaeschna sp.) resting on a wooden fence post near Villa de Leyva, 2026.jpg</t>
  </si>
  <si>
    <t>A dorsal view of a male mosaic darner dragonfly (family Aeshnidae) with distinct blue and yellow-green abdominal markings, perched on a green-painted fence post under barbed wire in the Boyacá department.</t>
  </si>
  <si>
    <t>Drama de primates.jpg</t>
  </si>
  <si>
    <t>A pair of Cebus capucinus monkeys showing faces of distress in the presence of the observer, captured on Gorgona Island.</t>
  </si>
  <si>
    <t>Día soleado 01.jpg</t>
  </si>
  <si>
    <t>8.074178, -74.784397</t>
  </si>
  <si>
    <t>Día soleado 02.jpg</t>
  </si>
  <si>
    <t>Un puerto en Nechí</t>
  </si>
  <si>
    <t>8.076128, -74.782939</t>
  </si>
  <si>
    <t>Ecoparque Los Alcázares en Manizales.jpg</t>
  </si>
  <si>
    <t>Ecoparque Los Alcázares en Manizales</t>
  </si>
  <si>
    <t>5.045198, -75.373337</t>
  </si>
  <si>
    <t>Ecoparque Los Alcázares en Manizales (61406).jpg</t>
  </si>
  <si>
    <t>5.004421, -75.323638</t>
  </si>
  <si>
    <t>Ecoparque Los Alcázares en Manizales (89183).jpg</t>
  </si>
  <si>
    <t>4.982794, -75.388973</t>
  </si>
  <si>
    <t>Eggs of Turdus leucomelas albiventer - Barrancabermeja, Santander, Colombia - 12 Jul 2025 - Diferoch.jpg</t>
  </si>
  <si>
    <t>Nest with 3 eggs of Turdus lecumelas albiventer observed in Barrancabermeja, Santander, Colombia.</t>
  </si>
  <si>
    <t>7.095982, -73.756340</t>
  </si>
  <si>
    <t>Ejaatimuuu – Buen vivir.jpg</t>
  </si>
  <si>
    <t>Desde la orilla de Mitú, un saludo entre el río y la lancha resume la conexión de su gente con el agua. Aquí, viajar es más que desplazarse: es encuentro, identidad y pertenencia, en un territorio que fluye al ritmo del río.</t>
  </si>
  <si>
    <t>0.792278, -70.954627</t>
  </si>
  <si>
    <t>Ejemplares de Melocactus en el desierto de la Tatacoa.jpg</t>
  </si>
  <si>
    <t>Tatacoa Desert (Huila, Colombia), June 7, 2026. Two *Melocactus curvispinus* specimens on a sandy mound, demonstrating the resilience of native flora adapted to the extreme conditions of this arid ecosystem.</t>
  </si>
  <si>
    <t>3.237380, -75.118142</t>
  </si>
  <si>
    <t>El Cuerpo del Agua.jpg</t>
  </si>
  <si>
    <t>El Despertar del Rocío.jpg</t>
  </si>
  <si>
    <t>Una delicada y pequeña flor fucsia se abre paso entre un denso manto de hojas carnosas y tallos rojizos. La imagen refleja la resistencia de las plantas suculentas, capaces de regalar destellos de color brillante incluso en los terrenos más áridos o en los bordes de un camino.</t>
  </si>
  <si>
    <t>El Destino.jpg</t>
  </si>
  <si>
    <t>Paisaje en Sutatausa</t>
  </si>
  <si>
    <t>El Paisaje del Agua.jpg</t>
  </si>
  <si>
    <t>El Pico.jpg</t>
  </si>
  <si>
    <t>El Ruiz. Un nevado poderoso.jpg</t>
  </si>
  <si>
    <t>Un nevado volcán</t>
  </si>
  <si>
    <t>El Ruiz 20260530 100953.jpg</t>
  </si>
  <si>
    <t>Vista panorámica del volcán nevado del ruiz desde la vía Murillo. Es un volcán activo. Está entre Tolima y Caldas.</t>
  </si>
  <si>
    <t>El Río Magdalena y la infraestructura de transporte en su valle.jpg</t>
  </si>
  <si>
    <t>Vista aérea con dron que documenta el Río Magdalena abriéndose paso a través del relieve. A un costado se observa una importante vía de transporte que bordea las laderas modificadas artificialmente, ilustrando la convivencia entre la infraestructura humana y las cuencas hidrográficas naturales.</t>
  </si>
  <si>
    <t>El Salto del Tequendama en su entorno natural andino.jpg</t>
  </si>
  <si>
    <t>Fotografía de paisaje a gran escala que ubica de manera integral el Salto del Tequendama dentro de su geografía. Muestra la gran caída de agua flanqueada por laderas colosales cubiertas de bosque andino y bosque de niebla, bajo un cielo encapotado donde se divisan redes de infraestructura eléctrica en la cima de la montaña.</t>
  </si>
  <si>
    <t>4.580103, -74.295648</t>
  </si>
  <si>
    <t>El Santuario de las Garzas.jpg</t>
  </si>
  <si>
    <t>Río Magdalena - Barranquilla</t>
  </si>
  <si>
    <t>El Valle del Cocora.jpg</t>
  </si>
  <si>
    <t>Palmera del Valle del Cocora en Colombia</t>
  </si>
  <si>
    <t>El arete.jpg</t>
  </si>
  <si>
    <t>El arete</t>
  </si>
  <si>
    <t>El corazón del Tropicario.jpg</t>
  </si>
  <si>
    <t>Jardín Botanico de Bogotá</t>
  </si>
  <si>
    <t>El ganado.jpg</t>
  </si>
  <si>
    <t>8.073572, -74.785042</t>
  </si>
  <si>
    <t>El gran cóndor.jpg</t>
  </si>
  <si>
    <t>A close-up shot of an Andean Condor perched high up on a wax palm</t>
  </si>
  <si>
    <t>El guardián del pueblo.jpg</t>
  </si>
  <si>
    <t>Desde lo alto, el árbol observa silenciosamente la vida que transcurre entre las calles y montañas del pueblo.</t>
  </si>
  <si>
    <t>El guardián esmeralda.jpg</t>
  </si>
  <si>
    <t>Las formas más sorprendentes de la naturaleza nacen de millones de años de adaptación. Este ortóptero exhibe una estructura que desafía la imaginación humana.</t>
  </si>
  <si>
    <t>El hogar.jpg</t>
  </si>
  <si>
    <t>Fotografía de casa neorural en las montañas de Cundinamarca en el municipio de Anolaima. El cruce de montañas indica el suroccidente del país, el río Curí que las separa desembocará en el río Apulo.</t>
  </si>
  <si>
    <t>El lago de san jose.jpg</t>
  </si>
  <si>
    <t>lago natural de agua cristalina en finca de san jose del guaviare, creando un espejo de vegetacion natural</t>
  </si>
  <si>
    <t>El límite del desierto Transición geomorfológica en el Huila.jpg</t>
  </si>
  <si>
    <t>Composición de paisaje horizontal que ilustra la transición geográfica de la Tatacoa. En primer plano se aprecia la textura repetitiva y erosionada de los laberintos de arcilla del sector de Cuzco, que colindan de forma abrupta con una franja de bosque seco tropical y cierran en el horizonte con las siluetas montañosas de la cordillera andina bajo un cielo azul despejado dentro del Distrito Regional de Manejo Integrado La Tatacoa.</t>
  </si>
  <si>
    <t>El majestuoso vuelo de los Andes.jpg</t>
  </si>
  <si>
    <t>An Andean Condor glides majestically through the mist above the iconic wax palms of the Cocora Valley.</t>
  </si>
  <si>
    <t>El pescador y El Río Magdalena.jpg</t>
  </si>
  <si>
    <t>Malecón del Río - Barranquilla</t>
  </si>
  <si>
    <t>El rostro de lo incomprendido, Boa constrictor.jpg</t>
  </si>
  <si>
    <t>El surgimiento de la cantora de la naturaleza.jpg</t>
  </si>
  <si>
    <t>La juvenil cigarra con resplandecientes colores verdes en un bosque seco tropical</t>
  </si>
  <si>
    <t>El tesoro escondido de un páramo.jpg</t>
  </si>
  <si>
    <t>Nacimiento del río Bogotá</t>
  </si>
  <si>
    <t>El toro fisgón.jpg</t>
  </si>
  <si>
    <t>8.073469, -74.785061</t>
  </si>
  <si>
    <t>El toro que quiere correr.jpg</t>
  </si>
  <si>
    <t>Un día iba trotando y me encontré con la vaca</t>
  </si>
  <si>
    <t>8.071481, -74.787092</t>
  </si>
  <si>
    <t>El toro vigilante.jpg</t>
  </si>
  <si>
    <t>8.073578, -74.785064</t>
  </si>
  <si>
    <t>El trepador de los Andes.jpg</t>
  </si>
  <si>
    <t>A Spectacled Bear looks up curiously while skillfully climbing among the branches of a lush tree.</t>
  </si>
  <si>
    <t>El verde de Termales el sifón.jpg</t>
  </si>
  <si>
    <t>Parte del parque natural nacional los nevados.</t>
  </si>
  <si>
    <t>Elefante en la Hacienda Nápoles.jpg</t>
  </si>
  <si>
    <t>Elephant at Hacienda Nápoles</t>
  </si>
  <si>
    <t>Elegancia arbórea.jpg</t>
  </si>
  <si>
    <t>Perched on the spathe of an anthurium, Phyllomedusa coelestis adopts an unusual posture that highlights the behavior and personality of this arboreal species. A different scene featuring one of the most emblematic frogs of the tropical forest.</t>
  </si>
  <si>
    <t>Elettaria (Zingiberaceae).jpg</t>
  </si>
  <si>
    <t>Elettaria from the Zingiberaceae family.</t>
  </si>
  <si>
    <t>Elleanthus reserva Moravia.jpg</t>
  </si>
  <si>
    <t>Elleanthus</t>
  </si>
  <si>
    <t>4.860950, -74.344986</t>
  </si>
  <si>
    <t>Embalse San Rafael - Sistema Chingaza.jpg</t>
  </si>
  <si>
    <t>Embalse San Rafael - Sistema Chingaza</t>
  </si>
  <si>
    <t>Embalse San Rafael nature.jpg</t>
  </si>
  <si>
    <t>Embalse san Rafael</t>
  </si>
  <si>
    <t>Embalse de Chuza en Chingaza 01.jpg</t>
  </si>
  <si>
    <t>Embalse de Chuza en Chingaza</t>
  </si>
  <si>
    <t>Embalse de Tominé, Guatavita.jpg</t>
  </si>
  <si>
    <t>Embalse de Tominé, Guatavita, Cundinamarca, Colombia, 2026.</t>
  </si>
  <si>
    <t>Embalse de Tominé, Guatavita 2024.jpg</t>
  </si>
  <si>
    <t>Tominé Reservoir, Guatavita 2024</t>
  </si>
  <si>
    <t>4.934418, -73.842360</t>
  </si>
  <si>
    <t>Embalse de tominé.jpg</t>
  </si>
  <si>
    <t>View of the reservoir with mountains in the background.</t>
  </si>
  <si>
    <t>5.16943311, -73.95256042</t>
  </si>
  <si>
    <t>Embalse de tominé ( con pasta y camarones).jpg</t>
  </si>
  <si>
    <t>A delicious dinner with a beautiful view.</t>
  </si>
  <si>
    <t>4.96035289, -73.82216642</t>
  </si>
  <si>
    <t>En la cima de Bogotá.jpg</t>
  </si>
  <si>
    <t>Monserrate se viste de niebla y colores para regalar una vista inolvidable.</t>
  </si>
  <si>
    <t>En lejanía.jpg</t>
  </si>
  <si>
    <t>Selva amazónica y río Vaupés desde el cerro de Urania</t>
  </si>
  <si>
    <t>En medio del bosque.jpg</t>
  </si>
  <si>
    <t>Este amiguito lo encontré en medio del bosque</t>
  </si>
  <si>
    <t>Enamorados 2.jpg</t>
  </si>
  <si>
    <t>Enamorados 2</t>
  </si>
  <si>
    <t>Entangled in paradise at Quebrada Valencia.jpg</t>
  </si>
  <si>
    <t>Entangled in paradise at Quebrada Valencia</t>
  </si>
  <si>
    <t>Entre Flores y Horizonte.jpg</t>
  </si>
  <si>
    <t>Resalta la armonía entre el ave, la vegetación y el cielo abierto.</t>
  </si>
  <si>
    <t>Entre aguas y montañas santandereanas.jpg</t>
  </si>
  <si>
    <t>El agua desciende entre rocas y vegetación, revelando la riqueza natural que caracteriza los paisajes santandereanos.</t>
  </si>
  <si>
    <t>Entre bigotes y flores.jpg</t>
  </si>
  <si>
    <t>Rodeada por la naturaleza, la gatica posa con la elegancia y confianza que la caracteriza.</t>
  </si>
  <si>
    <t>Entre montañas frias.jpg</t>
  </si>
  <si>
    <t>Paramos de colombia</t>
  </si>
  <si>
    <t>4.883333, -75.316667</t>
  </si>
  <si>
    <t>Entre páramos Colombianos.jpg</t>
  </si>
  <si>
    <t>En la vía que comunica Manizales, Caldas con el municipio de Murillo, Tolima se trazan en el camino paisajes fantásticos llenos de agua, nieblas interminables y naturaleza a más de 3000 msnm.</t>
  </si>
  <si>
    <t>4.932139, -75.324708</t>
  </si>
  <si>
    <t>Entre sombras del bosque.jpg</t>
  </si>
  <si>
    <t>The Myrmelastes leucostigma reveals the soft texture of its dark plumage, its deep eye, and strong, well-defined bill—features that reflect the discreet nature of birds inhabiting the tropical forest understory.</t>
  </si>
  <si>
    <t>Epidendrum arachnoglossum 28,06,26 Páramo de Belmira.jpg</t>
  </si>
  <si>
    <t>Orquídea con frailejon de fondo</t>
  </si>
  <si>
    <t>Epidendrum radicans Bojacá.jpg</t>
  </si>
  <si>
    <t>Epidendrum radicans en el camino real de Bojacá</t>
  </si>
  <si>
    <t>Epifitismo 1.jpg</t>
  </si>
  <si>
    <t>Epifitismo en árbol.jpg</t>
  </si>
  <si>
    <t>Epifitismo en árbol</t>
  </si>
  <si>
    <t>Epilachna sp. en Bojacá, COL.jpg</t>
  </si>
  <si>
    <t>Photo of Epilachna sp. taken in the rural area of the municipality of Bojacá, Cundinamarca, Colombia.</t>
  </si>
  <si>
    <t>4.700031, -74.360916</t>
  </si>
  <si>
    <t>Epilachna sp. en Bojacá, Colombia.jpg</t>
  </si>
  <si>
    <t>Equino doméstico en la zona de amortiguación del Nevado del Ruiz.jpg</t>
  </si>
  <si>
    <t>Retrato detallado de un caballo doméstico (Equus caballus) con el fondo difuminado, capturado en las zonas rurales y de pastoreo colindantes a las áreas protegidas del Parque Nacional Natural Los Nevados.</t>
  </si>
  <si>
    <t>Eremurus stenophyllus.jpg</t>
  </si>
  <si>
    <t>Eremurus stenophyllus</t>
  </si>
  <si>
    <t>5.953556, -75.155795</t>
  </si>
  <si>
    <t>Erigon.jpg</t>
  </si>
  <si>
    <t>Erigon Sp</t>
  </si>
  <si>
    <t>6.369967, -72.318475</t>
  </si>
  <si>
    <t>Eristalis sp. hoverfly on Achillea flowers.jpg</t>
  </si>
  <si>
    <t>Eristalis sp. hoverfly on Achillea flowers</t>
  </si>
  <si>
    <t>Eroded hillside landscape with exposed clay strata near Villa de Leyva, 2026.jpg</t>
  </si>
  <si>
    <t>A scenic view of a semi-arid valley floor in the Boyacá department, displaying severe water-induced gully erosion and orange-brown soil horizons transitioning into a scrub-covered mountain slope.</t>
  </si>
  <si>
    <t>Escala natural en los laberintos sobre el Desierto de la Tatacoa.jpg</t>
  </si>
  <si>
    <t>Fotografía de paisaje que muestra la escala y la vegetación del sector de Cuzco. La imagen destaca un cactus columnar en primer plano y un caballo pastando en el valle, con las imponentes laderas de arcilla roja erosionada al fondo dentro del Distrito Regional de Manejo Integrado La Tatacoa.</t>
  </si>
  <si>
    <t>Escalada de P. tarsius.jpg</t>
  </si>
  <si>
    <t>With slow, deliberate movements, Phyllomedusa tarsius climbs among scarlet understory stems, where its extended posture and natural color contrast highlight the elegance typical of monkey frogs.</t>
  </si>
  <si>
    <t>Escarabajo (88516).jpg</t>
  </si>
  <si>
    <t>Escarabajo</t>
  </si>
  <si>
    <t>4.984191, -74.278295</t>
  </si>
  <si>
    <t>Escarabajo (Euchroma gigantea).jpg</t>
  </si>
  <si>
    <t>Escarabajo berrenador</t>
  </si>
  <si>
    <t>Escarabajo Tenebrionidae.jpg</t>
  </si>
  <si>
    <t>Escarabajo encontrado en la Reserva Café Tandil</t>
  </si>
  <si>
    <t>4.325333, -75.834167</t>
  </si>
  <si>
    <t>Escarabajo de hoja de menta azul.jpg</t>
  </si>
  <si>
    <t>Chrysolina coerulans</t>
  </si>
  <si>
    <t>4.968432, -74.322032</t>
  </si>
  <si>
    <t>Escarabajo de hoja de menta azul (71827).jpg</t>
  </si>
  <si>
    <t>Escarabajo longuicornio.jpg</t>
  </si>
  <si>
    <t>Escarabajo poco común</t>
  </si>
  <si>
    <t>Escarabajo tortuga.jpg</t>
  </si>
  <si>
    <t>Escarabajo en San Francisco</t>
  </si>
  <si>
    <t>4.970490, -74.290079</t>
  </si>
  <si>
    <t>Escuela en san benito de abad.jpg</t>
  </si>
  <si>
    <t>recorido de escuela de san benito de abad, con pareda amplea</t>
  </si>
  <si>
    <t>Esculturas minerales en el Valle de los Fantasmas de la Tatacoa.jpg</t>
  </si>
  <si>
    <t>Fotografía documental y geomorfológica que registra las imponentes formaciones sedimentarias del Valle de los Fantasmas, ubicado en el sector gris (Los Hoyos) del Distrito Regional de Manejo Integrado La Tatacoa. La imagen exhibe en plano medio la severa erosión pluvial y eólica sobre la arcilla, la cual ha esculpido pináculos acanalados, micro-cárcavas verticales y estructuras llamadas "chimeneas de hadas" que asemejan siluetas espectrales.</t>
  </si>
  <si>
    <t>Esencia Violeta.jpg</t>
  </si>
  <si>
    <t>Un primer plano delicado de una flor de Brunfelsia en su primer día de vida. Su intenso tono violeta y su brillante centro blanco contrastan suavemente con el verde de sus hojas, capturando la frescura de una floración recién abierta.</t>
  </si>
  <si>
    <t>Esfera de Deseos.jpg</t>
  </si>
  <si>
    <t>Un retrato detallado de la simetría perfecta y la fragilidad de un diente de león maduro. Cada pequeña semilla con su diminuto paracaídas blanco resalta nítidamente sobre el fondo verde desenfocado, capturando ese instante exacto de sutil belleza antes de que el viento la disperse.</t>
  </si>
  <si>
    <t>Esferas de la Naturaleza.jpg</t>
  </si>
  <si>
    <t>Una toma en primer plano que captura la intensa calidez de un racimo de bayas rojas silvestres. El contraste entre la textura rugosa de las ramas y la redondez perfecta de los frutos resalta la belleza de los pequeños detalles que a veces pasamos por alto en el paisaje urbano o natural.</t>
  </si>
  <si>
    <t>Especie árbol Hueso (Salicaceae).jpg</t>
  </si>
  <si>
    <t>Salicaceae</t>
  </si>
  <si>
    <t>Espejo del Río Inírida.jpg</t>
  </si>
  <si>
    <t>Espeletia grandiflora - Frailejón.jpg</t>
  </si>
  <si>
    <t>Frailejón, especie clave para la retención y conservación del agua en los páramos y bosque altoandino</t>
  </si>
  <si>
    <t>Espeletia in Boyacá (Frailejones en Boyacá).jpg</t>
  </si>
  <si>
    <t>An Espeletia forest in the Aquitania (Los Curies) páramo, in the Boyacá department</t>
  </si>
  <si>
    <t>Espeletia schultesiana Frailejon-familia de las asteráceas.jpg</t>
  </si>
  <si>
    <t>Frailejon-familia de las asteráceas-Espeletia schultesiana-Chingaza</t>
  </si>
  <si>
    <t>Espeletia uribei.jpg</t>
  </si>
  <si>
    <t>Valle de frailejones Espeletia uribei. Especie endémica del PNN Chingaza, que se caracteriza por su altura (puede ser superior a los 10 metros) y por poseer un tallo desnudo.</t>
  </si>
  <si>
    <t>Esperando amor - PNN Cueva de los Guacharos (PRIMER PLANO).jpg</t>
  </si>
  <si>
    <t>Gallito de roca (hembra) / Ave nativa de la region Andino-Amazonica.</t>
  </si>
  <si>
    <t>Espiga floral del acanto.jpg</t>
  </si>
  <si>
    <t>Acanthus mollis, pertenece a la familia Acanthaceae. Cuenta con una altura de 30-70cm de altura y hojas basales</t>
  </si>
  <si>
    <t>Espiguero picocorto (Sporophila minuta) en Santander, Colombia.jpg</t>
  </si>
  <si>
    <t>El espiguero picocorto (Sporophila minuta) es una pequeña ave granívora distribuida en diversas regiones de América tropical. Esta fotografía fue tomada en el departamento de Santander, Colombia, y muestra un individuo observado cerca de una carretera en un entorno de vegetación abierta. La especie suele habitar pastizales, sabanas, áreas rurales y bordes de caminos, donde se alimenta principalmente de semillas de gramíneas y otras plantas herbáceas.</t>
  </si>
  <si>
    <t>Espinas de mora de Páramo.jpg</t>
  </si>
  <si>
    <t>Espinas de mora 3200 msnm</t>
  </si>
  <si>
    <t>4.562336, -73.989083</t>
  </si>
  <si>
    <t>Espumareda peligrosa.jpg</t>
  </si>
  <si>
    <t>Quebrada embaulada, alta contaminación</t>
  </si>
  <si>
    <t>Esta en mi y yo en el.jpg</t>
  </si>
  <si>
    <t>Rayo de vida sobre un ser vivo</t>
  </si>
  <si>
    <t>Estación caná.jpg</t>
  </si>
  <si>
    <t>Alojamiento ecoturístico Estación caná</t>
  </si>
  <si>
    <t>Estratos y pliegues de arcilla.jpg</t>
  </si>
  <si>
    <t>Plano cerrado y de carácter abstracto que documenta las capas sedimentarias expuestas en una cárcava de arcilla roja. La imagen destaca el contraste de tonos ocres y marrones, junto con las grietas de contracción del suelo dentro del Distrito Regional de Manejo Integrado La Tatacoa.</t>
  </si>
  <si>
    <t>Estructuras de disyunción columnar en el Nevado del Ruiz.jpg</t>
  </si>
  <si>
    <t>Fotografía geológica detallada que documenta las formaciones de columnas basálticas originadas por el lento enfriamiento de antiguas lavas en la zona volcánica del Nevado del Ruiz, resaltando los patrones poligonales de la piedra.</t>
  </si>
  <si>
    <t>Etlingera elatior-Baston del emperador.jpg</t>
  </si>
  <si>
    <t>Baston del emperador</t>
  </si>
  <si>
    <t>5.029910, -74.282561</t>
  </si>
  <si>
    <t>Eucalipto (Eucalyptus).jpg</t>
  </si>
  <si>
    <t>Eucalyptus</t>
  </si>
  <si>
    <t>Eufonia piquigruesa (Euphonia laniirostris) hembra en Paque Verde Y Agua, Fusagasugá, (Cundinamarca).jpg</t>
  </si>
  <si>
    <t>Thick-billed euphonia (Euphonia laniirostris) female in Fusagasugá, (Cundinamarca)</t>
  </si>
  <si>
    <t>Eufonia piquigruesa (Euphonia laniirostris) macho en Paque Verde Y Agua, Fusagasugá, (Cundinamarca).jpg</t>
  </si>
  <si>
    <t>Thick-billed euphonia (Euphonia laniirostris) male in Fusagasugá, (Cundinamarca)</t>
  </si>
  <si>
    <t>Eumorpha vitis - Barrancabermeja, Santander, Colombia - 09 Jul 2025 - Diferoch.jpg</t>
  </si>
  <si>
    <t>Adult individual of Eumorpha vitis observed in Barrancabermeja, Santander, Colombia.</t>
  </si>
  <si>
    <t>7.084965, -73.864013</t>
  </si>
  <si>
    <t>Euphonia laniirostris crassirostris - Barrancabermeja, Santander, Colombia - 2 Jun 2025.jpg</t>
  </si>
  <si>
    <t>Male of Euphonia laniirostris crassirostris observed in Barrancabermeja, Santander, Colombia.</t>
  </si>
  <si>
    <t>7.084988, -73.864052</t>
  </si>
  <si>
    <t>Euphonia laniirostris crassirostris - Barrancabermeja, Santander, Colombia - 4 Jun 2026 - Diferoch.jpg</t>
  </si>
  <si>
    <t>Adult male of Euphonia laniirostris crassirostris observed in Barrancabermeja, Santander, Colombia.</t>
  </si>
  <si>
    <t>7.084900, -73.863900</t>
  </si>
  <si>
    <t>Eupsittula pertinax aeruginosa - Barrancabermeja, Santander, Colombia - 12 Jul 2025 - Diferoch.jpg</t>
  </si>
  <si>
    <t>Two individuals of Eupsittula pertinax aeruginosa observed in Barrancabermeja, Santander, Colombia.</t>
  </si>
  <si>
    <t>7.095963, -73.756355</t>
  </si>
  <si>
    <t>FAUNA CHOCÓ COLOMBIA.jpg</t>
  </si>
  <si>
    <t>Chocó Colombia</t>
  </si>
  <si>
    <t>FAUNA Chocó Colombia.jpg</t>
  </si>
  <si>
    <t>FLOR AMARRILLA.jpg</t>
  </si>
  <si>
    <t>Fotografía en plano detalle de una pequeña flor amarilla con pétalos radiales bien definidos y un centro prominente con estambres oscuros. Las hojas adyacentes muestran una venación marcada y una superficie pubescente (velluda).</t>
  </si>
  <si>
    <t>Falso camaleón (Anolis heterodermus) sobre frailejón en el Parque Nacional Natural Chingaza.webp</t>
  </si>
  <si>
    <t>Fotografía de un falso camaleón (Anolis heterodermus), con coloración café, posado sobre la hoja de un frailejón en el ecosistema de páramo del Parque Nacional Natural Chingaza. El individuo se encuentra adherido a la vegetación característica de este ambiente de alta montaña, utilizando el frailejón como sustrato de descanso y camuflaje dentro del paisaje típico de los Andes orientales colombianos.</t>
  </si>
  <si>
    <t>Falso camaleón de páramo (Anolis heterodermus) en la Reserva Biológica Encenillo, Colombia.jpg</t>
  </si>
  <si>
    <t>Individuo conocido comúnmente como falso camaleón de páramo, fotografiado en la Reserva Biológica Encenillo. La imagen muestra al ejemplar perchado sobre una rama, exhibiendo una coloración verde que le permite camuflarse entre la vegetación del bosque altoandino. Los falsos camaleones son lagartos característicos de los ecosistemas de montaña de los Andes y forman parte de la diversidad de reptiles presentes en los bosques andinos colombianos.</t>
  </si>
  <si>
    <t>Falso pimiento (Anacardiaceae).jpg</t>
  </si>
  <si>
    <t>Falso pimiento (Anacardiaceae)</t>
  </si>
  <si>
    <t>Familia Anatidae.jpg</t>
  </si>
  <si>
    <t>Familia de patos en una pequeña Laguna por San Luis, Tolima</t>
  </si>
  <si>
    <t>4.280661, -75.106225</t>
  </si>
  <si>
    <t>Familia de chigüiros.jpg</t>
  </si>
  <si>
    <t>familia de chigüiros , saliendo de noche para buscar su refugio , foto tomada desde la finca los arrendajos , donde preservamos el habita de los animales</t>
  </si>
  <si>
    <t>Familias fungí 2024.jpg</t>
  </si>
  <si>
    <t>Flammulina velutipes at Quebrada La Vieja, Bogotá D.C.</t>
  </si>
  <si>
    <t>Farallones del Citará.jpg</t>
  </si>
  <si>
    <t>Atardecer en Ciudad Bolivar</t>
  </si>
  <si>
    <t>Farolito japonés.jpg</t>
  </si>
  <si>
    <t>Japanese Lantern (Abutilon sp.) "A charming lantern-shaped flower whose delicate blooms bring color and elegance to the garden throughout the year."</t>
  </si>
  <si>
    <t>4.864623, -74.048936</t>
  </si>
  <si>
    <t>Farolito japonés (Callianthe picta).jpg</t>
  </si>
  <si>
    <t>Japanese lantern (Callianthe picta). Also known as: Abutilon, Monacillo.</t>
  </si>
  <si>
    <t>Fauna, Chocó, Colombia.jpg</t>
  </si>
  <si>
    <t>Fauna, Chocó.Colombia.jpg</t>
  </si>
  <si>
    <t>Fauna, Chocó Colombia.jpg</t>
  </si>
  <si>
    <t>Fauna CHOCO, Colombia.jpg</t>
  </si>
  <si>
    <t>Fauna CHOCO.COLOMBIA.jpg</t>
  </si>
  <si>
    <t>Fauna CHOCO COLOMBIA.jpg</t>
  </si>
  <si>
    <t>Fauna CHOCO Colombia.jpg</t>
  </si>
  <si>
    <t>Fauna Cafetera.jpg</t>
  </si>
  <si>
    <t>Agricultura Quindiana.</t>
  </si>
  <si>
    <t>Fauna Choco, COLOMBIA.jpg</t>
  </si>
  <si>
    <t>Fauna Choco-Colombia.jpg</t>
  </si>
  <si>
    <t>Fauna ChocoColombia.jpg</t>
  </si>
  <si>
    <t>Fauna Choco Colombia.jpg</t>
  </si>
  <si>
    <t>Fauna Choco colombia.jpg</t>
  </si>
  <si>
    <t>5.739763, -76.281762</t>
  </si>
  <si>
    <t>Fauna Chocó, Colombia.jpg</t>
  </si>
  <si>
    <t>Fauna Chocó.Colombia.jpg</t>
  </si>
  <si>
    <t>Fauna Chocó; Colombia.jpg</t>
  </si>
  <si>
    <t>Fauna Chocó COLOMBIA.jpg</t>
  </si>
  <si>
    <t>Fauna Chocó Colombia.jpg</t>
  </si>
  <si>
    <t>Fauna Chocó colombia.jpg</t>
  </si>
  <si>
    <t>5.869236, -76.128552</t>
  </si>
  <si>
    <t>Fauna y Flora Boyacense.jpg</t>
  </si>
  <si>
    <t>Ganado en boyacá.</t>
  </si>
  <si>
    <t>Female Megasoma mars on the beach of Nuquí, Chocó, Colombia.jpg</t>
  </si>
  <si>
    <t>Female Megasoma mars beetle photographed on a beach in Nuquí, Chocó Department, Colombia.</t>
  </si>
  <si>
    <t>Female golden silk orb-weaver (Trichonephila clavipes) in its web, 2025.jpg</t>
  </si>
  <si>
    <t>A ventral view of a mature female Trichonephila clavipes suspended in the center of its large orb web, showing the distinctive tufts of hair on its long legs and a wrapped prey item in the background.</t>
  </si>
  <si>
    <t>Fenómeno óptico de Gloria o Espectro de Brocken en Sumapaz.jpg</t>
  </si>
  <si>
    <t>Fotografía científica y meteorológica de un fenómeno óptico conocido como "Gloria" o "Espectro de Brocken". Captura anillos concéntricos de colores (similares a un arcoíris circular) producidos por la difracción de la luz solar al interactuar de manera uniforme con las microgotas de agua suspendidas en la densa niebla andina.</t>
  </si>
  <si>
    <t>Filodendro1.jpg</t>
  </si>
  <si>
    <t>Filodendron melanochrysum - Familia Araceae - este detalle muestra flores dentro de las flores - nótese también el detalle de las flores en forma de "corazón"</t>
  </si>
  <si>
    <t>Filodendro2.jpg</t>
  </si>
  <si>
    <t>Filodendron melanochrysum - Familia Araceae - este detalle muestra flores dentro de las flores - nótese también el detalle de las flores en forma de "corazón" y además polinizadores en acción en la planta</t>
  </si>
  <si>
    <t>Filodendro3.jpg</t>
  </si>
  <si>
    <t>Filodendron melanochrysum - Familia Araceae</t>
  </si>
  <si>
    <t>Filodendro junio de 2026.jpg</t>
  </si>
  <si>
    <t>Finca San Miguel.jpg</t>
  </si>
  <si>
    <t>8.077878, -74.781500</t>
  </si>
  <si>
    <t>Fishermen in Barú (Pescadores en Barú).jpg</t>
  </si>
  <si>
    <t>Fishermen in a traditional canoe using a net to fish in the island of Barú, in the Bolívar department</t>
  </si>
  <si>
    <t>Flamencos en Parque Jaime Duque, Colombia.jpg</t>
  </si>
  <si>
    <t>Flamencos rosados en paruqe Jaime Duque. Zipaquirá, Colombia.</t>
  </si>
  <si>
    <t>Flamingos - 3.jpg</t>
  </si>
  <si>
    <t>Flamingos</t>
  </si>
  <si>
    <t>Flies Mating.jpg</t>
  </si>
  <si>
    <t>Two house flies mating.</t>
  </si>
  <si>
    <t>Flor Calliandra trinervia Benth.jpg</t>
  </si>
  <si>
    <t>Calliandra trinervia Benth flower.</t>
  </si>
  <si>
    <t>Flor ceiba amarilla.jpg</t>
  </si>
  <si>
    <t>Flor masculina de la ceiba amarilla</t>
  </si>
  <si>
    <t>Flor colombiana.jpg</t>
  </si>
  <si>
    <t>colombian flower</t>
  </si>
  <si>
    <t>Flor colombiana2.jpg</t>
  </si>
  <si>
    <t>colombian flower2</t>
  </si>
  <si>
    <t>Flor de Aguacatillo.jpg</t>
  </si>
  <si>
    <t>Persea sp flower</t>
  </si>
  <si>
    <t>4.883569, -74.281700</t>
  </si>
  <si>
    <t>Flor La reina de la noche.jpg</t>
  </si>
  <si>
    <t>Flor La reina de la noche</t>
  </si>
  <si>
    <t>Flor Melastomataceae.jpg</t>
  </si>
  <si>
    <t>Flor fotografiada en La Casa de la Cultura de Chocontá</t>
  </si>
  <si>
    <t>Flor de Cactus -1.jpg</t>
  </si>
  <si>
    <t>Flor de Cactus</t>
  </si>
  <si>
    <t>Flor de Caldas.jpg</t>
  </si>
  <si>
    <t>The moon over the dark sky</t>
  </si>
  <si>
    <t>Flor de Cola de Alacrán – Género Stachytarpheta – Familia Verbenaceae.png</t>
  </si>
  <si>
    <t>Cola de Alacrán – Género Stachytarpheta – Familia Verbenaceae</t>
  </si>
  <si>
    <t>Flor de Páramo Sandra Ramírez Giraldo.jpg</t>
  </si>
  <si>
    <t>Flor de Cristo, Epidendrum secundum, es una orquídea conocida por crecer en diversos entornos, incluyendo zonas de páramo en Colombia.</t>
  </si>
  <si>
    <t>Flor de Rosa rubiginosa (L).jpg</t>
  </si>
  <si>
    <t>Flower of Rosa rubiginosa (synonym: Rosa eglanteria). Photo taken in the rose garden at the Bogotá Botanical Garden.</t>
  </si>
  <si>
    <t>4.668222, -74.099861</t>
  </si>
  <si>
    <t>Flor de algodon.jpg</t>
  </si>
  <si>
    <t>Flor de algodón en Jardín Botánico de Bogotá</t>
  </si>
  <si>
    <t>Flor de feijoa 19 de marzo.jpg</t>
  </si>
  <si>
    <t>Flor de feijoa</t>
  </si>
  <si>
    <t>Flor de la Oreja de Elefante.jpg</t>
  </si>
  <si>
    <t>Flor de la Oreja de Elefante en el Jardín Botánico de Bogotá</t>
  </si>
  <si>
    <t>Flor de la familia Melastomataceae.png</t>
  </si>
  <si>
    <t>Flor rosa de la familia Melastomataceae</t>
  </si>
  <si>
    <t>Flor de la pasión, Colombia.jpg</t>
  </si>
  <si>
    <t>Passion fruit flower (Passiflora edulis), a fruit native to warm regions of South America</t>
  </si>
  <si>
    <t>12.583333, -81.700000</t>
  </si>
  <si>
    <t>Flor de la reserva naturla de guataqui de potosi.jpg</t>
  </si>
  <si>
    <t>nature reserve</t>
  </si>
  <si>
    <t>Flor de nenúfar tropical (familia Nymphaeaceae).jpg</t>
  </si>
  <si>
    <t>primer plano de un nenúfar</t>
  </si>
  <si>
    <t>Flor de pelo de ángel en la reserva Moravia.jpg</t>
  </si>
  <si>
    <t>Flor a medio abrir de Clematis hankeana</t>
  </si>
  <si>
    <t>4.857047, -74.347328</t>
  </si>
  <si>
    <t>Flor de pétalos púrpuras.jpg</t>
  </si>
  <si>
    <t>Harmonia axyridis</t>
  </si>
  <si>
    <t>Flor de tuno.jpg</t>
  </si>
  <si>
    <t>Miconia cocuy</t>
  </si>
  <si>
    <t>6.373144, -72.338189</t>
  </si>
  <si>
    <t>Flor de un día, Colombia.jpg</t>
  </si>
  <si>
    <t>One-day flower, Bogotá, Colombia</t>
  </si>
  <si>
    <t>Flor de un día-Colombia.jpg</t>
  </si>
  <si>
    <t>Flor de un día, Bogotá, Colombia</t>
  </si>
  <si>
    <t>Flor de un día; Colombia.jpg</t>
  </si>
  <si>
    <t>Flor del Inírida - Schoenocephalium teretifolium.jpg</t>
  </si>
  <si>
    <t>Flor en Manos de Luisa.jpg</t>
  </si>
  <si>
    <t>Flor en monserrate.jpg</t>
  </si>
  <si>
    <t>se observa esta flor ubicada en Monserrate, cerca de la iglesia tiene una forma de campanilla y es nativa de colombia</t>
  </si>
  <si>
    <t>Flor junto a mariposa.jpg</t>
  </si>
  <si>
    <t>Flor amarillas con una mariposa posando en sus pétalos</t>
  </si>
  <si>
    <t>Flor macho Ceiba amarilla.jpg</t>
  </si>
  <si>
    <t>Flor de ceiba amarilla en Jardín Botánicod e Bogotá</t>
  </si>
  <si>
    <t>Flor morada Aguileña común – Género Aquilegia – Familia Ranunculaceae.png</t>
  </si>
  <si>
    <t>Flor morada Aguileña común – Género Aquilegia – Familia Ranunculaceae</t>
  </si>
  <si>
    <t>Flor rosada en campo.jpg</t>
  </si>
  <si>
    <t>Individuo de Raphanus raphanistrum L. en un campo en Mosquera, Colombia</t>
  </si>
  <si>
    <t>Flor rosita.jpg</t>
  </si>
  <si>
    <t>La belleza que nos da el jardin botanico de bogota de lo efimero en la palma de la mano</t>
  </si>
  <si>
    <t>Flora Colombiana Comfama.jpg</t>
  </si>
  <si>
    <t>Silleta de flores en comfama.</t>
  </si>
  <si>
    <t>Floración de pendientes de la Reina - Aljaba (Fuchsia magellanica).jpg</t>
  </si>
  <si>
    <t>Fuchsia magellanica</t>
  </si>
  <si>
    <t>Flores amarillas de jardín.jpg</t>
  </si>
  <si>
    <t>Flores amarillas de jardín</t>
  </si>
  <si>
    <t>Flores amarillas y mariposa.jpg</t>
  </si>
  <si>
    <t>Danaidae butterfly</t>
  </si>
  <si>
    <t>Flores amarrilas.jpg</t>
  </si>
  <si>
    <t>se observa estas flores ubicadas en la universidad del externado, se utilizaron en los balcones como paisajismo</t>
  </si>
  <si>
    <t>Flores de frailejon.jpg</t>
  </si>
  <si>
    <t>Flores de frailejon</t>
  </si>
  <si>
    <t>Flores de grandiflora.jpg</t>
  </si>
  <si>
    <t>Flor de Frailejon</t>
  </si>
  <si>
    <t>4.563622, -73.990211</t>
  </si>
  <si>
    <t>Flores para mis amigas.jpg</t>
  </si>
  <si>
    <t>Flowers</t>
  </si>
  <si>
    <t>Flower of Prickly Pear Cactus (Opuntia), near Villa de Leyva, 2026.jpg</t>
  </si>
  <si>
    <t>A native cactus thriving in the unique semi-arid microclimate of Villa de Leyva, surrounded by the characteristic fine-leaved vegetation of Colombia's high-altitude dry forests.</t>
  </si>
  <si>
    <t>Flowering shrub on an arid eroded hillside near Villa de Leyva, Colombia.jpg</t>
  </si>
  <si>
    <t>A vibrant yellow-flowering woody plant blooming on a steep, barren sedimentary slope in the Boyacá department, showing characteristic soil erosion and sparse xerophytic vegetation of the regional microclimate.</t>
  </si>
  <si>
    <t>Flowery plant.jpg</t>
  </si>
  <si>
    <t>Green prevails</t>
  </si>
  <si>
    <t>4.736347, -75.643272</t>
  </si>
  <si>
    <t>Fog in the Colombian mountains.jpg</t>
  </si>
  <si>
    <t>Green is the way</t>
  </si>
  <si>
    <t>5.072919, -75.285392</t>
  </si>
  <si>
    <t>Fork-tailed Flycatcher (Tyrannus savana) perched on an electric cable at Nuquí Beach, Chocó, Colombia.jpg</t>
  </si>
  <si>
    <t>Fork-tailed Flycatcher (Tyrannus savana) perched on an electric cable at Nuquí Beach, Chocó Department, Colombia.</t>
  </si>
  <si>
    <t>Formaciones de arcilla gris en Los Hoyos.jpg</t>
  </si>
  <si>
    <t>Vista a nivel de suelo que muestra las estructuras y laderas de arcilla de color gris pálido características del sector de Los Hoyos. Registra el desgaste natural del terreno dentro del Distrito Regional de Manejo Integrado La Tatacoa.</t>
  </si>
  <si>
    <t>Formaciones rocosas del desierto gris de la Tatacoa.jpg</t>
  </si>
  <si>
    <t>Los Hoyos sector, Tatacoa Desert (Huila, Colombia), June 7, 2026. It shows a badlands landscape where rain and wind have carved labyrinths and gullies into the clay soil over thousands of years.</t>
  </si>
  <si>
    <t>3.237904, -75.118426</t>
  </si>
  <si>
    <t>Formación geológica de los Farallones de Sutatausa bajo cielo tormentoso.jpg</t>
  </si>
  <si>
    <t>Fotografía de paisaje que captura la imponente estructura lineal y escarpada de los Farallones de Sutatausa. En la composición se destaca la marcada estratificación de la roca sedimentaria, la vegetación nativa que coloniza sus grietas y el bosque adyacente bajo un cielo dramático de tormenta.</t>
  </si>
  <si>
    <t>5.216618, -73.846286</t>
  </si>
  <si>
    <t>Formación rocosa, sendero Ritacuba Blanco, Parque Nacional Natural El Cocuy.jpg</t>
  </si>
  <si>
    <t>Formación rocosa, sendero Ritacuba Blanco, Parque Nacional Natural El Cocuy, Boyacá, Colombia, 2026.</t>
  </si>
  <si>
    <t>Foto de un hongo. Reserva Natural Guataquí de Potosí.jpg</t>
  </si>
  <si>
    <t>Foto tomada en la reserva natural Guataquí de Potosí</t>
  </si>
  <si>
    <t>Foto panorámica de Monserrate.jpg</t>
  </si>
  <si>
    <t>Panoramic photo of Monserrate</t>
  </si>
  <si>
    <t>Fotococo.jpg</t>
  </si>
  <si>
    <t>Fotografia primer plano de un cocodrilo o babilla</t>
  </si>
  <si>
    <t>Fototreff 2025.04.20 08-33 26 edited.png</t>
  </si>
  <si>
    <t>Mushroom in the Forest</t>
  </si>
  <si>
    <t>Fototreff 2025.04.20 09-14 31 edited.png</t>
  </si>
  <si>
    <t>A House in the Forest</t>
  </si>
  <si>
    <t>Fractales Verdes.jpg</t>
  </si>
  <si>
    <t>Una mirada detallada a la hipnótica simetría de una Euforbia silvestre. Sus hojas y brácteas se organizan en niveles perfectamente equilibrados, creando un patrón geométrico fascinante que resalta sobre el suelo cubierto de hojarasca seca.</t>
  </si>
  <si>
    <t>Frailejon (Espeletia sp).jpg</t>
  </si>
  <si>
    <t>Frailejon, fotografía tomada en el parque nacional natural Sumapaz</t>
  </si>
  <si>
    <t>Frailejon en páramo nublado - Subida volcán Azufral.jpg</t>
  </si>
  <si>
    <t>Frailejon en Páramo</t>
  </si>
  <si>
    <t>Frailejon güican.jpg</t>
  </si>
  <si>
    <t>Espeletia sp</t>
  </si>
  <si>
    <t>6.398675, -72.316881</t>
  </si>
  <si>
    <t>Frailejones cocuy.jpg</t>
  </si>
  <si>
    <t>frailejones cocuy</t>
  </si>
  <si>
    <t>6.413197, -72.337286</t>
  </si>
  <si>
    <t>Frailejones en ecosistema de alta montaña en el Parque Nacional Natural Chingaza.jpg</t>
  </si>
  <si>
    <t>Fotografía de un paisaje de alta montaña en el Parque Nacional Natural Chingaza, donde se observan frailejones creciendo en un entorno mixto de páramo y vegetación arbustiva. Los individuos corresponden a plantas del género Espeletia, aunque no se cuenta con identificación a nivel de especie. El paisaje muestra la transición entre el páramo abierto y zonas con arbustos y pequeños árboles propios de la alta montaña andina. Este tipo de ecosistemas cumple un papel esencial en la regulación hídrica y la conservación de la biodiversidad en los Andes colombianos.</t>
  </si>
  <si>
    <t>Frailejones en páramo nublado - Subida volcán Azufral.jpg</t>
  </si>
  <si>
    <t>La vida y la muerte</t>
  </si>
  <si>
    <t>Frailejones es un género de plantas de la familia Asteraceae.jpg</t>
  </si>
  <si>
    <t>Frailejones es un género de plantas de la familia Asteraceae, propias del páramo, nativas de Colombia, Ecuador y Venezuela</t>
  </si>
  <si>
    <t>Frailejones sierra nevada del Cocuy y Güicán.jpg</t>
  </si>
  <si>
    <t>Frailejones sector lagunas.</t>
  </si>
  <si>
    <t>Frailejón 2025-12-24.jpg</t>
  </si>
  <si>
    <t>Se observa en el primer plano un frailejón, en el plano medio un arbusto de tonos grisáseos y una población de frailejones, en el fondo se aprecia una pared rocosa que es dificilmente vista por una nube de neblina. La foto está enfocada en el frailejón y fue tomada en el Parque Natural Nacional Los Nevados</t>
  </si>
  <si>
    <t>4.934704, -75.347230</t>
  </si>
  <si>
    <t>Frailejón 20260528 145157.jpg</t>
  </si>
  <si>
    <t>Valle de los frailejones en el PNN Los Nevados en Villamaría Caldas, el de la imagen es una especie nativa de Colombia. Crecen 1 cm al año, el de la imagen talvez tenga 1 o 2 siglos. Los frailejones son fábricas naturales de agua en los páramos..</t>
  </si>
  <si>
    <t>Frailejón Páramo de Belmira Sandra Ramírez Giraldo.jpg</t>
  </si>
  <si>
    <t>Frailejón en medio del amanecer en el Páramo de Belmira, Antioquia, Colombia. Sandra Ramírez Giraldo</t>
  </si>
  <si>
    <t>Frailejón del género Espeletia en páramo de Aquitania, Boyacá.jpg</t>
  </si>
  <si>
    <t>Fotografía de un frailejón del género Espeletia, observado en el páramo de Aquitania, Boyacá, Colombia. El individuo se encuentra sobresaliendo entre otros frailejones dentro de un paisaje típico de alta montaña, caracterizado por su vegetación adaptada a condiciones frías y de alta humedad. Este tipo de ecosistemas cumple un papel fundamental en la regulación hídrica y la conservación de la biodiversidad andina, recordando la importancia de la protección y conservación de los páramos.</t>
  </si>
  <si>
    <t>Frailejón en Sumapaz.jpg</t>
  </si>
  <si>
    <t>Frailejón en PNN Sumapaz</t>
  </si>
  <si>
    <t>Fronda.jpg</t>
  </si>
  <si>
    <t>Plantas, texturas en verde y sombre de plantas del jardin botanico en bogota</t>
  </si>
  <si>
    <t>Fruto ornamental de Solanum pseudocapsicum en jardín universitario.jpg</t>
  </si>
  <si>
    <t>Imagen de fruto esférico naranja perteneciente a una especie ornamental de la familia Solanaceae, utilizada frecuentemente en jardines urbanos por su valor decorativo. Nombre común: Cerezo de Jerusalén / Tomate ornamental Nombre científico: Solanum pseudocapsicum</t>
  </si>
  <si>
    <t>Fucsia (19977).jpg</t>
  </si>
  <si>
    <t>Fucsia</t>
  </si>
  <si>
    <t>4.944761, -75.135616</t>
  </si>
  <si>
    <t>Fucsia (36752).jpg</t>
  </si>
  <si>
    <t>4.918956, -74.927765</t>
  </si>
  <si>
    <t>Fucsia (40360).jpg</t>
  </si>
  <si>
    <t>4.975985, -75.033227</t>
  </si>
  <si>
    <t>Fucsia andina.jpg</t>
  </si>
  <si>
    <t>Fuchsia (Fuchsia sp.) "A graceful hanging flower with vivid colors, highly attractive to hummingbirds and pollinating insects."</t>
  </si>
  <si>
    <t>4.863661, -74.048110</t>
  </si>
  <si>
    <t>Fucsia arbórea.jpg</t>
  </si>
  <si>
    <t>planta adoptada , donde le damos un seguimiento del proceso de crecimiento y su floracion</t>
  </si>
  <si>
    <t>Fucsiashuila 05.jpg</t>
  </si>
  <si>
    <t>Fuego de Jardín.jpg</t>
  </si>
  <si>
    <t>Una toma cercana que resalta la fuerza y el brillo de un racimo de Clivias en plena floración. Los pétalos anaranjados y los estambres amarillos destacan vívidamente contra el verde oscuro de sus propias hojas, transmitiendo una inmensa energía natural.</t>
  </si>
  <si>
    <t>Fósil de Didymotis sp. del Grupo Villeta.jpg</t>
  </si>
  <si>
    <t>Fósil de bivalvo Didymotis sp. perteneciente al Conaciano del Grupo Villeta en Colombia</t>
  </si>
  <si>
    <t>4.664552, -74.377688</t>
  </si>
  <si>
    <t>Gallinazo La convención, cusco.jpg</t>
  </si>
  <si>
    <t>es una ave carroñera que sobre vuela todo su entorno en busca de comida</t>
  </si>
  <si>
    <t>Gallinazo en poste de luz.png</t>
  </si>
  <si>
    <t>Black vulture sighting on a light pole</t>
  </si>
  <si>
    <t>4.935833, -73.980278</t>
  </si>
  <si>
    <t>Gallito ser las rocas, cusco.jpg</t>
  </si>
  <si>
    <t>es una ave que vive en zonas rocosas cerca a ríos o cascadas de agua</t>
  </si>
  <si>
    <t>Galopando en el llano.jpg</t>
  </si>
  <si>
    <t>Fotografia tomada en villavicencio, meta, realizando actividad a caballo especificamente galopando</t>
  </si>
  <si>
    <t>Galvanes (Cachira N.S).jpg</t>
  </si>
  <si>
    <t>Bird perched on a tree branch (can you help me identify it?).</t>
  </si>
  <si>
    <t>7.739343, -73.047775</t>
  </si>
  <si>
    <t>Ganado en La unión, Valle del Cauca.jpg</t>
  </si>
  <si>
    <t>Paisaje ganadero en la Unión, Valle del Cauca.</t>
  </si>
  <si>
    <t>Gaque doble.jpg</t>
  </si>
  <si>
    <t>Fruto de Clusia multiflora doble</t>
  </si>
  <si>
    <t>4.863975, -74.346956</t>
  </si>
  <si>
    <t>Garza Real rio la Vieja.jpg</t>
  </si>
  <si>
    <t>Valle del Cauca</t>
  </si>
  <si>
    <t>Garza blanca en Paipa, Colombia.jpg</t>
  </si>
  <si>
    <t>Big white heron (60 cm tall) photographed in the Paipa region (Boyacá) in Colombia</t>
  </si>
  <si>
    <t>5.768603, -73.115372</t>
  </si>
  <si>
    <t>Gaviota Reidora - Chroicocephalus ridibundus.jpg</t>
  </si>
  <si>
    <t>Cartagena Colombia</t>
  </si>
  <si>
    <t>Gazania amarilla.jpg</t>
  </si>
  <si>
    <t>Gazania (Gazania rigens) "A sun-loving flower with brilliant yellow petals and striking dark markings around its center."</t>
  </si>
  <si>
    <t>4.885011, -74.044707</t>
  </si>
  <si>
    <t>Gazania flower with water droplets.jpg</t>
  </si>
  <si>
    <t>Gazania flower with water droplets</t>
  </si>
  <si>
    <t>Geranio (Pelargonium).jpg</t>
  </si>
  <si>
    <t>Crecen en racimos redondeados (umbelas) de un color rojo vibrante.</t>
  </si>
  <si>
    <t>Gerbera blanca.jpg</t>
  </si>
  <si>
    <t>Gerbera Daisy (Gerbera jamesonii) "A bright daisy-like flower known for its large blooms and vibrant colors, popular with pollinators."</t>
  </si>
  <si>
    <t>4.864626, -74.048884</t>
  </si>
  <si>
    <t>Giant Dragon Fruit Blossom (Selenicereus), near Bogotá, 2025.jpg</t>
  </si>
  <si>
    <t>These massive, night-blooming flowers are specialized to attract bats and large moths for pollination in the transitional mountain ecosystems of Colombia.</t>
  </si>
  <si>
    <t>Ginko biloba - Julian Barrera.jpg</t>
  </si>
  <si>
    <t>28 de febrero del 2026 en el Jardín botanico de Bogotá</t>
  </si>
  <si>
    <t>Girasol, Guacamayas.jpg</t>
  </si>
  <si>
    <t>Girasol, Guacamayas, Boyacá, Colombia, 2026.</t>
  </si>
  <si>
    <t>Glandulas ceiba amarilla.jpg</t>
  </si>
  <si>
    <t>Estas glándulas secretan una especie de néctar que termina atrayando a las hormigas que al final terminan protegiendo la planta de otros hervíboros como gusanos, etc.</t>
  </si>
  <si>
    <t>Glaucidium brasilianum, Colombia.jpg</t>
  </si>
  <si>
    <t>Glaucidium brasilianum. Tomada en la Reserva Forestal Protectora Manantial de Cañaverales, La Guajira, Colombia</t>
  </si>
  <si>
    <t>Golden Kangaroo Paw (Anigozanthos pulcherrimus).tif</t>
  </si>
  <si>
    <t>Golden Kangaroo Paw (Anigozanthos pulcherrimus)- Haemodoraceae - Plantae</t>
  </si>
  <si>
    <t>Golofa sp. male in Nariño, Colombia.jpg</t>
  </si>
  <si>
    <t>Escarabajo cornudo macho del género Golofa en su entorno natural, Colombia</t>
  </si>
  <si>
    <t>Gordonia en la reserva el gualivá.jpg</t>
  </si>
  <si>
    <t>Gordonia, flor de un árbol centenario</t>
  </si>
  <si>
    <t>4.894333, -74.354194</t>
  </si>
  <si>
    <t>Gota de agua 2026.jpg</t>
  </si>
  <si>
    <t>Se ve como brota la agua</t>
  </si>
  <si>
    <t>Green-and-black fruiteater (Pipreola riefferii riefferii) Caldas 2.jpg</t>
  </si>
  <si>
    <t>Green-and-black fruiteater ( Pipreola riefferii riefferii ), Reserva Ecologica Rio Blanco, Manizales, Caldas</t>
  </si>
  <si>
    <t>Grey-breasted mountain toucan (Andigena hypoglauca) Caldas 5.jpg</t>
  </si>
  <si>
    <t>Grey-breasted mountain toucan ( Andigena hypoglauca ), Hacienda el Bosque civil society natural reserve, Caldas, Colombia</t>
  </si>
  <si>
    <t>5.020000, -75.360000</t>
  </si>
  <si>
    <t>Grillo (39545).jpg</t>
  </si>
  <si>
    <t>Una de las formas más sencillas de diferenciar un grillo de un saltamontes es sus antenas largas</t>
  </si>
  <si>
    <t>4.330608, -75.845553</t>
  </si>
  <si>
    <t>Grillo posado en una hoja.jpg</t>
  </si>
  <si>
    <t>Un grillo fotografiado en el Parque Granja Extrema</t>
  </si>
  <si>
    <t>Grillo posando en una hoja.jpg</t>
  </si>
  <si>
    <t>Grillo posando en una hoja</t>
  </si>
  <si>
    <t>Grupo de Spinus magellanicus en vegetación arbustiva.jpg</t>
  </si>
  <si>
    <t>Birds of the species Spinus magellanicus recorded in natural vegetation.</t>
  </si>
  <si>
    <t>Grupo de flores púrpuras.jpg</t>
  </si>
  <si>
    <t>Agrupación de Raphanus raphanistrum L. en un campo en Mosquera, Colombia</t>
  </si>
  <si>
    <t>Guacamaya Colombiana.jpg</t>
  </si>
  <si>
    <t>Animal Representativo de Colombia, La Guacamaya</t>
  </si>
  <si>
    <t>Guacamayo Escarlata - Ara macao.jpg</t>
  </si>
  <si>
    <t>Guacamayo azul y amarillo - Ara ararauna.jpg</t>
  </si>
  <si>
    <t>Guaco1.jpg</t>
  </si>
  <si>
    <t>Gigantón morado - Datura metel - Solanaceae</t>
  </si>
  <si>
    <t>4.667750, -74.099940</t>
  </si>
  <si>
    <t>Guaco2.jpg</t>
  </si>
  <si>
    <t>Guaco mayo de 2026.jpg</t>
  </si>
  <si>
    <t>Gigantón morado - Datura metel - Solanaceae - oriunda de Colombia, Departamento de Sucre</t>
  </si>
  <si>
    <t>Guajira Beaches.jpg</t>
  </si>
  <si>
    <t>Beaches in Guajira</t>
  </si>
  <si>
    <t>Guajira Colombia.jpg</t>
  </si>
  <si>
    <t>Boat in Guajiran Lake</t>
  </si>
  <si>
    <t>Guajira desierto.jpg</t>
  </si>
  <si>
    <t>Alta Guajira colombiana</t>
  </si>
  <si>
    <t>Guama mayo de 2026.jpg</t>
  </si>
  <si>
    <t>Guama en el Jardín Botánico de Bogotá</t>
  </si>
  <si>
    <t>Guardianes del agua en el PNN Puracé.jpg</t>
  </si>
  <si>
    <t>Group of frailejones (rosete plants of the Espeletia genus) with the impressive landscape view in Puracé National Natural Park.</t>
  </si>
  <si>
    <t>2.128661, -76.429432</t>
  </si>
  <si>
    <t>Guardianes del piedemonte llanero 01.png</t>
  </si>
  <si>
    <t>El mono Zocay uno de los habitantes mas fascinantes de la fauna colombiana. habita en la densas selva tropical del departamento del Meta Colombia</t>
  </si>
  <si>
    <t>Guardianes del piedemonte llanero 02.png</t>
  </si>
  <si>
    <t>Guardianes del piedemonte llanero 03.png</t>
  </si>
  <si>
    <t>El mono ardilla uno de los habitantes mas fascinantes de la fauna colombiana. habita en la densas selva tropical del departamento del Meta Colombia</t>
  </si>
  <si>
    <t>Guardianes del piedemonte llanero 04.png</t>
  </si>
  <si>
    <t>Guardianes del piedemonte llanero 05.png</t>
  </si>
  <si>
    <t>El mono Ardilla uno de los habitantes mas fascinantes de la fauna colombiana. habita en la densas selva tropical del departamento del Meta Colombia</t>
  </si>
  <si>
    <t>Guardianes del piedemonte llanero 06.png</t>
  </si>
  <si>
    <t>Guardianes en familia.jpg</t>
  </si>
  <si>
    <t>Con la luz que parece brotar de uno de los frailejones simboliza la esperanza y la vida, ya que estas plantas son llamadas los guardianes del paramo y del agua</t>
  </si>
  <si>
    <t>5.936661, -73.007276</t>
  </si>
  <si>
    <t>Guardián de las alturas Paramunas.jpg</t>
  </si>
  <si>
    <t>The resplendent páramo eagle, keeping watch over the mist of the páramo in Guanentá-Alto Río Fonce National Natural Park.</t>
  </si>
  <si>
    <t>Guatape mirador.jpg</t>
  </si>
  <si>
    <t>Embalse de guatape una laguna hecha por el hombre</t>
  </si>
  <si>
    <t>Guayacán amarillo.jpg</t>
  </si>
  <si>
    <t>(Handroanthus chrysanthus) Árbol nativo de América tropical, se caracteriza por tener flores amarillas vistosas que crecen en temporada seca, es de gran belleza ornamental.</t>
  </si>
  <si>
    <t>5.075699, -75.512623</t>
  </si>
  <si>
    <t>Guayacán de Manizales.jpg</t>
  </si>
  <si>
    <t>Guayacán de Manizales</t>
  </si>
  <si>
    <t>Guayacán de Manizales (Lythraceae).jpg</t>
  </si>
  <si>
    <t>Guayacán de Manizales (Lythraceae)</t>
  </si>
  <si>
    <t>Guayacán rosado.jpg</t>
  </si>
  <si>
    <t>Guayacán rosado, Ocobo, Apamate, Tabebuia rosea, Peña Negra, Cachipay, Cundinamarca, Colombia, 2025.</t>
  </si>
  <si>
    <t>Gusano medidor.jpg</t>
  </si>
  <si>
    <t>Gusano medidor</t>
  </si>
  <si>
    <t>4.968263, -74.250233</t>
  </si>
  <si>
    <t>Gusano medidor (30062).jpg</t>
  </si>
  <si>
    <t>4.971446, -74.293691</t>
  </si>
  <si>
    <t>Gusano medidor (91486).jpg</t>
  </si>
  <si>
    <t>4.969160, -74.252786</t>
  </si>
  <si>
    <t>Gusano rojo me observa.png</t>
  </si>
  <si>
    <t>Nos encontramos y nos saludamos</t>
  </si>
  <si>
    <t>Guzmania reserva Moravia.jpg</t>
  </si>
  <si>
    <t>Guzmania reserva Moravia</t>
  </si>
  <si>
    <t>4.861056, -74.345047</t>
  </si>
  <si>
    <t>Guzmania sp. en el JBB.jpg</t>
  </si>
  <si>
    <t>Guzmania sp. de la familia Bromeliaceae en el Jardín Botánico de Bogotá</t>
  </si>
  <si>
    <t>Habitantes de la marea en Gorgona.jpg</t>
  </si>
  <si>
    <t>Individual of Ocypode gaudichaudii feeding on the remains of another individual of the same species on the beach of Gorgona Island.</t>
  </si>
  <si>
    <t>2.938840, -78.202902</t>
  </si>
  <si>
    <t>Haya común (Fagus sylvatica).jpg</t>
  </si>
  <si>
    <t>Fagus sylvatica</t>
  </si>
  <si>
    <t>Hayo mayo de 2026.jpg</t>
  </si>
  <si>
    <t>Hayo en Jardín Botánico de Bogotá</t>
  </si>
  <si>
    <t>Helecho - húmedal Santa María del Lago, Bogotá, Colombia.jpg</t>
  </si>
  <si>
    <t>Este helecho se encontró en el húmedal de Santa María del Lago, Bogotá, Colombia. Adornando el sendero principal del húmedal.</t>
  </si>
  <si>
    <t>Helecho de Boston (Nephrolepis exaltata).jpg</t>
  </si>
  <si>
    <t>Boston fern (Nephrolepis exaltata)</t>
  </si>
  <si>
    <t>Helechos de Boston (Nephrolepis exaltata).jpg</t>
  </si>
  <si>
    <t>Boston ferns (Nephrolepis exaltata)</t>
  </si>
  <si>
    <t>Helechos mayo 2026.jpg</t>
  </si>
  <si>
    <t>Helechos en el Jardín Botánico</t>
  </si>
  <si>
    <t>Heliconia psittacorum - Heliconiaceae.jpg</t>
  </si>
  <si>
    <t>Heliconia psittacorum - Heliconiaceae - Heliconia, Platanillo</t>
  </si>
  <si>
    <t>Heliconia rostrata-Platanillo colgante.jpg</t>
  </si>
  <si>
    <t>Heliconia rostrata-Platanillo colgante-specie es originaria de Bolivia, Colombia, Ecuador y Perú</t>
  </si>
  <si>
    <t>Heliconia rostrata - Platanillo.jpg</t>
  </si>
  <si>
    <t>Heliconia rostrata</t>
  </si>
  <si>
    <t>Heliconius Melpomene 2026-05-24.jpg</t>
  </si>
  <si>
    <t>Heliconius butterflies are famous for their bold wing patterns, which warn predators that they are toxic.</t>
  </si>
  <si>
    <t>Heliotropio.jpg</t>
  </si>
  <si>
    <t>Heliotrope (Heliotropium sp.) "A fragrant cluster of purple flowers that attracts bees and butterflies throughout the growing season."</t>
  </si>
  <si>
    <t>4.864625, -74.048879</t>
  </si>
  <si>
    <t>Hembra de Falco sparverius en percha natural en hábitat abierto.jpg</t>
  </si>
  <si>
    <t>Bird of the species Falco sparverius (female) recorded in an open habitat.</t>
  </si>
  <si>
    <t>Hembra euphonia piqigruesa construyendo su nido.jpg</t>
  </si>
  <si>
    <t>English</t>
  </si>
  <si>
    <t>Hemíptero Magnolia.jpg</t>
  </si>
  <si>
    <t>Es un hemíptero "Chinche Asesina" que se ubico en una flor del tipo Magnolia. en una parte del Jardín Botánico de Bogotá</t>
  </si>
  <si>
    <t>Heranice sp.jpg</t>
  </si>
  <si>
    <t>Individuo de la familia Membracidae genero Heranice. Reserva Biologica Encenillo, Guasca Cundinamarca</t>
  </si>
  <si>
    <t>4.794479, -73.908852</t>
  </si>
  <si>
    <t>HERMOSA IGUANA COLOMBIA.jpg</t>
  </si>
  <si>
    <t>Iba camino a Medellín y paramos cerca del río, alcancé a ver la iguana pisando en un árbol y le tomé la foto con mi cámara Canon</t>
  </si>
  <si>
    <t>Hesperoburhinus bistriatus.png</t>
  </si>
  <si>
    <t>Hesperoburhinus bistriatus, tambien conocido como alcaravan venezolano. Tomada en la Reserva Forestal Protectora Manantial de cañaverales, La Guajira, Colombia</t>
  </si>
  <si>
    <t>Hibisco (Hibiscus rosa-sinensis).jpg</t>
  </si>
  <si>
    <t>cayena, marpacífico</t>
  </si>
  <si>
    <t>Hibiscus plant in the early stages of blooming.jpg</t>
  </si>
  <si>
    <t>Hibiscus plant in the early stages of blooming, Malvaceae, Magnoliopsida</t>
  </si>
  <si>
    <t>Hibiscus rosa (Malvaceae).jpg</t>
  </si>
  <si>
    <t>Hibiscus rosa from the Malvaceae family.</t>
  </si>
  <si>
    <t>Hibiscus rosa sinensis - cayena - 2026-06-18.jpg</t>
  </si>
  <si>
    <t>The flower in the image is a Hibiscus rosa-sinensis, commonly known as Chinese hibiscus, China rose, or tropical hibiscus.</t>
  </si>
  <si>
    <t>Hidalus herois en Colombia.jpg</t>
  </si>
  <si>
    <t>Es una especie de insecto lepidóptero de la familia Erebidae. Se consideraba solo presente en México, Brasil y Venezuela, pero fue avistada en época lluviosa en las motañas de Anolaima, Cundinamarca en mayo de 2025 y junio de 2026</t>
  </si>
  <si>
    <t>Hielo briophyta.jpg</t>
  </si>
  <si>
    <t>Bryophyta</t>
  </si>
  <si>
    <t>6.370983, -72.311706</t>
  </si>
  <si>
    <t>Highland Sunflower (Asteraceae), on the way from Minca to Cerro Kennedy, 2025.jpg</t>
  </si>
  <si>
    <t>A native composite flower (Asteraceae) thriving in the humid high-altitude ecosystem of northern Colombia.</t>
  </si>
  <si>
    <t>Hipopotamos Colombianos.jpg</t>
  </si>
  <si>
    <t>Hábitat de Hipopotamos en Hacienda Nápoles.</t>
  </si>
  <si>
    <t>Hoatzin-Parque Nacional Natural Sierra de la Macarena-Colombia-1.jpg</t>
  </si>
  <si>
    <t>Hoacín / Hoatzin (Opisthocomus hoazin) posado en una rama en el Parque Nacional Natural Sierra de La Macarena, Meta, Colombia.</t>
  </si>
  <si>
    <t>Hoatzin-Parque Nacional Natural Sierra de la Macarena-Colombia-2.jpg</t>
  </si>
  <si>
    <t>Hoatzin-Parque Nacional Natural Sierra de la Macarena-Colombia-3.jpg</t>
  </si>
  <si>
    <t>Hoatzin-Parque Nacional Natural Sierra de la Macarena-Colombia-4.jpg</t>
  </si>
  <si>
    <t>Hogar, dulce Santander.jpg</t>
  </si>
  <si>
    <t>Entre montañas y cielos abiertos, el hogar se convierte en parte del paisaje.</t>
  </si>
  <si>
    <t>Hoja con nervaduras.jpg</t>
  </si>
  <si>
    <t>Hoja con nervaduras</t>
  </si>
  <si>
    <t>Hoja simple del género Asplundia.jpg</t>
  </si>
  <si>
    <t>Hoja simple del género Asplundia, familia Cyclanthaceae.</t>
  </si>
  <si>
    <t>Hojas con gotas de lluvia.jpg</t>
  </si>
  <si>
    <t>Hojas con gotas de lluvia</t>
  </si>
  <si>
    <t>Hojas con hendiduras o bordes irregulares.jpg</t>
  </si>
  <si>
    <t>Hojas con hendiduras o bordes irregulares como mecanismo de protección para los herbívoros.</t>
  </si>
  <si>
    <t>Hojas húmedas después de la lluvia.jpg</t>
  </si>
  <si>
    <t>Hojas húmedas después de la lluvia</t>
  </si>
  <si>
    <t>Hojas pinnadas.jpg</t>
  </si>
  <si>
    <t>Hojas pinnadas en bosque húmedo</t>
  </si>
  <si>
    <t>Hojas pinnadas en bosque húmedo.jpg</t>
  </si>
  <si>
    <t>Hojas pinnadas en el bosque.jpg</t>
  </si>
  <si>
    <t>Hongo de la Reserva El Zoque.jpg</t>
  </si>
  <si>
    <t>Hongo fotografiado en La Reserva El Zoque</t>
  </si>
  <si>
    <t>4.840614, -73.832840</t>
  </si>
  <si>
    <t>Hongo de la reserva natural Guataquí.jpg</t>
  </si>
  <si>
    <t>Hongo del artista.jpg</t>
  </si>
  <si>
    <t>jarron</t>
  </si>
  <si>
    <t>Hongo en Cuítiva Boyacá.jpg</t>
  </si>
  <si>
    <t>Hongo localizado en Cuítiva Boyaca en una superficie con hojarasca de gimnospermas.</t>
  </si>
  <si>
    <t>Hongo en Paipa.jpg</t>
  </si>
  <si>
    <t>Hongo en Paipa</t>
  </si>
  <si>
    <t>Hongo en hojarasca en Cuítiva Boyacá.jpg</t>
  </si>
  <si>
    <t>Hongo localizado en Cuítiva Boyaca en una superficie con hojarasca de angiospermas.</t>
  </si>
  <si>
    <t>4.843117, -73.831432</t>
  </si>
  <si>
    <t>Hongo fructificados en un tronco.jpg</t>
  </si>
  <si>
    <t>Setas de hongos fructificados ubicados en una corteza de un àrbol en Guasca - La Reserva el Zoque</t>
  </si>
  <si>
    <t>4.840586, -73.832858</t>
  </si>
  <si>
    <t>Hongo matamoscas (Amanita muscaria).jpg</t>
  </si>
  <si>
    <t>Hongo matamoscas (Amanita muscaria), hallado en el húmedo sotobosque de los Cerros Orientales de Bogotá.</t>
  </si>
  <si>
    <t>4.577802, -74.054773</t>
  </si>
  <si>
    <t>Hongo poroso naranja (Favolaschia sp.).jpg</t>
  </si>
  <si>
    <t>Una pequeña joya lignícola del género Favolaschia, encontrada en el Humedal Santa María del Lago, Bogotá.</t>
  </si>
  <si>
    <t>4.695205, -74.093442</t>
  </si>
  <si>
    <t>Hongo sp.jpg</t>
  </si>
  <si>
    <t>Hongo en tronco</t>
  </si>
  <si>
    <t>4.854756, -74.345200</t>
  </si>
  <si>
    <t>Hongo tomadas desde la reserva natural de guataqui de potosí.jpg</t>
  </si>
  <si>
    <t>Hongos</t>
  </si>
  <si>
    <t>Hongos de Iza, Boyacá.jpg</t>
  </si>
  <si>
    <t>fotografiado en Iza Boyacá</t>
  </si>
  <si>
    <t>4.843085, -73.831453</t>
  </si>
  <si>
    <t>Hongos de guataqui de potosi.jpg</t>
  </si>
  <si>
    <t>Hongos en la cascada la abuela.jpg</t>
  </si>
  <si>
    <t>Hongos con láminas bañados en sol</t>
  </si>
  <si>
    <t>4.557642, -73.962394</t>
  </si>
  <si>
    <t>Hongos laminares.jpg</t>
  </si>
  <si>
    <t>Hongos laminares</t>
  </si>
  <si>
    <t>Hongos sobre tronco en descomposición.jpg</t>
  </si>
  <si>
    <t>Hongos sobre tronco en descomposición</t>
  </si>
  <si>
    <t>Honguito de luz.jpg</t>
  </si>
  <si>
    <t>Hongo encontrado durante una visita al “Humedal La Conejera” en Bogotá (Colombia)</t>
  </si>
  <si>
    <t>Honguito del camino.jpg</t>
  </si>
  <si>
    <t>Hongo encontrado en el sendero de los Cerros Orientales de Bogotá llamado “La Serranía”</t>
  </si>
  <si>
    <t>Hora dorada en Tecate, Baja California, México.jpg</t>
  </si>
  <si>
    <t>Golden hour in Tecate, Baja California, México</t>
  </si>
  <si>
    <t>Horizonte en Nechí.jpg</t>
  </si>
  <si>
    <t>8.076089, -74.782950</t>
  </si>
  <si>
    <t>Horizonte lunar.jpg</t>
  </si>
  <si>
    <t>La luna emerge detrás de la línea de árboles, creando una silueta que resalta la escala y la serenidad del paisaje nocturno.</t>
  </si>
  <si>
    <t>Hormiga recolectando alimento.jpg</t>
  </si>
  <si>
    <t>Hormiga recolectando alimento</t>
  </si>
  <si>
    <t>Hormigas en una flor.jpg</t>
  </si>
  <si>
    <t>Hormigas en una flor</t>
  </si>
  <si>
    <t>Hormiguero Tiznado.jpg</t>
  </si>
  <si>
    <t>Foto de un Hormiguero Tiznado (Plain Antvireo/Dysithamnus mentalis)</t>
  </si>
  <si>
    <t>Hotel Continental Bogotá, Colombia.jpg</t>
  </si>
  <si>
    <t>Paisaje urbano del centro histórico de la candelaria en un atardecer.</t>
  </si>
  <si>
    <t>House Over the Clouds.jpg</t>
  </si>
  <si>
    <t>Clothes and Clouds Imagine the Sounds</t>
  </si>
  <si>
    <t>Hudsonian Whimbrel (Numenius hudsonicus) in Nuquí, Chocó, Colombia.jpg</t>
  </si>
  <si>
    <t>Hudsonian Whimbrel (Numenius hudsonicus) photographed in Nuquí, Chocó Department, Colombia.</t>
  </si>
  <si>
    <t>Huellas de tranquilidad.jpg</t>
  </si>
  <si>
    <t>El agua, la vegetación y los espacios abiertos transforman el Parque de los Pies Descalzos en un oasis de calma en Medellín.</t>
  </si>
  <si>
    <t>Huevos de aire.jpg</t>
  </si>
  <si>
    <t>Huevos en el agua</t>
  </si>
  <si>
    <t>4.900175, -74.324919</t>
  </si>
  <si>
    <t>Huila Colombia.jpg</t>
  </si>
  <si>
    <t>Incredible look of the mountains in the colombian department of Huila</t>
  </si>
  <si>
    <t>Humedal Córdoba.jpg</t>
  </si>
  <si>
    <t>Humedal Córdoba en Bogotá</t>
  </si>
  <si>
    <t>Humedal santa maria del lago.jpg</t>
  </si>
  <si>
    <t>Santamaria del Lago Wetland</t>
  </si>
  <si>
    <t>Humedal sumapaz.jpg</t>
  </si>
  <si>
    <t>Paisaje frio del paramo de sumapaz</t>
  </si>
  <si>
    <t>Hydrangea Macrophylla en Jardín Botánico.jpg</t>
  </si>
  <si>
    <t>Photo taken at the Botanical Garden of Bogotá of a blue hydrangea</t>
  </si>
  <si>
    <t>4.667880, -74.099779</t>
  </si>
  <si>
    <t>Hyloscirtus palmeri 2026.jpg</t>
  </si>
  <si>
    <t>A specimen of Hyloscirtus palmeri (Palmer's torrent frog) on a leaf near a stream in the Los Monos Agroforestry Reserve, Rio Claro, Antioquia.</t>
  </si>
  <si>
    <t>Hypercum Juniperinum.jpg</t>
  </si>
  <si>
    <t>Arbusto de páramo, propio del ecosistema altoandino con gran potencial terapéutico, antidepresivo y ansiolítico</t>
  </si>
  <si>
    <t>IGUANA POSANDO EN UN ARBOL.jpg</t>
  </si>
  <si>
    <t>Iba camino a Medellín, paramos en un comedor a mitad de camino. Cerca de un tío, la ví y la fotografié con mi cámara Canon</t>
  </si>
  <si>
    <t>IMG-20260525-WA0007 flores para mis amigas.jpg</t>
  </si>
  <si>
    <t>Flores para mis amigas</t>
  </si>
  <si>
    <t>Ibis coquito.jpg</t>
  </si>
  <si>
    <t>Ibis coquito en MEDELLIN.jpg</t>
  </si>
  <si>
    <t>Español</t>
  </si>
  <si>
    <t>Icterus chrysater en percha natural en entorno forestal.jpg</t>
  </si>
  <si>
    <t>Bird of the species Icterus chrysater recorded in a forested habitat.</t>
  </si>
  <si>
    <t>Iglesia, Chapinero, Bogotá, Colombia.jpg</t>
  </si>
  <si>
    <t>iglesia en chapinero</t>
  </si>
  <si>
    <t>Iglesia de Quiba1.jpg</t>
  </si>
  <si>
    <t>Foto tomada en el pueblo de Quiba en las salidas de Bogota</t>
  </si>
  <si>
    <t>Iguana Barrancabermeja.jpg</t>
  </si>
  <si>
    <t>Una iguana asomada entre las hojas de unas plantas encima de un muro. Foto tomada en un colegio publico de Barrancabermeja, Santander, Colombia</t>
  </si>
  <si>
    <t>Iguana Leg.jpg</t>
  </si>
  <si>
    <t>Iguana on a cannon in the sun, spotted on Santa Catalina, Providencia, San Andres, Colombia.</t>
  </si>
  <si>
    <t>Iguana Talons.jpg</t>
  </si>
  <si>
    <t>Iguana iguana - Barrancabermeja, Santander, Colombia - 08 Jul 2026 - Diferoch.jpg</t>
  </si>
  <si>
    <t>Individual of Iguana iguana observed in Barrancabermeja, Santander, Colombia.</t>
  </si>
  <si>
    <t>7.084820, -73.864007</t>
  </si>
  <si>
    <t>Iguana iguana - Barrancabermeja, Santander, Colombia - 13 Jun 2025 - Diferoch.jpg</t>
  </si>
  <si>
    <t>7.073068, -73.869392</t>
  </si>
  <si>
    <t>Iguana iguana - Barrancabermeja, Santander, Colombia - 31 Dec 2025 - Diferoch.jpg</t>
  </si>
  <si>
    <t>7.084927, -73.864098</t>
  </si>
  <si>
    <t>Iguana iguana - Nuquí, Chocó, Colombia - 22 Oct 2025 - Diferoch.jpg</t>
  </si>
  <si>
    <t>Individual of Iguana iguana observed in Nuquí, Chocó, Colombia.</t>
  </si>
  <si>
    <t>5.625004, -77.420867</t>
  </si>
  <si>
    <t>Iguana iguana - Santa Marta, Magdalena, Colombia - 26 Jun 2025 - Diferoch.jpg</t>
  </si>
  <si>
    <t>Male of Iguana iguana observed in Santa Marta, Magdalena, Colombia.</t>
  </si>
  <si>
    <t>11.141683, -74.226281</t>
  </si>
  <si>
    <t>Iguana on Cannon 1.jpg</t>
  </si>
  <si>
    <t>Iguana on Cannon 2.jpg</t>
  </si>
  <si>
    <t>Iguana on Cannon 3.jpg</t>
  </si>
  <si>
    <t>Iguana verde 2026.jpg</t>
  </si>
  <si>
    <t>Macro detail of the scalation on a juvenile Iguana iguana (green iguana). This close-up highlights the complexity of its scales and its vibrant coloration. Recorded at the Los Monos agroecological reserve, Río Claro, Antioquia.</t>
  </si>
  <si>
    <t>Iguana verde buscando alimentos a la orilla de la Quebrada.jpg</t>
  </si>
  <si>
    <t>Es una iguana captada a la orilla de un quebrada contaminada en cuyas laderas arrojan basuras</t>
  </si>
  <si>
    <t>Iguana verde juvenil (Iguana iguana) en palmas en Villeta, Cundinamarca.jpg</t>
  </si>
  <si>
    <t>Iguana verde juvenil (Iguana iguana) posada sobre palmas en Villeta, Colombia.</t>
  </si>
  <si>
    <t>Impacto hidrológico y ambiental en el Salto del Tequendama.jpg</t>
  </si>
  <si>
    <t>Primer plano oblicuo y dramático de la cascada del Salto del Tequendama. La toma enfatiza el gran volumen y la fuerza del agua del Río Bogotá en su descenso, contrastando con el relieve escarpado y las laderas cubiertas de vegetación, evidenciando la magnitud de este hito geográfico de la cordillera Oriental.</t>
  </si>
  <si>
    <t>4.574527, -74.293887</t>
  </si>
  <si>
    <t>Impatiens marianae - Familia Balsaminaceae.jpg</t>
  </si>
  <si>
    <t>Impatiens marianae - Familia Balsaminaceae</t>
  </si>
  <si>
    <t>Impatiens marianae mayo de 2026.jpg</t>
  </si>
  <si>
    <t>Impatiens marianae mayo de 2026</t>
  </si>
  <si>
    <t>Imponente Ceiba del FIRE.jpg</t>
  </si>
  <si>
    <t>Arbol con siglos de vida ubicado en el edificio institucional, alrededor del mismo se edifico toda la obra</t>
  </si>
  <si>
    <t>Inbound5989755932990352473.jpg</t>
  </si>
  <si>
    <t>Rana de Cristal, retratada en Colombia en el Valle del Cauca</t>
  </si>
  <si>
    <t>Inca Inca Beach.jpg</t>
  </si>
  <si>
    <t>Touristic District in coastal Santa Marta</t>
  </si>
  <si>
    <t>Incredible coastal views.jpg</t>
  </si>
  <si>
    <t>Walking road besides beach</t>
  </si>
  <si>
    <t>Individuo de Contopus sordidulus posado en estructura antropogénica en entorno forestal.jpg</t>
  </si>
  <si>
    <t>Bird of the species Contopus sordidulus recorded on an anthropogenic perch in a forested habitat.</t>
  </si>
  <si>
    <t>Individuo de Elanus leucurus en percha antropogénica en entorno abierto.jpg</t>
  </si>
  <si>
    <t>Bird of the species Elanus leucurus recorded on an artificial structure in an open habitat.</t>
  </si>
  <si>
    <t>Individuo de Metallura tyrianthina en comportamiento de alimentación en hábitat boscoso.jpg</t>
  </si>
  <si>
    <t>Bird of the species Metallura tyrianthina engaged in nectar-feeding behavior in a natural environment.</t>
  </si>
  <si>
    <t>Individuo de Pheucticus aureoventris en hábitat boscoso.jpg</t>
  </si>
  <si>
    <t>Bird of the species Pheucticus aureoventris recorded in a forested habitat</t>
  </si>
  <si>
    <t>Individuo de Piaya cayana posado en vegetación de entorno boscoso.jpg</t>
  </si>
  <si>
    <t>Bird of the species Piaya cayana recorded on a natural perch in a forested habitat.</t>
  </si>
  <si>
    <t>Inflorescencia típica de la familia Araceae.jpg</t>
  </si>
  <si>
    <t>Typical inflorescence of the Araceae family, particularly an Anthurium.</t>
  </si>
  <si>
    <t>Infraestructura ambiental y vías de acceso en el Parque Natural Sumapaz.jpg</t>
  </si>
  <si>
    <t>Fotografía aérea con dron que documenta el acceso regulado al área protegida. Se aprecia una camioneta transitando por una vía destapada contigua a una laguna glacial esta misma llamada Laguna los Tunjos, flanqueada por una cabaña de control ambiental de Parques Nacionales Naturales y señalización turística institucional.</t>
  </si>
  <si>
    <t>Iniciando la cosecha.jpg</t>
  </si>
  <si>
    <t>8.078439, -74.781000</t>
  </si>
  <si>
    <t>Iniciando la cosecha 02.jpg</t>
  </si>
  <si>
    <t>8.072097, -74.786150</t>
  </si>
  <si>
    <t>Iniciando la cosecha 03.jpg</t>
  </si>
  <si>
    <t>8.072069, -74.786211</t>
  </si>
  <si>
    <t>Insecto colombia escarabajo ajedreazado.jpg</t>
  </si>
  <si>
    <t>Hermosa foto</t>
  </si>
  <si>
    <t>4.560439, -74.003639</t>
  </si>
  <si>
    <t>Insecto dragon verde.png</t>
  </si>
  <si>
    <t>Un pequeño atman.</t>
  </si>
  <si>
    <t>Insecto en una hoja.jpg</t>
  </si>
  <si>
    <t>insecto posado en una hoja</t>
  </si>
  <si>
    <t>Insecto posado.jpg</t>
  </si>
  <si>
    <t>Insecto posado en hoja.jpg</t>
  </si>
  <si>
    <t>Insecto posado en un helecho.jpg</t>
  </si>
  <si>
    <t>Helecho de hojas finamente divididas con pequeño insecto</t>
  </si>
  <si>
    <t>Insecto posado en una flor.jpg</t>
  </si>
  <si>
    <t>insecto posado en una flor</t>
  </si>
  <si>
    <t>Insecto posado en una hoja.jpg</t>
  </si>
  <si>
    <t>Interacción alimentaria entre individuos de Aulacorhynchus albivitta en hábitat boscoso.jpg</t>
  </si>
  <si>
    <t>Intraspecific interaction through food transfer between individuals of Aulacorhynchus albivitta.</t>
  </si>
  <si>
    <t>Inundación Rio Sinú.jpg</t>
  </si>
  <si>
    <t>Río Sinú, Colombia</t>
  </si>
  <si>
    <t>Invitación a la Natuarleza.jpg</t>
  </si>
  <si>
    <t>Iris africano (Dietes bicolor).jpg</t>
  </si>
  <si>
    <t>Dietes bicolor</t>
  </si>
  <si>
    <t>Iris caminante.jpg</t>
  </si>
  <si>
    <t>Trimezia Gracilis</t>
  </si>
  <si>
    <t>4.965657, -75.263083</t>
  </si>
  <si>
    <t>Iris caminante blanco.jpg</t>
  </si>
  <si>
    <t>Walking Iris (Neomarica gracilis) "An elegant iris relative with white petals and delicate purple and yellow markings."</t>
  </si>
  <si>
    <t>4.864712, -74.040156</t>
  </si>
  <si>
    <t>Isla pelicano santa marta.png</t>
  </si>
  <si>
    <t>Pelican Island Santa Marta</t>
  </si>
  <si>
    <t>11.209034, -74.239731</t>
  </si>
  <si>
    <t>Jacaranda mimosifolia Cachipay.jpg</t>
  </si>
  <si>
    <t>Jacaranda mimosifolia, Peña Negra, Cachipay, Cundinamarca, Colombia, 2025.</t>
  </si>
  <si>
    <t>Jamaica's flower.jpg</t>
  </si>
  <si>
    <t>Hibiscus sabdariffa</t>
  </si>
  <si>
    <t>Jardin bajo vidrio.jpg</t>
  </si>
  <si>
    <t>. la fragilidad del invernadero dentro de una capsula en el jardin botanico</t>
  </si>
  <si>
    <t>Jardín Botanico Cali.jpg</t>
  </si>
  <si>
    <t>Vista Jardín Botánico</t>
  </si>
  <si>
    <t>Jardín botánico Bogota.jpg</t>
  </si>
  <si>
    <t>foto tomada en uno de los miradores del jardín botánico, donde se puede observar la gran naturaleza que hay</t>
  </si>
  <si>
    <t>Jardín de Belenes o Miramelindos.jpg</t>
  </si>
  <si>
    <t>Impatiens</t>
  </si>
  <si>
    <t>Jardín nieve perpetua.jpg</t>
  </si>
  <si>
    <t>Garden 4500 msnm</t>
  </si>
  <si>
    <t>6.370744, -72.314972</t>
  </si>
  <si>
    <t>Jengibre silvestre.jpg</t>
  </si>
  <si>
    <t>Jengibre silvestre en ambiente de Selva húmeda Tropical en el Jardín Botánico de Bogotá</t>
  </si>
  <si>
    <t>Jengibre silvestre mayo 2026.jpg</t>
  </si>
  <si>
    <t>Jicotea Sudamericana (Trachemys callirostris) en el Parque Metropolitano Simón Bolívar (Bogotá).jpg</t>
  </si>
  <si>
    <t>Two (2) specimens of trachemys callirostris in Simón Bolívar Metropolitan Park, Bogotá</t>
  </si>
  <si>
    <t>4.655868, -74.095259</t>
  </si>
  <si>
    <t>Jilguero andino (Spinus spinescens) fotografiado en Aquitania, Boyacá, Colombia.jpg</t>
  </si>
  <si>
    <t>El jilguero andino (Spinus spinescens) es una especie de ave paseriforme ampliamente distribuida en los Andes del norte de Sudamérica. Esta fotografía fue tomada en el municipio de Aquitania, Boyacá, Colombia, y muestra un individuo perchado sobre cables de corriente en un entorno rural de montaña. La especie suele encontrarse en áreas abiertas, zonas agrícolas, matorrales y bordes de bosque altoandino, donde se alimenta principalmente de semillas y material vegetal.</t>
  </si>
  <si>
    <t>Johnnyberry (Melastomataceae).jpg</t>
  </si>
  <si>
    <t>Johnnyberry (Melastomataceae)</t>
  </si>
  <si>
    <t>Joyas Colgantes.jpg</t>
  </si>
  <si>
    <t>Una toma vertical que enfoca un racimo de bayas de fucsia maduras suspendidas de una fina rama. Los tonos vino tinto y púrpura oscuro de los frutos reflejan la madurez de la naturaleza, ofreciendo una perspectiva diferente y elegante del ciclo de vida de las flores.</t>
  </si>
  <si>
    <t>Joyas de caldas.jpg</t>
  </si>
  <si>
    <t>Green jewels of Emerald</t>
  </si>
  <si>
    <t>5.566203, -74.907119</t>
  </si>
  <si>
    <t>Junin. Llegando a Nechí.jpg</t>
  </si>
  <si>
    <t>Camino natural</t>
  </si>
  <si>
    <t>8.067128, -74.800269</t>
  </si>
  <si>
    <t>Just palms, sun, and peace in San Andres.jpg</t>
  </si>
  <si>
    <t>Just palms, sun, and peace in San Andres</t>
  </si>
  <si>
    <t>Justo en el Río Cauca.jpg</t>
  </si>
  <si>
    <t>Sobre el río Cauca en un atardecer maravilloso en Caucasia</t>
  </si>
  <si>
    <t>Kalanchoe oreja de Elefante.jpg</t>
  </si>
  <si>
    <t>Kalanchoe oreja de Elefante en Jardín Botánico de Bogotá</t>
  </si>
  <si>
    <t>Kalanchoe oreja de elefante.jpg</t>
  </si>
  <si>
    <t>Kalanchoe oreja de elefante en Jardin Botánico de Bogotá</t>
  </si>
  <si>
    <t>Kangaroo Paw-Anigozanthos-.jpg</t>
  </si>
  <si>
    <t>Kangaroo Paw flower (Anigozanthos)</t>
  </si>
  <si>
    <t>King Vulture at Veranillo, Magdalena, Colombia.jpg</t>
  </si>
  <si>
    <t>Adult King vulture perched near a cow carcass</t>
  </si>
  <si>
    <t>La Barra Pacifico colombiano.jpg</t>
  </si>
  <si>
    <t>Puedes pensar que esto es el Salar de Uyuni en Bolivia, sin embargo, está playa está ubicada en Buenaventura en el pacifico colombiano.</t>
  </si>
  <si>
    <t>3.957875, -77.377358</t>
  </si>
  <si>
    <t>La Carbonera.jpg</t>
  </si>
  <si>
    <t>La Carbonera (Tochecito, Tolima). Reserva natural de la palma de cera más grande del mundo.</t>
  </si>
  <si>
    <t>La Carbonera (Tochecito).jpg</t>
  </si>
  <si>
    <t>La Casa Verde.jpg</t>
  </si>
  <si>
    <t>Don't lose the places that we once called home</t>
  </si>
  <si>
    <t>La Leonera.jpg</t>
  </si>
  <si>
    <t>El valle la Leonera en Murillo, Tolima es la puerta de entrada desde el Tolima al parque nacional los nevados, aquí la economía se basa en los lácteos y la ganadería</t>
  </si>
  <si>
    <t>La Mariposa Morada.jpg</t>
  </si>
  <si>
    <t>Un plano detalle de la exótica flor de Polígala, cuyo vibrante tono magenta y peculiar estructura central acaparan toda la atención. Las hojas verdes del fondo quedan en un suave desenfoque, haciendo que los pétalos y sus delicados filamentos parezcan cobrar vida propia.</t>
  </si>
  <si>
    <t>La belleza de las polillas tigre. Erebidae, Actiinae.jpg</t>
  </si>
  <si>
    <t>Polilla perteneciente a la familia Eerebidae, subfamilia Arctniinae. Chia, Cundinamarca</t>
  </si>
  <si>
    <t>4.848476, -74.050662</t>
  </si>
  <si>
    <t>La casa flotante en laguna del amor.jpg</t>
  </si>
  <si>
    <t>Entre palmeras entre en agua hay una casa flotante en la laguna del amor.</t>
  </si>
  <si>
    <t>La colonización del páramo - PNN Los Nevados.jpg</t>
  </si>
  <si>
    <t>Tuberas de alta montaña</t>
  </si>
  <si>
    <t>La llama (Lama glama).jpg</t>
  </si>
  <si>
    <t>The llama (Lama glama) is a species of domestic artiodactyl mammal of the Camelidae family, native to South America.</t>
  </si>
  <si>
    <t>La mirada de pestañas.jpg</t>
  </si>
  <si>
    <t>Viper-like gaze from beneath the eyelashes</t>
  </si>
  <si>
    <t>La mirada del bosque.jpg</t>
  </si>
  <si>
    <t>La pupila refleja el bosque mientras la rana permanece inmóvil. En un solo ojo convergen el camuflaje, la evolución y la complejidad de los ecosistemas tropicales.</t>
  </si>
  <si>
    <t>La mosca que quería ser abeja.jpg</t>
  </si>
  <si>
    <t>La mosca que quería ser abeja</t>
  </si>
  <si>
    <t>La niebla en el Páramo.jpg</t>
  </si>
  <si>
    <t>Las vistas que se tienen en el Páramo Guerrero</t>
  </si>
  <si>
    <t>5.136483, -73.995300</t>
  </si>
  <si>
    <t>La piedra el Penol vista desde el embalse del Peñol.jpg</t>
  </si>
  <si>
    <t>The rock of El Peñol seen from the El Peñol reservoir.</t>
  </si>
  <si>
    <t>6.218333, -75.165556</t>
  </si>
  <si>
    <t>La promesa.jpg</t>
  </si>
  <si>
    <t>Montañas del municipio durante la alerta de un fenómeno del niño en 2026. El municipio de alta pluviosidad es reconocido como capital frutera del país y aún depende de las lluvias para sus cosechas.</t>
  </si>
  <si>
    <t>La protagonista del campo.jpg</t>
  </si>
  <si>
    <t>Un primer plano inesperado que demuestra que las mejores modelos también viven en el campo.</t>
  </si>
  <si>
    <t>LA TOMA SEVILLA VALLE DEL CAUCA.jpg</t>
  </si>
  <si>
    <t>Ecolandia, un parque ecológico en Sevilla Valle del Cauca</t>
  </si>
  <si>
    <t>4.258757, -75.923736</t>
  </si>
  <si>
    <t>LA TOMA SEVILLA VALLE DEL CAUCA FAUNA.jpg</t>
  </si>
  <si>
    <t>LA TOMA SEVILLA VALLE DEL CAUCA FLORA.jpg</t>
  </si>
  <si>
    <t>LA TOMA SEVILLA VALLE DEL CAUCA FORESTAL.jpg</t>
  </si>
  <si>
    <t>LA TOMA SEVILLA VALLE DEL CAUCA SENDERO.jpg</t>
  </si>
  <si>
    <t>LA TOMA SEVILLA VALLE DEL CAUCA SENDERO 2.jpg</t>
  </si>
  <si>
    <t>LA TOMA SEVILLA VALLE DEL CAUCA SUELO.jpg</t>
  </si>
  <si>
    <t>LA TOMA SEVILLA VALLE DEL CAUCA VEGETACIÓN.jpg</t>
  </si>
  <si>
    <t>La Sierra a lo lejos.jpg</t>
  </si>
  <si>
    <t>La belleza de la Sierra Nevada a lo lejos vista desde las playas de Cienaga</t>
  </si>
  <si>
    <t>La quinta escondida.jpg</t>
  </si>
  <si>
    <t>La belleza atemporal de la arquiteectura y paisaje en el muso de bogota</t>
  </si>
  <si>
    <t>La transformación de los extremos - PNN los Nevados.jpg</t>
  </si>
  <si>
    <t>Alta montaña colombiana. Nevado Kumanday visto desde el refugio el Cisne</t>
  </si>
  <si>
    <t>La tricolor (Cattleya trianae).jpg</t>
  </si>
  <si>
    <t>La tricolor</t>
  </si>
  <si>
    <t>La vaca que come.jpg</t>
  </si>
  <si>
    <t>8.072169, -74.786253</t>
  </si>
  <si>
    <t>La vida a nivel micro.jpg</t>
  </si>
  <si>
    <t>El equilibrio entre la vida y la muerte</t>
  </si>
  <si>
    <t>Laberinto de cárcavas en el sector de Cuzco.jpg</t>
  </si>
  <si>
    <t>Composición en plano medio que captura la densidad de las cárcavas y montículos de arcilla roja en el sector de Cuzco. La imagen ilustra los complejos patrones de erosión del suelo y la presencia de vegetación adaptada al entorno árido del Distrito Regional de Manejo Integrado La Tatacoa.</t>
  </si>
  <si>
    <t>Laberintos de arcilla en el Desierto de la Tatacoa.jpg</t>
  </si>
  <si>
    <t>Fotografía de paisaje a gran escala que documenta la severa erosión pluvial en el sector de Cuzco, dentro del Distrito Regional de Manejo Integrado La Tatacoa. La imagen expone la imponente escala de los montículos de arcilla roja y ocre (cárcavas), matizados por pequeños arbustos xerófilos adaptados y cactus cardones en la base, bajo un cielo abierto con nubes fragmentadas que proyectan sombras sutiles sobre el relieve.</t>
  </si>
  <si>
    <t>Lacaria (Laccaria laccata).jpg</t>
  </si>
  <si>
    <t>Pequeña lacaria cobriza (Laccaria laccata), emergiendo entre los musgos de los Cerros Orientales de Bogotá.</t>
  </si>
  <si>
    <t>4.575927, -74.047900</t>
  </si>
  <si>
    <t>Ladera alta llena de Fraiilejones en el Nevado del Ruiz.jpg</t>
  </si>
  <si>
    <t>Esta serie fotográfica es una inmersión en la majestuosidad brutal del páramo que rodea al Nevado del Ruiz, un volcán activo de la Cordillera Central colombiana. A pesar de que la densa niebla nos negó la vista del pico, estas imágenes capturan la respiración de un ecosistema que, por su geografía y clima, es fundamental para la vida en Colombia. El páramo produce aproximadamente el 85% del agua potable del país, actuando como una esponja gigantesca que purifica y distribuye el líquido vital. Es una verdad científica, una fuente de vida que nace en la misma tierra que alguna vez sembró la muerte.El lente se adentra en la batalla silenciosa que libran los frailejones, centinelas de la alta montaña. A una velocidad de crecimiento de apenas 1 cm por año, estos guerreros vegetales se alzan entre paisajes escarpados, en un entorno de temperaturas que oscilan entre los -5°C y los 18°C. Las cascadas que serpentean entre las rocas son el pulso de la montaña, un grito de vida que contrasta con el silencio sepulcral que a veces domina el lugar. Este trabajo no es solo un registro; es una exploración de la resiliencia y la crudeza de la naturaleza, un recordatorio de que la vida siempre se abre camino, incluso en los escenarios más hostiles.Vista de paisaje enfocada en la ladera empinada de un páramo andino donde se aprecia una densa comunidad de frailejones (Espeletia). Resaltan sus troncos altos, cubiertos de hojas secas, coronando el relieve de la alta montaña.</t>
  </si>
  <si>
    <t>Laderas de subpáramo y relieve montañoso en Sumapaz.jpg</t>
  </si>
  <si>
    <t>Registro de las zonas de amortiguación y transición biótica en Sumapaz. La imagen muestra colinas suaves cubiertas de pastizales secos y arbustos nativos, contrastando con una cadena montañosa escarpada y oscura en el horizonte.</t>
  </si>
  <si>
    <t>Ladrilleros.jpg</t>
  </si>
  <si>
    <t>Playa en el Pacífico colombiano</t>
  </si>
  <si>
    <t>Lago chico.jpg</t>
  </si>
  <si>
    <t>Naturaleza que te abraza en bogota</t>
  </si>
  <si>
    <t>Lago de Villa de Leyva (Boyacá).jpg</t>
  </si>
  <si>
    <t>Lake of Villa de Leyva (Boyacá)</t>
  </si>
  <si>
    <t>Lago del Jardín Botánico de Bogotá.jpg</t>
  </si>
  <si>
    <t>Lake of the Botanical Garden of Bogotá</t>
  </si>
  <si>
    <t>Lago del parque simón bolívar.jpg</t>
  </si>
  <si>
    <t>se observa el lago del parque simon bolivar, en donde se pueden observar varios patos, peces y con especies nativas dando a conocer la biodiversidad de Colombia</t>
  </si>
  <si>
    <t>Lago en la Hacienda Nápoles (Colombia).jpg</t>
  </si>
  <si>
    <t>Lake at Hacienda Nápoles (Colombia).</t>
  </si>
  <si>
    <t>Lago en sumapaz.jpg</t>
  </si>
  <si>
    <t>Fotografía de un lago en la localidad de sumapaz</t>
  </si>
  <si>
    <t>Lagos de Villa de Leyva.jpg</t>
  </si>
  <si>
    <t>Lakes of Villa de Leyva.</t>
  </si>
  <si>
    <t>Lagothrix lagotricha lagotricha.jpg</t>
  </si>
  <si>
    <t>Common Woolly Monkey</t>
  </si>
  <si>
    <t>1.675855, -73.627109</t>
  </si>
  <si>
    <t>Laguna 20260528 144415.jpg</t>
  </si>
  <si>
    <t>La imagen es una vista panorámica de la Laguna Negra, ubicada enbla vía al PNN los nevados, en Villamaría Caldas. Es de origen glaciar. Lugar de descanso de especies migratorias como aves y patos silvestres</t>
  </si>
  <si>
    <t>Laguna El Tabacal la Vega-Bosque de guadua-reserva natural y área de conservación.jpg</t>
  </si>
  <si>
    <t>La Laguna El Tabacal, La Vega, Cundinamarca, La Laguna del Tabacal es una reserva natural y área de conservación administrada como parque ecológico</t>
  </si>
  <si>
    <t>Laguna Matarredonda.jpg</t>
  </si>
  <si>
    <t>Laguna ubicada en el Parque Ecológico Matarredonda</t>
  </si>
  <si>
    <t>Laguna Negra, Ocetá.jpg</t>
  </si>
  <si>
    <t>El páramo de Ocetá alberga varios cuerpos de agua increíblemente pura, a este le llaman Laguna Negra.</t>
  </si>
  <si>
    <t>Laguna Negra, Parque Los Nevados.jpg</t>
  </si>
  <si>
    <t>Laguna Negra. Ubicada en el Parque Nacional Natural Los Nevados, Colombia.</t>
  </si>
  <si>
    <t>Laguna PNN Sumapaz.jpg</t>
  </si>
  <si>
    <t>PNN Sumapaz</t>
  </si>
  <si>
    <t>Laguna chico en Bogotá.jpg</t>
  </si>
  <si>
    <t>laguna, en un barrio llamado chico de Bogotá,El espacio está rodeado de árboles altos y frondosos que generan sombras suaves y una atmósfera fresca y silenciosa.</t>
  </si>
  <si>
    <t>Laguna cocuy.jpg</t>
  </si>
  <si>
    <t>laguna cocuy</t>
  </si>
  <si>
    <t>6.397117, -72.317877</t>
  </si>
  <si>
    <t>Laguna de Chingaza.jpg</t>
  </si>
  <si>
    <t>Mountain Range of the God of the Night</t>
  </si>
  <si>
    <t>Laguna de Guaitipán, near Pitalito, Huila, 2025.jpg</t>
  </si>
  <si>
    <t>A pristine natural lagoon located in the Huila Department, serving as an important local ecosystem and a place steeped in regional history and mythology.</t>
  </si>
  <si>
    <t>1.960833, -76.073889</t>
  </si>
  <si>
    <t>Laguna de Iguaque Boyacá.jpg</t>
  </si>
  <si>
    <t>Nacimiento de la cultura Muisca</t>
  </si>
  <si>
    <t>Laguna de Ortices - Santander.jpg</t>
  </si>
  <si>
    <t>Un paisaje emblemático de Santander que combina riqueza natural, tranquilidad y belleza escénica.</t>
  </si>
  <si>
    <t>Laguna de hojas.jpg</t>
  </si>
  <si>
    <t>Pequeña y escondida laguna en las afueras de Villa de Leyva</t>
  </si>
  <si>
    <t>5.628797, -73.555839</t>
  </si>
  <si>
    <t>Laguna de la cocha tormentosa y caudalosa.jpg</t>
  </si>
  <si>
    <t>Laguna de la cocha</t>
  </si>
  <si>
    <t>Laguna de tota.jpg</t>
  </si>
  <si>
    <t>Playa blanca en boyaca</t>
  </si>
  <si>
    <t>Laguna del Amor.jpg</t>
  </si>
  <si>
    <t>Hermosa laguna ubicada en Puerto Rico Meta Colombia</t>
  </si>
  <si>
    <t>Laguna en el Parque Nacional Natural El Cocuy.jpg</t>
  </si>
  <si>
    <t>Laguna en el Parque Nacional Natural El Cocuy</t>
  </si>
  <si>
    <t>Laguna glacial del Ruiz bajo el manto de niebla andina.jpg</t>
  </si>
  <si>
    <t>Paisaje atmosférico de un humedal o laguna de origen glacial en el ecosistema de páramo del Nevado del Ruiz. La superficie oscura del agua contrasta con la ladera superior, cubierta parcialmente por un denso banco de bruma.</t>
  </si>
  <si>
    <t>Laguna glacial y macizo rocoso bajo la niebla en Sumapaz.jpg</t>
  </si>
  <si>
    <t>Fotografía documental que registra un cuerpo de agua de origen glacial inmerso en el ecosistema del páramo. Al fondo, un colosal macizo rocoso es parcialmente aislado por un denso banco de niebla baja y húmeda, característico de la dinámica hídrica local. Esta locación es la LAGUNA LOS TUNJOS.</t>
  </si>
  <si>
    <t>Laguna grande cocuy.jpg</t>
  </si>
  <si>
    <t>Laguna Grande Cocuy</t>
  </si>
  <si>
    <t>Laguna la llorona.jpg</t>
  </si>
  <si>
    <t>Parte del parque natural nacional los nevados</t>
  </si>
  <si>
    <t>Laguna larga.jpg</t>
  </si>
  <si>
    <t>Laguna larga. PNN Chingaza. Trayecto entre la Laguna de Chingaza y San Juanito (Meta), el cual hace parte del camino mofortiano.</t>
  </si>
  <si>
    <t>Laguna Poreña.jpg</t>
  </si>
  <si>
    <t>Laguna Poreña en horas de la tarde en pore- casanare</t>
  </si>
  <si>
    <t>Laguna páramo de Belmira amanecer 28,6,26.jpg</t>
  </si>
  <si>
    <t>Laguna páramo de Belmira, Antioquia durante el amanecer</t>
  </si>
  <si>
    <t>Lake surrounded by Espeletia in Boyacá (Laguna rodeada de frailejones en Boyacá).jpg</t>
  </si>
  <si>
    <t>Lake surrounded by an Espeletia forest in the highest part of the Aquitania (Los Curies) páramo, in the department of Boyacá</t>
  </si>
  <si>
    <t>Lamelas de hongo bajo luz UV.jpg</t>
  </si>
  <si>
    <t>Hongo del género Entoloma encontrado en El Santuario, Antioquia. La imagen es un apilado de varias ráfagas de fotos, el hongo fue iluminado con una linterna UV por abajo y un panel LED con luz cálida arriba para contornear el sujeto</t>
  </si>
  <si>
    <t>Lancha a la espera - Laguna de la cocha después de su inundación Marzo 2025.jpg</t>
  </si>
  <si>
    <t>Lancha a la espera</t>
  </si>
  <si>
    <t>Landscape of Nuquí, Chocó, Colombia - 21 Oct 2025 - Diferoch - 1.jpg</t>
  </si>
  <si>
    <t>Coastal zone (Pacific Ocean) of Nuquí, Chocó, Colombia.</t>
  </si>
  <si>
    <t>5.704187, -77.273842</t>
  </si>
  <si>
    <t>Landscape of Nuquí, Chocó, Colombia - 21 Oct 2025 - Diferoch - 2.jpg</t>
  </si>
  <si>
    <t>5.704187, -77.273865</t>
  </si>
  <si>
    <t>Landscape of Nuquí, Chocó, Colombia - 21 Oct 2025 - Diferoch - 3.jpg</t>
  </si>
  <si>
    <t>5.704463, -77.275017</t>
  </si>
  <si>
    <t>Landscape of Nuquí, Chocó, Colombia - 21 Oct 2025 - Diferoch - 4.jpg</t>
  </si>
  <si>
    <t>Coastal zone (Pacific Ocean) of Nuquí, Chocó, Colombia. The fin of an individual of Megaptera novaeangliae australis can be observed.</t>
  </si>
  <si>
    <t>5.612718, -77.507438</t>
  </si>
  <si>
    <t>Landscape of Nuquí, Chocó, Colombia - 21 Oct 2025 - Diferoch - 5.jpg</t>
  </si>
  <si>
    <t>5.612897, -77.507042</t>
  </si>
  <si>
    <t>Landscape of Nuquí, Chocó, Colombia - 22 Oct 2025 - Diferoch - 1.jpg</t>
  </si>
  <si>
    <t>5.625025, -77.420837</t>
  </si>
  <si>
    <t>Landscape of Nuquí, Chocó, Colombia - 22 Oct 2025 - Diferoch - 10.jpg</t>
  </si>
  <si>
    <t>5.622952, -77.423905</t>
  </si>
  <si>
    <t>Landscape of Nuquí, Chocó, Colombia - 22 Oct 2025 - Diferoch - 2.jpg</t>
  </si>
  <si>
    <t>5.625015, -77.420762</t>
  </si>
  <si>
    <t>Landscape of Nuquí, Chocó, Colombia - 22 Oct 2025 - Diferoch - 3.jpg</t>
  </si>
  <si>
    <t>5.625030, -77.420753</t>
  </si>
  <si>
    <t>Landscape of Nuquí, Chocó, Colombia - 22 Oct 2025 - Diferoch - 4.jpg</t>
  </si>
  <si>
    <t>Coastal zone (Pacific Ocean) of Nuquí, Chocó, Colombia. A whale watching boat can be observed.</t>
  </si>
  <si>
    <t>5.617970, -77.476363</t>
  </si>
  <si>
    <t>Landscape of Nuquí, Chocó, Colombia - 22 Oct 2025 - Diferoch - 5.jpg</t>
  </si>
  <si>
    <t>5.617940, -77.476600</t>
  </si>
  <si>
    <t>Landscape of Nuquí, Chocó, Colombia - 22 Oct 2025 - Diferoch - 6.jpg</t>
  </si>
  <si>
    <t>5.616847, -77.488968</t>
  </si>
  <si>
    <t>Landscape of Nuquí, Chocó, Colombia - 22 Oct 2025 - Diferoch - 7.jpg</t>
  </si>
  <si>
    <t>5.625715, -77.416893</t>
  </si>
  <si>
    <t>Landscape of Nuquí, Chocó, Colombia - 22 Oct 2025 - Diferoch - 8.jpg</t>
  </si>
  <si>
    <t>5.625533, -77.417053</t>
  </si>
  <si>
    <t>Landscape of Nuquí, Chocó, Colombia - 22 Oct 2025 - Diferoch - 9.jpg</t>
  </si>
  <si>
    <t>River that flows into the Pacific Ocean in Nuquí, Chocó, Colombia.</t>
  </si>
  <si>
    <t>5.623085, -77.423920</t>
  </si>
  <si>
    <t>Landscape of Nuquí, Chocó, Colombia - 23 Oct 2025 - Diferoch.jpg</t>
  </si>
  <si>
    <t>5.609660, -77.438202</t>
  </si>
  <si>
    <t>Larva de crisopa usando camuflaje.jpg</t>
  </si>
  <si>
    <t>Las larvas de crisopas tienen 3 instares, algunas se cubren con residuos vegetales, restos de sus presas o incluso sus propias exuvias. Es un comportamiento que se ha estudiado poco, algunas lo hacen en todos sus instares, algunas solo en el primero y otros no lo hacen nunca. Lo hacen para pasar desapercibidas para depredadores y acercase mas fácilmente a sus presas. Este individuo de aproximadamente 4mm de longitud fue fotografiado en la zona rural del municipio de Chía, Cundinamarca.</t>
  </si>
  <si>
    <t>Larvas de avispa.jpg</t>
  </si>
  <si>
    <t>larvas de avispa</t>
  </si>
  <si>
    <t>4.984157, -74.278227</t>
  </si>
  <si>
    <t>Las Garzas Del Malecón del Río.jpg</t>
  </si>
  <si>
    <t>Las Tres Muchachas.jpg</t>
  </si>
  <si>
    <t>Green Theme and Birds and Bees</t>
  </si>
  <si>
    <t>Las travesuras del Mono Maicero.png</t>
  </si>
  <si>
    <t>Esta fotografía capta por completo la actitud audaz y el carisma inigualable del mono maicero (Sapajus apella). Con una pose digna de un acróbata experto y una mirada fija que desborda picardía, este primate parece haber invertido los roles, convirtiendo al observador en el verdadero objeto de estudio. Su imponente destreza para sostenerse con firmeza entre las ramas nos recuerda que él es el verdadero dueño del dosel. Más allá de documentar la riqueza de la fauna en nuestra región, la imagen retrata el lado más alegre y expresivo de la naturaleza colombiana, invitándonos a proteger estos escenarios boscosos donde la vida silvestre se manifiesta con total soltura, espontaneidad y libertad.</t>
  </si>
  <si>
    <t>Las vacas.jpg</t>
  </si>
  <si>
    <t>8.073678, -74.784958</t>
  </si>
  <si>
    <t>Laurel Curo (Lauraceae).jpg</t>
  </si>
  <si>
    <t>Lauraceae</t>
  </si>
  <si>
    <t>Lavanda (Lavandula dentata).jpg</t>
  </si>
  <si>
    <t>Lavender (Lavandula dentata)</t>
  </si>
  <si>
    <t>Legado en las Alturas, El Mono Zocay y su Cría (Plecturocebus ornatus).png</t>
  </si>
  <si>
    <t>This photograph captures a touching family moment in the canopy: an ornate titi monkey (Plecturocebus ornatus) cautiously carrying its small offspring, which clings tightly to its back as they explore the high branches. Framed against a soft sky, the composition highlights the primate's characteristic dense, reddish fur, as well as the fragility and curiosity of the little one peering out. Beyond merely documenting the beauty of this encounter, the image portrays tenderness, parental care, and the continuity of life in the wild. As the species is endemic to Colombia, this portrait stands as a testament to the biological value of our forests, reminding us of our shared responsibility to safeguard the habitats where these families strive to thrive in complete freedom.</t>
  </si>
  <si>
    <t>Lento Caracol.jpg</t>
  </si>
  <si>
    <t>Caracol fotografiado pasando por roca en su entorno natural de Villavicencio, Meta</t>
  </si>
  <si>
    <t>Lepanthes.jpg</t>
  </si>
  <si>
    <t>Lephantes sp. Reserva chulajuan</t>
  </si>
  <si>
    <t>4.877708, -74.292153</t>
  </si>
  <si>
    <t>Lepidoptera - Barrancabermeja, Santander, Colombia.jpg</t>
  </si>
  <si>
    <t>Lepidoptera of unknown species seen in Barrancabermeja, Santander, Colombia.</t>
  </si>
  <si>
    <t>7.085008, -73.864028</t>
  </si>
  <si>
    <t>Lepidoptera - Barrancabermeja, Santander, Colombia - 14 Jun 2026 - Diferoch.jpg</t>
  </si>
  <si>
    <t>Adult of unidentified Lepidoptera observed in Barrancabermeja, Santander, Colombia.</t>
  </si>
  <si>
    <t>7.095882, -73.756088</t>
  </si>
  <si>
    <t>Lepidoptera - Barrancabermeja, Santander, Colombia - 18 Jun 2025 - Diferoch.jpg</t>
  </si>
  <si>
    <t>Adult individual of unidentified Lepidoptera observed in Barrancabermeja, Santander, Colombia.</t>
  </si>
  <si>
    <t>7.084857, -73.864007</t>
  </si>
  <si>
    <t>Lepidoptera - Barrancabermeja, Santander, Colombia - 4 Jun 2026 - Diferoch.jpg</t>
  </si>
  <si>
    <t>7.084785, -73.863868</t>
  </si>
  <si>
    <t>Lepidoptera - Piedecuesta, Santander, Colombia - 8 Jun 2026 - Diferoch.jpg</t>
  </si>
  <si>
    <t>Adult of unidentified Lepidoptera observed in Piedecuesta, Santander, Colombia.</t>
  </si>
  <si>
    <t>6.914278, -73.031532</t>
  </si>
  <si>
    <t>Leptophis - Cimitarra, Santander, Colombia - 2 Oct 2025 - Diferoch.jpg</t>
  </si>
  <si>
    <t>Inidividual of Leptophis observed in Cimitarra, Santander, Colombia</t>
  </si>
  <si>
    <t>6.717311, -74.134927</t>
  </si>
  <si>
    <t>Let's go fishing.jpg</t>
  </si>
  <si>
    <t>Estando en el pacifico colombiano, retrate esta lancha en pleno atardecer estos pescadores se iban a adentrar en mar abierto a buscar como alimentar a sus familias o la pesca del día para venderla a sus vecinos.</t>
  </si>
  <si>
    <t>3.959697, -77.377861</t>
  </si>
  <si>
    <t>Leucauge de Cachipay.jpg</t>
  </si>
  <si>
    <t>The photograph was taken in the municipality of Cachipay, in the Mohan highlands, a place characterized by the presence of insects and arachnids native to the region. The capture was made with a Motorola Edge 60 cell phone.</t>
  </si>
  <si>
    <t>Libélula en el Bajo Cauca.jpg</t>
  </si>
  <si>
    <t>Libélula en el Bajo Cauca, Antioquia</t>
  </si>
  <si>
    <t>Lima Granulada en Venecia.jpg</t>
  </si>
  <si>
    <t>Lima Granulada en Venecia</t>
  </si>
  <si>
    <t>Limoncillo.jpg</t>
  </si>
  <si>
    <t>Syparuna sp</t>
  </si>
  <si>
    <t>4.867725, -74.375931</t>
  </si>
  <si>
    <t>Lindo amanecer.jpg</t>
  </si>
  <si>
    <t>Amanecer en los campos del municipio de Jenesano Boyacá</t>
  </si>
  <si>
    <t>Liquen amarillo.jpg</t>
  </si>
  <si>
    <t>Liquen amarillo</t>
  </si>
  <si>
    <t>4.868142, -74.344650</t>
  </si>
  <si>
    <t>Liquen de sol.jpg</t>
  </si>
  <si>
    <t>Liquen sobre las ramas delgada y secas de un arrayán</t>
  </si>
  <si>
    <t>4.868622, -74.345467</t>
  </si>
  <si>
    <t>Liquen en Guasca.jpg</t>
  </si>
  <si>
    <t>Liquen fotografiado en La Reserva El Zoque</t>
  </si>
  <si>
    <t>Liquen en un bosque de Guasca.jpg</t>
  </si>
  <si>
    <t>Liquen en varias ramas de arboles en Guasca - La Reserva El Zoque</t>
  </si>
  <si>
    <t>4.842005, -73.834176</t>
  </si>
  <si>
    <t>Liquen gelatinoso fertil.jpg</t>
  </si>
  <si>
    <t>Liquen de los pies del escape occidental de la sabana de Bogotá</t>
  </si>
  <si>
    <t>4.885303, -74.421989</t>
  </si>
  <si>
    <t>Liquen puente Aranda.jpg</t>
  </si>
  <si>
    <t>Líquenes</t>
  </si>
  <si>
    <t>Liquenes en una rama.jpg</t>
  </si>
  <si>
    <t>Dos especies de liquen en una rama. Chocontá.</t>
  </si>
  <si>
    <t>Liquén de páramo.jpg</t>
  </si>
  <si>
    <t>Liquén de páramo</t>
  </si>
  <si>
    <t>Lirio caminante.jpg</t>
  </si>
  <si>
    <t>Lirio caminante</t>
  </si>
  <si>
    <t>Lirio de quince días (Dietes bicolor).jpg</t>
  </si>
  <si>
    <t>Liriope (Liriope muscari).jpg</t>
  </si>
  <si>
    <t>Liriope (Liriope muscari)</t>
  </si>
  <si>
    <t>Lizard on Island.jpg</t>
  </si>
  <si>
    <t>Small Lizard (~20cm) found on Santa Catalina, Providencia, San Andres, Colombia.</t>
  </si>
  <si>
    <t>Llanos Orientales - Arroz.jpg</t>
  </si>
  <si>
    <t>cosecha de arroz en Mani- Casanare , esta en su primer proceso de germinación</t>
  </si>
  <si>
    <t>Llevando los desechos1.jpg</t>
  </si>
  <si>
    <t>El Carmen Ravine, Medellín, Colombia</t>
  </si>
  <si>
    <t>6.242735, -75.550751</t>
  </si>
  <si>
    <t>Lluvia sobre el Jardín Botánico.jpg</t>
  </si>
  <si>
    <t>Jardín Botánico de Bogotá</t>
  </si>
  <si>
    <t>Lo que nos quedará.jpg</t>
  </si>
  <si>
    <t>Foto tomada en el sector el Laguito, en Cartagena de Indias, en un recorrido de consistencia por la contaminación ambiental</t>
  </si>
  <si>
    <t>Localidad de sumapaz.jpg</t>
  </si>
  <si>
    <t>Fotografía de zona rural</t>
  </si>
  <si>
    <t>Long-tailed sylph (Aglaiocercus kingii kingii) male Caldas 3.jpg</t>
  </si>
  <si>
    <t>Long-tailed sylph ( Aglaiocercus kingii kingii ) male, Reserva Ecologica Rio Blanco, Manizales, Caldas, Colombia</t>
  </si>
  <si>
    <t>Lopezii.jpg</t>
  </si>
  <si>
    <t>Espeletia lopezii</t>
  </si>
  <si>
    <t>Loro amazonico.jpg</t>
  </si>
  <si>
    <t>Loro amazónico con sus colores característicos, verdes, rojo, amarillo y naranja.</t>
  </si>
  <si>
    <t>Los colores del PNN Gorgona.jpg</t>
  </si>
  <si>
    <t>Sky observed over the "paso de tascas" (shallow passage) between Gorgona Island and Gorgonilla during low tide.</t>
  </si>
  <si>
    <t>2.938807, -78.207212</t>
  </si>
  <si>
    <t>Los lagos de Villa de Leyva (Boyacá).jpg</t>
  </si>
  <si>
    <t>The lakes of Villa de Leyva (Boyacá).</t>
  </si>
  <si>
    <t>Los pescadores.jpg</t>
  </si>
  <si>
    <t>Los pintos.jpg</t>
  </si>
  <si>
    <t>Los pintos</t>
  </si>
  <si>
    <t>Los sabanales, Córdoba y Sucre.jpg</t>
  </si>
  <si>
    <t>Vista aerea de las sabanas del río Sinú</t>
  </si>
  <si>
    <t>Los árboles son vida.jpg</t>
  </si>
  <si>
    <t>Naturaleza en su gran resplendor</t>
  </si>
  <si>
    <t>Luzhuila 16.jpg</t>
  </si>
  <si>
    <t>Líquenes 20260529 103817.jpg</t>
  </si>
  <si>
    <t>Los liquenes son importantes en un ecosistema porque ayudan a retener el agua. Los líquenes son una asociación entre un hongo y un alga.</t>
  </si>
  <si>
    <t>MAGDALENAJT20260208 0092.jpg</t>
  </si>
  <si>
    <t>Época Precolombina: Conocido por los indígenas como Yuma (río de los amigos). Su valle fue cuna de asentamientos y funcionó como una red de intercambio comercial a través de canoas y balsas.Conquista y Colonia: Nombrado en honor a María Magdalena, fue descubierto para los europeos por Rodrigode Bastidas en 1501. Se convirtió en la ruta obligada para adentrarse en los Andes y fundar el interior del país.Siglo XIX y la República: Fue la "espina dorsal" de Colombia. En esta época se introdujeron los barcos a vapor, lo que revolucionó la economía, el transporte de viajeros y la conexión de Colombia con el mundo exterior.</t>
  </si>
  <si>
    <t>Macarenia Clavigera-Parque Nacional Natural Sierra de la Macarena-Colombia-1.jpg</t>
  </si>
  <si>
    <t>Rhyncholacis clavigera (antes conocida como Macarenia clavigera), fotografiada en el Parque Nacional Natural Sierra de La Macarena, departamento del Meta, Colombia, el 6 de agosto de 2024.</t>
  </si>
  <si>
    <t>Macarenia Clavigera-Parque Nacional Natural Sierra de la Macarena-Colombia-2.jpg</t>
  </si>
  <si>
    <t>Macarenia Clavigera-Parque Nacional Natural Sierra de la Macarena-Colombia-3.jpg</t>
  </si>
  <si>
    <t>Macarenia Clavigera-Parque Nacional Natural Sierra de la Macarena-Colombia-4.jpg</t>
  </si>
  <si>
    <t>Machetornis rixosa flavigularis - Barrancabermeja, Santander, Colombia - 3 Jun 2025 - 1.jpg</t>
  </si>
  <si>
    <t>Individual of Machetornis rixosa flavigularis in Barrancabermeja, Santander, Colombia.</t>
  </si>
  <si>
    <t>7.083168, -73.866101</t>
  </si>
  <si>
    <t>Machetornis rixosa flavigularis - Barrancabermeja, Santander, Colombia - 3 Jun 2025 - 2.jpg</t>
  </si>
  <si>
    <t>Macho euphonia construyendo su nido.jpg</t>
  </si>
  <si>
    <t>Macho euphonia piquigruesa.jpg</t>
  </si>
  <si>
    <t>Madroño 1.jpg</t>
  </si>
  <si>
    <t>Garcinia madruno - Familia clusiaceae - oriunda de Nicaragua, Bolivia y Brasil</t>
  </si>
  <si>
    <t>Madrugada con vista del río Cauca.jpg</t>
  </si>
  <si>
    <t>Amanecer del río Cauca vista desde Marsella Risaralda</t>
  </si>
  <si>
    <t>Maices diversos en Sumapaz.jpg</t>
  </si>
  <si>
    <t>Maices diversos</t>
  </si>
  <si>
    <t>Manchas mias.jpg</t>
  </si>
  <si>
    <t>Butterfly sing to me</t>
  </si>
  <si>
    <t>5.566908, -74.906831</t>
  </si>
  <si>
    <t>Manchashuila 13.jpg</t>
  </si>
  <si>
    <t>Mandevilla (16986).jpg</t>
  </si>
  <si>
    <t>Mandevilla</t>
  </si>
  <si>
    <t>4.983835, -75.028360</t>
  </si>
  <si>
    <t>Manglar ladrilleros (2).jpg</t>
  </si>
  <si>
    <t>Manglar en Valle del Cauca</t>
  </si>
  <si>
    <t>Mango pechinegro-colibri.jpg</t>
  </si>
  <si>
    <t>Mangroves (Rhizophora), Pacific region near La Barra, 2025.jpg</t>
  </si>
  <si>
    <t>Exploring the dense tidal channels near La Barra, where the massive stilt roots of red mangroves (Rhizophora) stabilize the muddy shoreline of the Chocó bioregion.</t>
  </si>
  <si>
    <t>Manizales fog.jpg</t>
  </si>
  <si>
    <t>The fog roll and caress the grass</t>
  </si>
  <si>
    <t>5.071303, -75.287767</t>
  </si>
  <si>
    <t>Mano de oso (Oreopanax bogotensis).jpg</t>
  </si>
  <si>
    <t>Bear's paw (Oreopanax bogotensis) is a tree species of the Araliaceae family, native to the Andes of Colombia and Ecuador; it is found between 2,500 and 3,300 m above sea level.</t>
  </si>
  <si>
    <t>Mantis Religiosa oja seca.jpg</t>
  </si>
  <si>
    <t>Mantis religiosa oja seca demostrando el poder del camuflaje en su entorno ( Colombia )</t>
  </si>
  <si>
    <t>Mar, san Antero.jpg</t>
  </si>
  <si>
    <t>Contraste, cielo agua</t>
  </si>
  <si>
    <t>Mar Caribe a la altura de Santa Marta.jpg</t>
  </si>
  <si>
    <t>Vista del mar de Santa Marta, departamento del Magdalena en Colombia</t>
  </si>
  <si>
    <t>Mar Caribe en Santa Marta.jpg</t>
  </si>
  <si>
    <t>Mar Caribe en Santa Marta</t>
  </si>
  <si>
    <t>11.103655, -73.448769</t>
  </si>
  <si>
    <t>Mar Caribe en Santa Marta (54538).jpg</t>
  </si>
  <si>
    <t>11.075204, -73.484968</t>
  </si>
  <si>
    <t>Mar Caribe en Santa Marta (60205).jpg</t>
  </si>
  <si>
    <t>11.076104, -73.804088</t>
  </si>
  <si>
    <t>Mar de San Andrés.jpg</t>
  </si>
  <si>
    <t>San Luis</t>
  </si>
  <si>
    <t>Mar san andres.jpg</t>
  </si>
  <si>
    <t>El mar desde un yate</t>
  </si>
  <si>
    <t>Marasmo.jpg</t>
  </si>
  <si>
    <t>Marasmo en hoja de yema de huevo</t>
  </si>
  <si>
    <t>4.990981, -74.237044</t>
  </si>
  <si>
    <t>Marchan tía sp Julian Barrera.jpg</t>
  </si>
  <si>
    <t>1 de mayo del 2026, en la Universidad de la Salle</t>
  </si>
  <si>
    <t>Margarita del Cabo (Dimorphotheca ecklonis).jpg</t>
  </si>
  <si>
    <t>Dimorphotheca ecklonis</t>
  </si>
  <si>
    <t>Margarita rastrera.jpg</t>
  </si>
  <si>
    <t>Wedelia iners. hierba perenne y resistente usada como cobertura vegetal para proteger taludes, riberas y humedales, de la familia Asteraceae, nativa de América (desde México hasta Colombia) según Wikipedia.</t>
  </si>
  <si>
    <t>Margarita silvestre a los pies del Volcán Galeras en Pasto - Nariño.jpg</t>
  </si>
  <si>
    <t>Margarita silvestre en el volcán Galeras</t>
  </si>
  <si>
    <t>Mariamulatas en la muralla de Cartagena.jpg</t>
  </si>
  <si>
    <t>Mariamulatas en la muralla de Cartagena</t>
  </si>
  <si>
    <t>10.422520, -75.552986</t>
  </si>
  <si>
    <t>Mariposa Mesosemia en Paque Verde Y Agua, Fusagasugá, (Cundinamarca).jpg</t>
  </si>
  <si>
    <t>Mevania Eyed-Metalmark (Mesosemia mevania) in Fusagasugá, (Cundinamarca)</t>
  </si>
  <si>
    <t>Mariposa amarilla con marrón.jpg</t>
  </si>
  <si>
    <t>Mariposa en vegetación</t>
  </si>
  <si>
    <t>Mariposa cebra (Hamadryas laodamia) en Villavicencio, Colombia.jpg</t>
  </si>
  <si>
    <t>Fotografía de la mariposa cebra (Hamadryas laodamia), registrada sobre el suelo en un entorno urbano de Villavicencio, Colombia. El individuo se encuentra en reposo sobre una superficie terrestre dentro de un ambiente intervenido por actividad humana, lo que evidencia la capacidad de esta especie para utilizar diversos microhábitats, incluyendo zonas urbanas y periurbanas. Hamadryas laodamia pertenece a un grupo de mariposas reconocidas por su comportamiento de posado en superficies expuestas como troncos, rocas y suelo.</t>
  </si>
  <si>
    <t>Mariposa del género Pteronymia en Villeta, Cundinamarca.jpg</t>
  </si>
  <si>
    <t>Fotografía de una mariposa perteneciente al género Pteronymia, conocidas comúnmente como mariposas de alas transparentes o “ithomiinas”. El individuo fue registrado en Villeta, Cundinamarca, Colombia, una zona de bosque subandino caracterizada por alta humedad y gran diversidad de lepidópteros. Debido a que no se pudo determinar la especie exacta, se reporta a nivel de género. Estas mariposas se reconocen por sus alas parcialmente transparentes y su frecuente asociación con vegetación del sotobosque en ecosistemas neotropicales.</t>
  </si>
  <si>
    <t>Mariposa descansando.jpg</t>
  </si>
  <si>
    <t>Una mariposa de alas naranjas reposa en unas flores del Jardín Botánico de Bogotá</t>
  </si>
  <si>
    <t>Mariposa en el Paramo de Santurban.jpg</t>
  </si>
  <si>
    <t>Mariposa en el Paramo de Santurban</t>
  </si>
  <si>
    <t>Mariposa en una hoja.jpg</t>
  </si>
  <si>
    <t>Mariposa en una hoja</t>
  </si>
  <si>
    <t>Mariposa en vegetación.jpg</t>
  </si>
  <si>
    <t>Mariposa en ángulo lateral.jpg</t>
  </si>
  <si>
    <t>Mariposa escarlata.jpg</t>
  </si>
  <si>
    <t>Mariposa escarlata (Anartia amathea) posada sobre vegetación</t>
  </si>
  <si>
    <t>Mariposa escarlata tomando sol.jpg</t>
  </si>
  <si>
    <t>Mariposa feronia (Hamadryas feronia) en entorno urbano de Villavicencio, Colombia.jpg</t>
  </si>
  <si>
    <t>Fotografía de la mariposa feronia (Hamadryas feronia), registrada en un entorno urbano de Villavicencio, Colombia. El individuo se encuentra posado sobre una superficie dentro de un contexto antropizado, evidenciando la capacidad de esta especie para habitar tanto ambientes naturales como zonas intervenidas por el ser humano. Esta especie es reconocida por su comportamiento de reposo en troncos, rocas y paredes, así como por el característico sonido de “chasquido” que producen algunos miembros del género durante el vuelo.</t>
  </si>
  <si>
    <t>Mariposa lechuza o búho.jpg</t>
  </si>
  <si>
    <t>Caligo es un género de lepidópteros ditrisios de la familia Nymphalidae conocidos vulgarmente como mariposas búho. Incluye 20 especies propias de las selvas de Centro y Sudamérica hasta los 1800 m s. n. m., desde el sur de México hasta el sur de Brasil, y en Trinidad y Tobago,y en Colombia, y en Guatemala.</t>
  </si>
  <si>
    <t>6.252320, -75.528099</t>
  </si>
  <si>
    <t>Mariposa monarca mayo 2026.jpg</t>
  </si>
  <si>
    <t>Dannaus plexippus</t>
  </si>
  <si>
    <t>Mariposa ochenta y nueve (Diaethria clymena) en Minca, Santa Marta.jpg</t>
  </si>
  <si>
    <t>Fotografía de la mariposa conocida como “ochenta y nueve” (Diaethria clymena), capturada en Minca, zona rural de Santa Marta, Colombia. Esta especie es reconocida por los distintivos patrones en forma de números que se observan en la cara inferior de sus alas posteriores, los cuales pueden asemejarse a las cifras “89”, de donde proviene su nombre común. El individuo se encuentra posado en su entorno natural, en un ecosistema tropical húmedo característico de la Sierra Nevada de Santa Marta, una región de alta biodiversidad.</t>
  </si>
  <si>
    <t>Mariposa posada en un flor.jpg</t>
  </si>
  <si>
    <t>Anartia amathea-Mariposa escarlata</t>
  </si>
  <si>
    <t>Mariposa posando.jpg</t>
  </si>
  <si>
    <t>Mariposa posando</t>
  </si>
  <si>
    <t>Mariposa revés.jpg</t>
  </si>
  <si>
    <t>Lepidóptero que engaña cola-cabeza</t>
  </si>
  <si>
    <t>9.123886, -76.185647</t>
  </si>
  <si>
    <t>Mariposa “duendecillo de borde rojo” (Melanis pixe) en Villeta, Cundinamarca.jpg</t>
  </si>
  <si>
    <t>Melanis pixe posada en vegetación en Villeta, Colombia.</t>
  </si>
  <si>
    <t>Mariquita invasora.jpg</t>
  </si>
  <si>
    <t>La Harmonia axyridis es nativa de Asia, introducida en América como control biológico de plagas, se convirtió en especie invasora que ataca a las mariquitas locales. Vista en Bogotá, Colombia.</t>
  </si>
  <si>
    <t>Marta escondida.jpg</t>
  </si>
  <si>
    <t>Marta escondida</t>
  </si>
  <si>
    <t>6.481908, -72.335053</t>
  </si>
  <si>
    <t>Masdevallia amanda.jpg</t>
  </si>
  <si>
    <t>Masdevallia amanda</t>
  </si>
  <si>
    <t>4.870131, -74.367431</t>
  </si>
  <si>
    <t>Mastigodryas danieli.jpg</t>
  </si>
  <si>
    <t>Specimen of Mastigodryas danieli (racer; guardacaminos) at the Los Monos agroecological reserve, Rio Claro, Antioquia.</t>
  </si>
  <si>
    <t>Mastigodryas danieli 2026.jpg</t>
  </si>
  <si>
    <t>Mata de platanillo (Heliconia).jpg</t>
  </si>
  <si>
    <t>Plantain plant (Heliconia)</t>
  </si>
  <si>
    <t>Matacaballos.jpg</t>
  </si>
  <si>
    <t>Phasmatodea</t>
  </si>
  <si>
    <t>5.959975, -75.098773</t>
  </si>
  <si>
    <t>Matices.jpg</t>
  </si>
  <si>
    <t>Son aves perfectamente diseñadas para combinar y camuflajear su belleza</t>
  </si>
  <si>
    <t>Mating pair of red cracker butterflies (Hamadryas amphinome) on a tree trunk, Meta, 2025.jpg</t>
  </si>
  <si>
    <t>A dorsal view of two Hamadryas amphinome butterflies camouflaged against the lichen-covered bark of a tree during copulation, located in the tropical savanna ecosystem of the Los Llanos region in Meta department.</t>
  </si>
  <si>
    <t>Mayapo Colombia.jpg</t>
  </si>
  <si>
    <t>Mayapo Colombia</t>
  </si>
  <si>
    <t>Me cautiva.jpg</t>
  </si>
  <si>
    <t>Sus colores son el modo más sencillo de hablar de belleza visual</t>
  </si>
  <si>
    <t>Mechanitis polymnia - Alas de tigre.jpg</t>
  </si>
  <si>
    <t>Belongs to the Nymphalidae family and Ithomiini tribe.Habitat: Commonly found in tropical rainforests across Central and South America.Behavior: In the photo, the specimen is perched with its wings partially closed on a green leaf.</t>
  </si>
  <si>
    <t>Medio sol.jpg</t>
  </si>
  <si>
    <t>atardecer llanero fotografiado en via rural de Villavivencio, meta</t>
  </si>
  <si>
    <t>Megalobulimus sp. - Caracol terrestre.jpg</t>
  </si>
  <si>
    <t>Megalopyge lanata - Barrancabermeja, Santander, Colombia - 28 Jul 2025 - Diferoch.jpg</t>
  </si>
  <si>
    <t>Adult of Megalopyge lanata observed in Barrancabermeja, Santander, Colombia.</t>
  </si>
  <si>
    <t>7.085098, -73.863960</t>
  </si>
  <si>
    <t>Megaptera novaeangliae australis - Nuquí, Chocó, Colombia - 22 Oct 2025 - Diferoch - 1.jpg</t>
  </si>
  <si>
    <t>Calf of Megaptera novaeangliae australis observed in Nuquí, Chocó, Colombia.</t>
  </si>
  <si>
    <t>5.616402, -77.490096</t>
  </si>
  <si>
    <t>Megaptera novaeangliae australis - Nuquí, Chocó, Colombia - 22 Oct 2025 - Diferoch - 2.jpg</t>
  </si>
  <si>
    <t>5.613080, -77.496253</t>
  </si>
  <si>
    <t>Megaptera novaeangliae australis - Nuquí, Chocó, Colombia - 22 Oct 2025 - Diferoch - 3.jpg</t>
  </si>
  <si>
    <t>5.608528, -77.502007</t>
  </si>
  <si>
    <t>Melanerpes cruentatus Little Woodpecker.png</t>
  </si>
  <si>
    <t>Esta fotografía captura en primer plano a un carpintero de penacho amarillo (Melanerpes cruentatus) en su postura característica de forrajeo sobre el tronco de un árbol. La iluminación natural destaca el llamativo contraste de su plumaje negro azulado, el rojo intenso de su manto inferior y el imponente iris amarillo que define su expresión alerta. La nitidez de la toma permite apreciar las adaptaciones morfológicas de sus garras y cola, diseñadas para mantener la estabilidad vertical mientras busca alimento o construye cavidades. Más allá de documentar la llamativa paleta cromática de esta ave, la obra invita a apreciar la incansable labor de estos carpinteros en la dinámica del bosque, transformando los troncos secos en refugio para múltiples especies y recordándonos la riqueza alada que habita y dinamiza los ecosistemas colombianos.</t>
  </si>
  <si>
    <t>Melastomataceae - Julian Barrera.jpg</t>
  </si>
  <si>
    <t>27 de marzo del 2026</t>
  </si>
  <si>
    <t>Melocactus curvispinus en el suelo erosionado de la Tatacoa.jpg</t>
  </si>
  <si>
    <t>Fotografía macro y botánica en plano medio corto que documenta un ejemplar de cactus globular nativo (género Melocactus, posiblemente Melocactus curvispinus) firmemente asentado en una ladera erosionada de arcilla agrietada. La toma registra detalladamente la disposición de las costillas, las areolas con espinas curvas aciculares y el inicio de la formación de su cefalio apical, rodeado por elementos del suelo y ramas secas en el Distrito Regional de Manejo Integrado La Tatacoa.</t>
  </si>
  <si>
    <t>Mesamphiagrion en el Paramo de Viracacha.jpg</t>
  </si>
  <si>
    <t>Mesamphiagrion en el Paramo de Viracacha, Boyacá</t>
  </si>
  <si>
    <t>Miel de flor.jpg</t>
  </si>
  <si>
    <t>Abeja en peligro de extinción</t>
  </si>
  <si>
    <t>Mielero Verde Hembra - Chlorophanes spiza.jpg</t>
  </si>
  <si>
    <t>La hembra del mielero verde presenta un plumaje más discreto que el macho, completamente verde y amarillento, una característica común en muchas especies de aves tropicales.</t>
  </si>
  <si>
    <t>Mielero Verde Macho - Chlorophanes spiza.jpg</t>
  </si>
  <si>
    <t>Es nativo de México, América Central y del Sur. El mielero verde macho destaca por el intenso color de su plumaje azul-verde con cabeza negra, una adaptación que resalta entre la vegetación del bosque húmedo.</t>
  </si>
  <si>
    <t>Milvago Chimachima - Gavilán Pollero.jpg</t>
  </si>
  <si>
    <t>Roadside Hawk, also known as Gavilán Pollero a medium-sized raptor. It has a grayish crown, rufous-brown back and wings, and a pale underside with fine rufous barring, large yellow eyes and sharp, curved beak, which are perfect for hunting.</t>
  </si>
  <si>
    <t>Mimbre mayo 2026.jpg</t>
  </si>
  <si>
    <t>Salix Viminalis - Familia Silicaceae - oriunda de Europa, Occidente de Asia e Himalaya</t>
  </si>
  <si>
    <t>Mina de carbón cucunaba.jpg</t>
  </si>
  <si>
    <t>Recolección de carbón, rumbo hacia barranquilla</t>
  </si>
  <si>
    <t>Minca.jpg</t>
  </si>
  <si>
    <t>Minca river</t>
  </si>
  <si>
    <t>Miradas de Meliponinos.jpg</t>
  </si>
  <si>
    <t>Una gran cantidad de individuos de meliponinos caminando en el suelo, muchos individuos muertos y otros caminano entre el caos, podria haber sido un enfrentamiento entre dos colonias. Puerta de Orión, San José del Guaviare</t>
  </si>
  <si>
    <t>2.515034, -72.703980</t>
  </si>
  <si>
    <t>Miradas del Bosque Mono Maicero en el Dosel.png</t>
  </si>
  <si>
    <t>Esta fotografía captura en primer plano la expresión de un mono maicero (Sapajus apella) posado sobre una rama en el estrato medio del bosque. La toma resalta los rasgos faciales definidos del primate, su mirada atenta y la postura de su extremidad superior aferrándose firmemente a la vegetación nativa. A través de este retrato directo, la obra busca generar una reflexión sobre la sensibilidad y la complejidad conductual de la fauna silvestre que habita los ecosistemas colombianos. La imagen pone de relieve la necesidad de conservar los corredores biológicos arbóreos, los cuales garantizan el refugio, el libre desplazamiento y el sustento de estas comunidades de primates en el territorio.</t>
  </si>
  <si>
    <t>Mirador, Bogotá, Universidad Externado.jpg</t>
  </si>
  <si>
    <t>Mirador de la Universidad Externado</t>
  </si>
  <si>
    <t>Mirador Bella Vista Yopal - Casanare.jpg</t>
  </si>
  <si>
    <t>vista a la cuidad de Yopal - Casanare desde la cordillera oriental que lo abraza</t>
  </si>
  <si>
    <t>Mirador Usme.jpg</t>
  </si>
  <si>
    <t>Montañas finalizando Bogota hacia el paramo de sumapaz</t>
  </si>
  <si>
    <t>Mirador de cartagena.jpg</t>
  </si>
  <si>
    <t>La historia detrás del mirador del cerro de la popa en cartagena</t>
  </si>
  <si>
    <t>Miramelindos. Impatiens walleriana.jpg</t>
  </si>
  <si>
    <t>Foto tomada a las afueras del Centro Nacional de las Artes Delia Zapata Ollivella. Bogotá D.C</t>
  </si>
  <si>
    <t>Mirando al Tropicario.jpg</t>
  </si>
  <si>
    <t>Desde una nueva perspectiva, la arquitectura del Tropicario se eleva junto a la biodiversidad del Jardín Botánico.</t>
  </si>
  <si>
    <t>Mirasol mexicano.jpg</t>
  </si>
  <si>
    <t>Cosmos (Cosmos bipinnatus) "A delicate wildflower with feathery foliage and soft pink blooms that sway in the breeze."</t>
  </si>
  <si>
    <t>4.732630, -74.049042</t>
  </si>
  <si>
    <t>Mirla patinaranja (Turdus fuscater) en el Jardín Botánico de Bogotá.jpg</t>
  </si>
  <si>
    <t>Turdus fuscater in Bogotá Botanical Garden</t>
  </si>
  <si>
    <t>4.668296, -74.097728</t>
  </si>
  <si>
    <t>Mirla patinaranja (Turdus fuscater) en el Jardín Botánico de Bogotá 2.jpg</t>
  </si>
  <si>
    <t>Mirla patinaranja - turdus fuscater.jpg</t>
  </si>
  <si>
    <t>Mirla patinaranja</t>
  </si>
  <si>
    <t>4.610147, -74.075608</t>
  </si>
  <si>
    <t>Mitad del camino.jpg</t>
  </si>
  <si>
    <t>En esta vía hacemos deporte</t>
  </si>
  <si>
    <t>8.070706, -74.789261</t>
  </si>
  <si>
    <t>Mmm que delicia.jpg</t>
  </si>
  <si>
    <t>Polinizador polinizando flores sin polinizar</t>
  </si>
  <si>
    <t>Molinillo.jpg</t>
  </si>
  <si>
    <t>Chamaedorea tepejilote - Aracaceae - de México y Colombia</t>
  </si>
  <si>
    <t>Molinillo2.jpg</t>
  </si>
  <si>
    <t>Mompox sunset.jpg</t>
  </si>
  <si>
    <t>Atardecer en el río Magdalena, Santa Cruz de Mompós</t>
  </si>
  <si>
    <t>Mono Capuchino Cara Blanca-Parque Nacional Natural Tayrona-Colombia-1.jpg</t>
  </si>
  <si>
    <t>Mono capuchino cara blanca (Cebus capucinus) fotografiado en el Parque Nacional Natural Tayrona, departamento de Magdalena, Colombia, el 23 de agosto de 2024</t>
  </si>
  <si>
    <t>Mono Capuchino Cara Blanca-Parque Nacional Natural Tayrona-Colombia-10.jpg</t>
  </si>
  <si>
    <t>Mono Capuchino Cara Blanca-Parque Nacional Natural Tayrona-Colombia-11.jpg</t>
  </si>
  <si>
    <t>Mono Capuchino Cara Blanca-Parque Nacional Natural Tayrona-Colombia-12.jpg</t>
  </si>
  <si>
    <t>Mono Capuchino Cara Blanca-Parque Nacional Natural Tayrona-Colombia-13.jpg</t>
  </si>
  <si>
    <t>Mono Capuchino Cara Blanca-Parque Nacional Natural Tayrona-Colombia-14.jpg</t>
  </si>
  <si>
    <t>Mono Capuchino Cara Blanca-Parque Nacional Natural Tayrona-Colombia-15.jpg</t>
  </si>
  <si>
    <t>Mono Capuchino Cara Blanca-Parque Nacional Natural Tayrona-Colombia-16.jpg</t>
  </si>
  <si>
    <t>Mono Capuchino Cara Blanca-Parque Nacional Natural Tayrona-Colombia-17.jpg</t>
  </si>
  <si>
    <t>Mono Capuchino Cara Blanca-Parque Nacional Natural Tayrona-Colombia-18.jpg</t>
  </si>
  <si>
    <t>Mono Capuchino Cara Blanca-Parque Nacional Natural Tayrona-Colombia-2.jpg</t>
  </si>
  <si>
    <t>Mono Capuchino Cara Blanca-Parque Nacional Natural Tayrona-Colombia-3.jpg</t>
  </si>
  <si>
    <t>Mono Capuchino Cara Blanca-Parque Nacional Natural Tayrona-Colombia-4.jpg</t>
  </si>
  <si>
    <t>Mono Capuchino Cara Blanca-Parque Nacional Natural Tayrona-Colombia-5.jpg</t>
  </si>
  <si>
    <t>Mono Capuchino Cara Blanca-Parque Nacional Natural Tayrona-Colombia-6.jpg</t>
  </si>
  <si>
    <t>Mono Capuchino Cara Blanca-Parque Nacional Natural Tayrona-Colombia-7.jpg</t>
  </si>
  <si>
    <t>Mono Capuchino Cara Blanca-Parque Nacional Natural Tayrona-Colombia-8.jpg</t>
  </si>
  <si>
    <t>Mono Capuchino Cara Blanca-Parque Nacional Natural Tayrona-Colombia-9.jpg</t>
  </si>
  <si>
    <t>Mono ardilla y su bebé dormilón.jpg</t>
  </si>
  <si>
    <t>Parque Amacayacu amazonas</t>
  </si>
  <si>
    <t>Mono churuco.jpg</t>
  </si>
  <si>
    <t>Mono churuco- Lagothrix lagotricha</t>
  </si>
  <si>
    <t>Mono curioso.jpg</t>
  </si>
  <si>
    <t>mono titi fotografiado en arbol de entorno natural ubicado en piscina de villavicencio meta</t>
  </si>
  <si>
    <t>Monochaetum vulcanicum rosa.jpg</t>
  </si>
  <si>
    <t>Monochaetum vulcanicum pink</t>
  </si>
  <si>
    <t>Monos titis.jpg</t>
  </si>
  <si>
    <t>monos titis fotografiados en villavicencio, meta</t>
  </si>
  <si>
    <t>Monserrate, Bogotá, teleferico.jpg</t>
  </si>
  <si>
    <t>Entrada Monserrate, Bogotá</t>
  </si>
  <si>
    <t>Monserrate, vista desde la iglesia.jpg</t>
  </si>
  <si>
    <t>se observa la diversidad que existe en este cerro llamado monserrate ubicado en Bogotá, Colombia un hito muy importante</t>
  </si>
  <si>
    <t>Montañas desde San Francisco (Cundinamarca).jpg</t>
  </si>
  <si>
    <t>Mountains from San Francisco (Cundinamarca).</t>
  </si>
  <si>
    <t>Montes naranjas.jpg</t>
  </si>
  <si>
    <t>atardecer y flora de Sonsón, Antioquia</t>
  </si>
  <si>
    <t>5.714889, -75.306350</t>
  </si>
  <si>
    <t>Monumento corceles de la libertad , sotaquirá.jpg</t>
  </si>
  <si>
    <t>Monument to the horses of freedom, Sotaquirá Boyacá</t>
  </si>
  <si>
    <t>Moradashuila 04.jpg</t>
  </si>
  <si>
    <t>Morado negro.jpg</t>
  </si>
  <si>
    <t>Dark is the Night</t>
  </si>
  <si>
    <t>Morro de Gaira.jpg</t>
  </si>
  <si>
    <t>bahía de Santa Marta, Colombia</t>
  </si>
  <si>
    <t>Morro desde El Rodadero (Santa Marta).jpg</t>
  </si>
  <si>
    <t>Morro from El Rodadero (Santa Marta).</t>
  </si>
  <si>
    <t>Mosca de las flores.jpg</t>
  </si>
  <si>
    <t>Eristalis tenax</t>
  </si>
  <si>
    <t>Mosquero Cardenal - Pyrocephalus rubinus.jpg</t>
  </si>
  <si>
    <t>El mosquero cardenal permanece atento desde una percha, listo para capturar insectos mediante rápidos vuelos cortos. El macho es famoso por su plumaje rojo escarlata brillante. Habita desde Estados Unidos hasta el sur de Sudamérica</t>
  </si>
  <si>
    <t>4.599400, -75.685400</t>
  </si>
  <si>
    <t>Movilidad rural y transporte alternativo en el valle del Magdalena.jpg</t>
  </si>
  <si>
    <t>Fotografía documental tomada desde un ángulo bajo sobre el asfalto que captura a un campesino o trabajador ribereño desplazándose en bicicleta. Al fondo se alza la vertiente de la montaña y a un costado se ubica una señal de tránsito, retratando la cotidianidad de las dinámicas viales y la vida campesina de la región.</t>
  </si>
  <si>
    <t>Muerte en Guatape.jpg</t>
  </si>
  <si>
    <t>Muerte en Guatape</t>
  </si>
  <si>
    <t>Mundo Fungí.jpg</t>
  </si>
  <si>
    <t>Hongo encontrado caminando por el sendero “Quebrada La Vieja-LaVirgen” en los cerros orientales de Bogotá (Colombia)</t>
  </si>
  <si>
    <t>Musgo del Páramo.jpg</t>
  </si>
  <si>
    <t>Musgo concéntrico</t>
  </si>
  <si>
    <t>4.561828, -73.989778</t>
  </si>
  <si>
    <t>Musgo en espiral.jpg</t>
  </si>
  <si>
    <t>Musgo donde nace el agua en la reserva Moravia</t>
  </si>
  <si>
    <t>4.873000, -74.349586</t>
  </si>
  <si>
    <t>Musgo negro.jpg</t>
  </si>
  <si>
    <t>Musgo negro en Güican</t>
  </si>
  <si>
    <t>4.868100, -74.344575</t>
  </si>
  <si>
    <t>Muérdago.jpg</t>
  </si>
  <si>
    <t>Phoradendron robustissimum, conocido como matapalo, es un muérdago nativo, de la región neotropical. Es un hemiparásito vegetal distribuido por aves, común en la zona andina colombiana. Visto en un árbol de guayaba, en Anolaima, Cundinamarca.</t>
  </si>
  <si>
    <t>Myiozetetes - Barrancabermeja, Santander, Colombia - 31 Dec 2025 - Diferoch.jpg</t>
  </si>
  <si>
    <t>Individual of unidentified Myiozetetes observed in Barrancabermeja, Santander, Colombia.</t>
  </si>
  <si>
    <t>7.085062, -73.864098</t>
  </si>
  <si>
    <t>Myiozetetes cayanensis hellmayri - Barrancabermeja, Santander, Colombia - 16 Nov 2025 - Diferoch.jpg</t>
  </si>
  <si>
    <t>Individual of Myiozetetes cayanensis hellmayri observed in Barrancabermeja, Santander, Colombia.</t>
  </si>
  <si>
    <t>7.085007, -73.864173</t>
  </si>
  <si>
    <t>Myiozetetes cayanensis hellmayri - Barrancabermeja, Santander, Colombia - 31 Dec 2025 - Diferoch.jpg</t>
  </si>
  <si>
    <t>7.085063, -73.864098</t>
  </si>
  <si>
    <t>Myriophyllum aquaticum texture.jpg</t>
  </si>
  <si>
    <t>Floating mat of Salvinia sp. and Myriophyllum aquaticum</t>
  </si>
  <si>
    <t>Más allá del muro.jpg</t>
  </si>
  <si>
    <t>Entre la solidez del muro y la calidez del ocaso, el árbol como protagonista del paisaje.</t>
  </si>
  <si>
    <t>Más allá del pueblo.jpg</t>
  </si>
  <si>
    <t>8.070789, -74.788883</t>
  </si>
  <si>
    <t>Natural National Park.jpg</t>
  </si>
  <si>
    <t>National park in Colombia</t>
  </si>
  <si>
    <t>Naturaleza rio sinu.jpg</t>
  </si>
  <si>
    <t>paisaje de rio sinu , monteria. con plantas hibrida, y aves paradas</t>
  </si>
  <si>
    <t>Naturaleza santandereana.jpg</t>
  </si>
  <si>
    <t>Un escenario donde el verdor y el agua revelan la belleza de los paisajes de la región.</t>
  </si>
  <si>
    <t>Nature carved this masterpiece 🪨 Palomino, La Guajira.jpg</t>
  </si>
  <si>
    <t>Nature carved this masterpiece 🪨 Palomino, La Guajira</t>
  </si>
  <si>
    <t>Necoclí, Antioquia. 2025 05 30.jpg</t>
  </si>
  <si>
    <t>Paisaje de Necoclí</t>
  </si>
  <si>
    <t>Nenúfar Laguna de Ubaque.jpg</t>
  </si>
  <si>
    <t>Nenúfar, Nymphacea nouchali, Laguna de Ubaque, Cundinamarca, Colombia, 2026.</t>
  </si>
  <si>
    <t>Nenúfares Amazonas Colombia.jpg</t>
  </si>
  <si>
    <t>Rio Amazonas</t>
  </si>
  <si>
    <t>Neoregelia-Bromeliaceae.jpg</t>
  </si>
  <si>
    <t>Bromelia</t>
  </si>
  <si>
    <t>Neoregelia-Bromeliaceae mayo de 2026.jpg</t>
  </si>
  <si>
    <t>Esta planta suele ser lugar de hábitat de ranas, el ambiente acuático que se forma en su base es ambiente propicio para el crecimiento de renacuajos</t>
  </si>
  <si>
    <t>Nephrolepis cordifolia Jardín Botanico Bogotá.jpg</t>
  </si>
  <si>
    <t>Nephrolepis cordifolia ubicada en parte del recorrido del Jardín Botánico de Bogotá</t>
  </si>
  <si>
    <t>Neusa desde las alturas.jpg</t>
  </si>
  <si>
    <t>Embalse del neusa tomada desde el Páramo de Guerrero</t>
  </si>
  <si>
    <t>5.131750, -73.996147</t>
  </si>
  <si>
    <t>Nevada en la cordillera Central.jpg</t>
  </si>
  <si>
    <t>Snow-capped Central Mountain Range</t>
  </si>
  <si>
    <t>Nevado del Ruiz a la altura de Manizales.jpg</t>
  </si>
  <si>
    <t>Nevado del Ruiz a la altura de Manizales</t>
  </si>
  <si>
    <t>5.065406, -75.502313</t>
  </si>
  <si>
    <t>Nevado del Tolima vista en atardecer.jpg</t>
  </si>
  <si>
    <t>Nevado del Tolima durante el atardecer tomado desde La Mesa, Cundinamarca</t>
  </si>
  <si>
    <t>4.637934, -74.452158</t>
  </si>
  <si>
    <t>Nevado del Tolima visto desde Fusagasugá.jpg</t>
  </si>
  <si>
    <t>Nevado del Tolima seen from Paque Verde Y Agua, Fusagasugá</t>
  </si>
  <si>
    <t>Nevado del Tolima visto desde Salento.jpg</t>
  </si>
  <si>
    <t>View of Nevado del Tolima from Salento</t>
  </si>
  <si>
    <t>Nido de Ramphomicron microrhynchum.jpg</t>
  </si>
  <si>
    <t>un curioso nido hecho con las fibras de los frailejones en el PNN el Cocuy</t>
  </si>
  <si>
    <t>Nido de aves urbano.jpg</t>
  </si>
  <si>
    <t>En medio de una cuidad tumultuosa muchas especies locales pueden anidar y garantizar su reproduccion de forma pacifica</t>
  </si>
  <si>
    <t>Nido euphonia piquigruesa.jpg</t>
  </si>
  <si>
    <t>Nidos de arboles.jpg</t>
  </si>
  <si>
    <t>Cañon Río Guatiquía</t>
  </si>
  <si>
    <t>Nieve cocuy.jpg</t>
  </si>
  <si>
    <t>cocuy snow</t>
  </si>
  <si>
    <t>6.449751, -72.354976</t>
  </si>
  <si>
    <t>Nieve en las montañas.jpg</t>
  </si>
  <si>
    <t>snow in the mountains</t>
  </si>
  <si>
    <t>Niflheim,Vereda Santuario, Carmen de Carupa, Cundinamarca.jpg</t>
  </si>
  <si>
    <t>Niflheim</t>
  </si>
  <si>
    <t>5.384834, -73.859492</t>
  </si>
  <si>
    <t>Ninfa Coronada - Thalurania colombica.jpg</t>
  </si>
  <si>
    <t>La ninfa coronada exhibe la iridiscencia característica de su corona mientras se alimenta entre flores del bosque andino. Nativa de América Central y del noroeste de América del Sur.</t>
  </si>
  <si>
    <t>Ninfas de chinche. Familia Coreidae.jpg</t>
  </si>
  <si>
    <t>Grupo numeroso de ninfas de chinche de la familia Coreidae.</t>
  </si>
  <si>
    <t>Niños en la playa de Rioacha al atardecer junio 2026.jpg</t>
  </si>
  <si>
    <t>11.554478, -72.909094</t>
  </si>
  <si>
    <t>No apto para bañarse.jpg</t>
  </si>
  <si>
    <t>Cuerpo de agua en Medellín</t>
  </si>
  <si>
    <t>6.243493, -75.554199</t>
  </si>
  <si>
    <t>Noche con paisaje.jpg</t>
  </si>
  <si>
    <t>El lenguaje silencioso de la arquitectura nocturna juega con el paisaje en villavicencio</t>
  </si>
  <si>
    <t>Noche en el río Inírida.jpg</t>
  </si>
  <si>
    <t>Norcasia natural.jpg</t>
  </si>
  <si>
    <t>Trees stood tall</t>
  </si>
  <si>
    <t>5.571986, -74.896942</t>
  </si>
  <si>
    <t>Norcasia verde.jpg</t>
  </si>
  <si>
    <t>Green of my Emerald</t>
  </si>
  <si>
    <t>5.566422, -74.907219</t>
  </si>
  <si>
    <t>Nubes con elefante juguetón.jpg</t>
  </si>
  <si>
    <t>Montañas de cundinamarca en un día lleno de nubes con formas caprichosas. Tal vez veas un elefante que persigue un corazón con su trompa.</t>
  </si>
  <si>
    <t>Nuestras Montañas.jpg</t>
  </si>
  <si>
    <t>Montañas de Medellín</t>
  </si>
  <si>
    <t>Numenius hudsonicus - Nuquí, Chocó, Colombia - 23 Oct 2025 - Diferoch.jpg</t>
  </si>
  <si>
    <t>Individual of Numenius hudsonicus observed in the coastal zone (Pacific Ocean) of Nuquí, Chocó, Colombia.</t>
  </si>
  <si>
    <t>5.609268, -77.438568</t>
  </si>
  <si>
    <t>Nyctibius grandis - Barrancabermeja, Santander, Colombia - 14 Jun 2026 - Diferoch.jpg</t>
  </si>
  <si>
    <t>Individual of Nyctibius grandis observed in Barrancabermeja, Santander, Colombia.</t>
  </si>
  <si>
    <t>7.096358, -73.756257</t>
  </si>
  <si>
    <t>Nymphaea-nenúfar rosa.jpg</t>
  </si>
  <si>
    <t>Nymphaea - nenúfar rosa - Nymphaea pubescens o Nymphaea rubra- Nymphaeaceae (Ninfeáceas).</t>
  </si>
  <si>
    <t>Nymphaeaceae family-waterlily or lotus - and damselfly.jpg</t>
  </si>
  <si>
    <t>Nymphaea nouchali-Nymphaeaceae-waterlily or lotus flower-and damselfly (dragonflie)</t>
  </si>
  <si>
    <t>ORQUIA COLOMBIANA ZAPATITO DE OBISPO.jpg</t>
  </si>
  <si>
    <t>La tomé en medio de una exposición de orquídeas Colombianas en Pereira</t>
  </si>
  <si>
    <t>Ocean in Palomino.jpg</t>
  </si>
  <si>
    <t>Ocean In palomino town</t>
  </si>
  <si>
    <t>Ocky hiking trail with Opuntia cacti and stratified cliffs near Villa de Leyva, 2026.jpg</t>
  </si>
  <si>
    <t>A steep, unpaved path along a sedimentary rock face in the Boyacá department, featuring large prickly pear cacti (Opuntia) growing on the arid slopes with layered canyon walls in the background.</t>
  </si>
  <si>
    <t>Ocypode gaudichaudii - Nuquí, Chocó, Colombia - 22 Oct 2025 - Diferoch.jpg</t>
  </si>
  <si>
    <t>Individual of Ocypode gaudichaudii observed in Nuquí, Chocó, Colombia.</t>
  </si>
  <si>
    <t>5.624793, -77.418190</t>
  </si>
  <si>
    <t>Océano Atlántico.jpg</t>
  </si>
  <si>
    <t>Atlantic Ocean</t>
  </si>
  <si>
    <t>Océano de niebla avanzando sobre las cumbres de Sumapaz.jpg</t>
  </si>
  <si>
    <t>Fotografía aérea de paisaje meteorológico de alta montaña que captura una impresionante masa compacta de nubes bajas y niebla avanzando como una ola sobre el relieve escarpado del páramo. La toma divide visualmente la escena en diagonal, contrastando el valle expuesto a la luz solar con la densa humedad en tránsito en el Parque Nacional Natural Sumapaz.</t>
  </si>
  <si>
    <t>Odocoileus goudotii) female.jpg</t>
  </si>
  <si>
    <t>Páramo deer (Odocoileus goudotii) female-(doe) venado de cola blanca entre bosque y frailejones</t>
  </si>
  <si>
    <t>Odocoileus virginianus-venado de cola blanca.jpg</t>
  </si>
  <si>
    <t>Odocoileus virginianus-venado de cola blanca</t>
  </si>
  <si>
    <t>Oedipomidas leucopus 01.jpg</t>
  </si>
  <si>
    <t>Nombre común: tití gris</t>
  </si>
  <si>
    <t>Oedipomidas leucopus 02.jpg</t>
  </si>
  <si>
    <t>Oedipomidas leucopus 03.jpg</t>
  </si>
  <si>
    <t>Ognorhynchus icterotis, loro orejiamarillo en su nido.jpg</t>
  </si>
  <si>
    <t>Una pareja de loros descansa resguardada en una cavidad de palma de cera, en el corazón de su hábitat. Si este árbol desaparece, no solo perderán su refugio; es probable que la especie también vea comprometida su supervivencia.</t>
  </si>
  <si>
    <t>4.316257, -75.538006</t>
  </si>
  <si>
    <t>Ognorhynchus icterotis, loro orejiamarillo en su sitio de nidificación habitual.jpg</t>
  </si>
  <si>
    <t>una pareja de loros en medio de su habitad idoneo, donde si desaparece la palma de cera, es probable que esta especie tambien lo haga</t>
  </si>
  <si>
    <t>Ognorhynchus icterotis, loro orejiamarillo saliendo de su nido.jpg</t>
  </si>
  <si>
    <t>Una pareja de loros saliendo de una cavidad de palma de cera, en el corazón de su hábitat. Si este árbol desaparece, no solo perderán su refugio; es probable que la especie también vea comprometida su supervivencia.</t>
  </si>
  <si>
    <t>Ojo de Poeta.jpg</t>
  </si>
  <si>
    <t>flor invasora “Ojo de Poeta” llenando la flora de Sonsón, Antioquia</t>
  </si>
  <si>
    <t>5.715806, -75.306769</t>
  </si>
  <si>
    <t>Ojos nocturnos.jpg</t>
  </si>
  <si>
    <t>La noche revela a uno de los mamíferos menos vistos de los bosques andinos, sorprendido entre las ramas por la luz de la cámara.</t>
  </si>
  <si>
    <t>5.513748, -74.197827</t>
  </si>
  <si>
    <t>Oranged.jpg</t>
  </si>
  <si>
    <t>7.120676, -73.109657</t>
  </si>
  <si>
    <t>Oreja de elefante.jpg</t>
  </si>
  <si>
    <t>Oreja de elefante en el Jardín Botánico de Bogotá</t>
  </si>
  <si>
    <t>Oreja de elefante (Colocasia esculenta).jpg</t>
  </si>
  <si>
    <t>Large leaf of Colocasia esculenta (Araceae), characterized by its cordate blade, smooth and glossy surface, and prominent midrib. Photograph taken in a humid tropical garden environment.</t>
  </si>
  <si>
    <t>Oreja de elefante en relación a mano humana (Colocasia esculenta).jpg</t>
  </si>
  <si>
    <t>Orejashuila 14.jpg</t>
  </si>
  <si>
    <t>Flores Huila</t>
  </si>
  <si>
    <t>Orion y la Luna Suesca 10 enero 2025.jpg</t>
  </si>
  <si>
    <t>Orion constelation and the moon taken from Suesca village, Colombia</t>
  </si>
  <si>
    <t>Orquidea de la reserva de natural de Guataqui de potosi.jpg</t>
  </si>
  <si>
    <t>Orquidea en casa en Ruinas.jpg</t>
  </si>
  <si>
    <t>Orquidea en casa en Ruinas</t>
  </si>
  <si>
    <t>Orquidea mayo de 2026.jpg</t>
  </si>
  <si>
    <t>orquídea</t>
  </si>
  <si>
    <t>Orquídea (Gomphichis).jpg</t>
  </si>
  <si>
    <t>Orchid (Gomphichis)</t>
  </si>
  <si>
    <t>Orquídea (Oncidium).jpg</t>
  </si>
  <si>
    <t>Orchid (Oncidium)</t>
  </si>
  <si>
    <t>Orquídea cactus.jpg</t>
  </si>
  <si>
    <t>Orchid Cactus (Epiphyllum sp.) "A spectacular cactus producing large, exotic flowers that bloom for a short but unforgettable time."</t>
  </si>
  <si>
    <t>4.864605, -74.048827</t>
  </si>
  <si>
    <t>Orquídea colombiana.jpg</t>
  </si>
  <si>
    <t>Orquídea colombiana</t>
  </si>
  <si>
    <t>6.202494, -75.603242</t>
  </si>
  <si>
    <t>Orquídea de cruz verde.jpg</t>
  </si>
  <si>
    <t>Orquídea tapizado</t>
  </si>
  <si>
    <t>4.562114, -73.989136</t>
  </si>
  <si>
    <t>Orquídea de mata redonda.jpg</t>
  </si>
  <si>
    <t>Stelis flower</t>
  </si>
  <si>
    <t>4.562050, -73.989211</t>
  </si>
  <si>
    <t>Orquídea de tierra - Spathoglottis plicata Blume.jpg</t>
  </si>
  <si>
    <t>Orquídea de tierra - Spathoglottis plicata Blume – Género Spathoglottis – Familia Orchidaceae</t>
  </si>
  <si>
    <t>Orquídea del género Oncidium en la Reserva Biológica Encenillo, Colombia.jpg</t>
  </si>
  <si>
    <t>Orquídea del género Oncidium fotografiada en floración en la Reserva Biológica Encenillo. La planta fue registrada en un bosque altoandino característico de la cordillera Oriental colombiana. Las especies de este género son reconocidas por la diversidad de formas y colores de sus flores, así como por su importancia dentro de las comunidades vegetales de los bosques andinos.</t>
  </si>
  <si>
    <t>Orquídeas (13744).jpg</t>
  </si>
  <si>
    <t>Orquídeas</t>
  </si>
  <si>
    <t>4.941262, -75.095430</t>
  </si>
  <si>
    <t>Orquídeas (25083).jpg</t>
  </si>
  <si>
    <t>4.949794, -74.884624</t>
  </si>
  <si>
    <t>Orquídeas (43127).jpg</t>
  </si>
  <si>
    <t>4.974434, -74.854865</t>
  </si>
  <si>
    <t>Orquídeas (58671).jpg</t>
  </si>
  <si>
    <t>4.926758, -74.821796</t>
  </si>
  <si>
    <t>Orquídeas (79044).jpg</t>
  </si>
  <si>
    <t>5.055419, -74.894363</t>
  </si>
  <si>
    <t>Orquídeas (81266).jpg</t>
  </si>
  <si>
    <t>4.880582, -74.862736</t>
  </si>
  <si>
    <t>Orquídeas (81617).jpg</t>
  </si>
  <si>
    <t>4.925383, -74.850895</t>
  </si>
  <si>
    <t>Orquídeas (86734).jpg</t>
  </si>
  <si>
    <t>4.943229, -74.845714</t>
  </si>
  <si>
    <t>Orthoptera - Cimitarra, Santander, Colombia - 30 Sep 2025 - Diferoch.jpg</t>
  </si>
  <si>
    <t>Individual of unidentified Orthoptera observed in Cimitarra, Santander, Colombia.</t>
  </si>
  <si>
    <t>6.711032, -74.146180</t>
  </si>
  <si>
    <t>Orthoptero en Iza, Boyacá.jpg</t>
  </si>
  <si>
    <t>Othoptero de la familia Tettigoniidae en Boyacá</t>
  </si>
  <si>
    <t>Oruga de la mariposa monarca sudamericana.jpg</t>
  </si>
  <si>
    <t>Oruga de la mariposa monarca sudamericana</t>
  </si>
  <si>
    <t>Oruga de mariposa monarca.jpg</t>
  </si>
  <si>
    <t>insecto</t>
  </si>
  <si>
    <t>Oruga Paipa.jpg</t>
  </si>
  <si>
    <t>Caterpillar_Paipa</t>
  </si>
  <si>
    <t>Oruga de polilla cesta de oro.jpg</t>
  </si>
  <si>
    <t>Oruga de polilla cesta de oro, pertenece a la familia Urodidae, construyen esta estructura con seda, en la cual pasan parte de su ciclo de vida. Imagen tomada en la reserva El Diamante de las Aguas. San José del Guaviare.</t>
  </si>
  <si>
    <t>2.494485, -72.636197</t>
  </si>
  <si>
    <t>Oruga en San Francisco, Cundinamarca.jpg</t>
  </si>
  <si>
    <t>Oruga en San Francisco, Cundinamarca</t>
  </si>
  <si>
    <t>4.972394, -74.290662</t>
  </si>
  <si>
    <t>Orugas.jpg</t>
  </si>
  <si>
    <t>orugas</t>
  </si>
  <si>
    <t>4.976074, -74.295378</t>
  </si>
  <si>
    <t>Otro día.jpg</t>
  </si>
  <si>
    <t>8.072294, -74.786069</t>
  </si>
  <si>
    <t>Otro día normal.jpg</t>
  </si>
  <si>
    <t>8.071933, -74.786572</t>
  </si>
  <si>
    <t>Pacific Ocean - Nuquí, Chocó, Colombia - 22 Oct 2025 - Diferoch.jpg</t>
  </si>
  <si>
    <t>Pacific Ocean observed from Nuquí, Chocó, Colombia.</t>
  </si>
  <si>
    <t>5.625032, -77.420753</t>
  </si>
  <si>
    <t>Pacific Ocean - Nuquí, Chocó, Colombia - 23 Oct 2025 - Diferoch.jpg</t>
  </si>
  <si>
    <t>Rainbow over Pacific Ocean in Nuquí, Chocó, Colombia.</t>
  </si>
  <si>
    <t>5.633037, -77.445740</t>
  </si>
  <si>
    <t>Paipa, Boyacá, 2026.jpg</t>
  </si>
  <si>
    <t>Paipa, Boyacá</t>
  </si>
  <si>
    <t>Pair of "Barranqueros" in the woods of Santa Elena.jpg</t>
  </si>
  <si>
    <t>Pair of "Barranqueros" in the woods of Santa Elena, Antioquia - Colombia.</t>
  </si>
  <si>
    <t>Paisaje - Parque de los novios.jpg</t>
  </si>
  <si>
    <t>Foto tomada en el Parque de los novios</t>
  </si>
  <si>
    <t>Paisaje Barichara.jpg</t>
  </si>
  <si>
    <t>Paisaje de cañones en Barichara, Santander.</t>
  </si>
  <si>
    <t>Paisaje Ciénaga de Mallorquín.jpg</t>
  </si>
  <si>
    <t>Paisaje del Ecparque Cienaga de mallorquín en Barranquilla, Colombia donde el verde de los manglares y el azul del agua crean el escape pefecto</t>
  </si>
  <si>
    <t>Paisaje Desierto Gris.jpg</t>
  </si>
  <si>
    <t>Desierto Gris (Desierto de la Tatacoa)</t>
  </si>
  <si>
    <t>Paisaje Desierto Tatacoa 01.jpg</t>
  </si>
  <si>
    <t>Bosque seco tropical</t>
  </si>
  <si>
    <t>Paisaje Desierto Tatacoa 02.jpg</t>
  </si>
  <si>
    <t>Paisaje Desierto Tatacoa 03.jpg</t>
  </si>
  <si>
    <t>Paisaje Jardín Botánico de Bogotá.jpg</t>
  </si>
  <si>
    <t>Landscape of the Botanical Garden of Bogotá</t>
  </si>
  <si>
    <t>Paisaje av 68 con 3 bogota.jpg</t>
  </si>
  <si>
    <t>paisaje capitalino en un atardecer diferente</t>
  </si>
  <si>
    <t>Paisaje bosque seco tropical Tatacoa.jpg</t>
  </si>
  <si>
    <t>Tatacoa huila</t>
  </si>
  <si>
    <t>Paisaje boyacense.jpg</t>
  </si>
  <si>
    <t>Boyaca landscape</t>
  </si>
  <si>
    <t>Paisaje de Frailejones.jpg</t>
  </si>
  <si>
    <t>Panorámica de alta montaña que logra visualizar la inmensidad del páramo bajo un cielo parcialmente nublado, la ladera está poblada por frailejones (Género espeletia), con un piso de pajonales y pastos andinos adaptados a la altura, bajas temperaturas y alta radiación. Al fondo se observa una pared de roca. La foto fue tomada a 4.000 metros sobre el nivel de mar en el Parque Nacional Natural Los Nevados</t>
  </si>
  <si>
    <t>Paisaje de Guasca.jpg</t>
  </si>
  <si>
    <t>Fotografía de un paisaje en Guasca en La Reserva El zoque.</t>
  </si>
  <si>
    <t>4.842005, -73.834041</t>
  </si>
  <si>
    <t>Paisaje de Guasca - La Reserva El Zoque.jpg</t>
  </si>
  <si>
    <t>4.841970, -73.834124</t>
  </si>
  <si>
    <t>Paisaje de Iza, Boyacá.jpg</t>
  </si>
  <si>
    <t>Paisaje de la naturaleza en Iza, Boyacá en el sector "el infierno"</t>
  </si>
  <si>
    <t>Paisaje de San Francisco, Cundinamarca.jpg</t>
  </si>
  <si>
    <t>Paisaje de San Francisco, Cundinamarca</t>
  </si>
  <si>
    <t>Paisaje de San Francisco, Cundinamarca (66826).jpg</t>
  </si>
  <si>
    <t>Paisaje de San Francisco, Cundinamarca (87853).jpg</t>
  </si>
  <si>
    <t>4.978491, -74.288956</t>
  </si>
  <si>
    <t>Paisaje de entrada al páramo Cruz Verde, Cundinamarca.jpg</t>
  </si>
  <si>
    <t>Hábitat de alta montaña en la entrada a la caminata del páramo Cruz Verde, Colombia.</t>
  </si>
  <si>
    <t>Paisaje de montaña de San Francisco entre neblina.jpg</t>
  </si>
  <si>
    <t>Paisaje de montaña de San Francisco entre neblina</t>
  </si>
  <si>
    <t>Paisaje de san andres.jpg</t>
  </si>
  <si>
    <t>paisaje con un cielo esplendor acompañado con las palmeras de san andres</t>
  </si>
  <si>
    <t>Paisaje doblemente boyacense.jpg</t>
  </si>
  <si>
    <t>Se aprecia al fondo el hermoso pueblo boyacense</t>
  </si>
  <si>
    <t>Paisaje en Cocorná, Antioquia.jpg</t>
  </si>
  <si>
    <t>Paisaje en Cocorná, Antioquia</t>
  </si>
  <si>
    <t>Paisaje en Cocorná, Antioquia (12306).jpg</t>
  </si>
  <si>
    <t>5.068890, -75.531478</t>
  </si>
  <si>
    <t>Paisaje en Cocorná, Antioquia (13769).jpg</t>
  </si>
  <si>
    <t>Paisaje en Cocorná, Antioquia (14272).jpg</t>
  </si>
  <si>
    <t>Paisaje en Cocorná, Antioquia (17644).jpg</t>
  </si>
  <si>
    <t>Paisaje en Cocorná, Antioquia (17682).jpg</t>
  </si>
  <si>
    <t>Paisaje en Cocorná, Antioquia (58810).jpg</t>
  </si>
  <si>
    <t>Paisaje en Cocorná, Antioquia (61238).jpg</t>
  </si>
  <si>
    <t>Paisaje en Cocorná, Antioquia (73320).jpg</t>
  </si>
  <si>
    <t>Paisaje en Cocorná, Antioquia (83375).jpg</t>
  </si>
  <si>
    <t>Paisaje en Cocorná, Antioquia (99320).jpg</t>
  </si>
  <si>
    <t>6.052822, -75.197948</t>
  </si>
  <si>
    <t>Paisaje en Girardota.jpg</t>
  </si>
  <si>
    <t>Paisaje en Girardota</t>
  </si>
  <si>
    <t>Paisaje en Girardota Antioquia.jpg</t>
  </si>
  <si>
    <t>Una foto de un lindo paisaje una vez en Girardota</t>
  </si>
  <si>
    <t>Paisaje en la Carretera.jpg</t>
  </si>
  <si>
    <t>Paisaje Carretera de Bogotá a Medellin</t>
  </si>
  <si>
    <t>Paisaje entre nubes con cultivos de plátano en la Sierra Nevada de Santa Marta.jpg</t>
  </si>
  <si>
    <t>Fotografía de un paisaje montañoso en la Sierra Nevada de Santa Marta, Colombia, donde se observan cultivos de plátano entre un manto de nubes que cubre parcialmente las laderas. La escena refleja la interacción entre sistemas productivos agrícolas y ecosistemas de montaña, en un entorno de gran importancia ecológica y cultural. La presencia de nubes bajas y neblina es característica de las zonas de gradiente altitudinal en esta cordillera, generando paisajes de alta humedad y gran diversidad biológica.</t>
  </si>
  <si>
    <t>Paisaje entre nubes en el Parque Nacional Natural Chingaza, Colombia.jpg</t>
  </si>
  <si>
    <t>Nubes cubriendo el paisaje de alta montaña en el Parque Nacional Natural Chingaza, Colombia.</t>
  </si>
  <si>
    <t>Paisaje escarpado y vertientes del volcán Nevado del Ruiz.jpg</t>
  </si>
  <si>
    <t>Esta serie fotográfica es una inmersión en la majestuosidad brutal del páramo que rodea al Nevado del Ruiz, un volcán activo de la Cordillera Central colombiana. A pesar de que la densa niebla nos negó la vista del pico, estas imágenes capturan la respiración de un ecosistema que, por su geografía y clima, es fundamental para la vida en Colombia. El páramo produce aproximadamente el 85% del agua potable del país, actuando como una esponja gigantesca que purifica y distribuye el líquido vital. Es una verdad científica, una fuente de vida que nace en la misma tierra que alguna vez sembró la muerte.El lente se adentra en la batalla silenciosa que libran los frailejones, centinelas de la alta montaña. A una velocidad de crecimiento de apenas 1 cm por año, estos guerreros vegetales se alzan entre paisajes escarpados, en un entorno de temperaturas que oscilan entre los -5°C y los 18°C. Las cascadas que serpentean entre las rocas son el pulso de la montaña, un grito de vida que contrasta con el silencio sepulcral que a veces domina el lugar. Este trabajo no es solo un registro; es una exploración de la resiliencia y la crudeza de la naturaleza, un recordatorio de que la vida siempre se abre camino, incluso en los escenarios más hostiles. Amplia panorámica de la geografía del Parque Nacional Natural Los Nevados. Muestra la inmensidad de las faldas del volcán erosionadas por antiguos flujos y lluvias, enmarcando una caída de agua en la parte central y vegetación nativa en primer plano.</t>
  </si>
  <si>
    <t>Paisaje estacion americas con boyaca.jpg</t>
  </si>
  <si>
    <t>PAISAJE SEMIURBANO.jpg</t>
  </si>
  <si>
    <t>Paisaje semiurbano con una casa rural y en el fondo casas urbanas y plantas alrededor.</t>
  </si>
  <si>
    <t>Paisaje Nevado Ruiz.jpg</t>
  </si>
  <si>
    <t>Paisaje nevado del Ruiz visto desde Albán Cundinamarca, a través de unas palmeras y el vuelo de los Chulos</t>
  </si>
  <si>
    <t>Paisaje Reserva Natural. Reserva Natural Guataquí de Potosí.jpg</t>
  </si>
  <si>
    <t>Paisaje San Francisco, Cundinamarca.jpg</t>
  </si>
  <si>
    <t>Paisaje del bosque tropical húmedo de dicho municipio</t>
  </si>
  <si>
    <t>4.974942, -74.290200</t>
  </si>
  <si>
    <t>Paisaje Sede Norte Unisalle.jpg</t>
  </si>
  <si>
    <t>Laguna en la sede norte de La Universidad de la Salle con gaviotas sobrevolando</t>
  </si>
  <si>
    <t>4.754670, -74.043500</t>
  </si>
  <si>
    <t>Paisaje Urbano. Mundo Aventura.jpg</t>
  </si>
  <si>
    <t>Foto tomada en el parque Mundo Aventura. Bogotá D.C</t>
  </si>
  <si>
    <t>Paisaje Urbano - UniAndes.jpg</t>
  </si>
  <si>
    <t>Foto tomada en la Universidad de Los Andes.</t>
  </si>
  <si>
    <t>Paisaje natural campus la salle.jpg</t>
  </si>
  <si>
    <t>Paisaje natural ubicado en el campus de la universidad de La Sallle, sede la candelaria. Bogotá</t>
  </si>
  <si>
    <t>Paisaje natural en la candelaria bogotá.jpg</t>
  </si>
  <si>
    <t>Paisaje natural en el campus de la salle en la candelaria, bogotá</t>
  </si>
  <si>
    <t>Paisaje nublado. Universidad de La Salle.jpg</t>
  </si>
  <si>
    <t>Foto tomada en la Universidad de La Salle - Sede Norte</t>
  </si>
  <si>
    <t>Paisaje paipa boyaca.jpg</t>
  </si>
  <si>
    <t>paisaje de paipa boyaca, por la mañana, que evidencia naturaleza</t>
  </si>
  <si>
    <t>Paisaje playero desde la costa atlántica.jpg</t>
  </si>
  <si>
    <t>Beach landscape from the Atlantic coast.</t>
  </si>
  <si>
    <t>Paisaje ritacua.jpg</t>
  </si>
  <si>
    <t>Pajonal de Páramo, ritacua</t>
  </si>
  <si>
    <t>6.479683, -72.337036</t>
  </si>
  <si>
    <t>Paisaje sumapaz.jpg</t>
  </si>
  <si>
    <t>Nacimiento Río ariari zumapaz</t>
  </si>
  <si>
    <t>3.979794, 7.415267</t>
  </si>
  <si>
    <t>Paisaje urbano.Universidad de la Salle.jpg</t>
  </si>
  <si>
    <t>Urban landscape of La Salle University</t>
  </si>
  <si>
    <t>Paisaje y Frailejones.jpg</t>
  </si>
  <si>
    <t>Paisaje del Parque Nacional Natural el Cocuy</t>
  </si>
  <si>
    <t>Paisaje y Frailejones 01.jpg</t>
  </si>
  <si>
    <t>Paisaje zona verde universidad de la salle.jpg</t>
  </si>
  <si>
    <t>Paisaje de la zona verde ubicada a la entrada de la universidad de la salle sede candelaria</t>
  </si>
  <si>
    <t>Pajarito, Boyacá.jpg</t>
  </si>
  <si>
    <t>Pajarito, Boyacá</t>
  </si>
  <si>
    <t>Pajaro en un cactus en el atardecer.png</t>
  </si>
  <si>
    <t>bird on a cactus at sunset</t>
  </si>
  <si>
    <t>10.495412, -75.125627</t>
  </si>
  <si>
    <t>Palm Tanager Bird (Thraupis palmarum).jpg</t>
  </si>
  <si>
    <t>La tangara palmera​ es una especie de ave paseriforme de la familia Thraupidae, perteneciente al género Thraupis.</t>
  </si>
  <si>
    <t>Palma canaria (Arecaceae).jpg</t>
  </si>
  <si>
    <t>Palma canaria (Arecaceae).</t>
  </si>
  <si>
    <t>Palma canaria 1(Arecaceae).jpg</t>
  </si>
  <si>
    <t>Palm Arecaceae.</t>
  </si>
  <si>
    <t>Palma de Corozo - Familia Arecaceae.jpg</t>
  </si>
  <si>
    <t>Mararay - Palma de Corozo - Familia Arecaceae</t>
  </si>
  <si>
    <t>Palma de cera (Ceroxylon quindiuense).jpg</t>
  </si>
  <si>
    <t>Wax palm (Ceroxylon quindiuense)</t>
  </si>
  <si>
    <t>Palma de coco (Cocos nucifera).jpg</t>
  </si>
  <si>
    <t>Ejemplar de palmera tropical con un estípite (tronco) delgado y una copa densa compuesta por frondas pinnadas de color verde brillante y tonalidades amarillentas. En el centro de la copa se aprecian algunos frutos (cocos) en desarrollo.</t>
  </si>
  <si>
    <t>-7.883198, -72.531270</t>
  </si>
  <si>
    <t>Palma de moriche.jpg</t>
  </si>
  <si>
    <t>palma moriche, canangucha, palmera</t>
  </si>
  <si>
    <t>Palma real (Ceroxylon alpinum).jpg</t>
  </si>
  <si>
    <t>Palm (Ceroxylon alpinum)</t>
  </si>
  <si>
    <t>Palmas de cera (salento Quindio.jpg</t>
  </si>
  <si>
    <t>Uno de los paisajes mas hermosos de Colombia</t>
  </si>
  <si>
    <t>Palmas de cera en el Jardín Botánico de Bogotá1.jpg</t>
  </si>
  <si>
    <t>Wax palms in the Botanical Garden of Bogotá.</t>
  </si>
  <si>
    <t>Palmas de cera en su esplendor.jpg</t>
  </si>
  <si>
    <t>Nunca me cansaré de ver estos paisajes ,la palma de cera arbol nacional de mi bella Colombia</t>
  </si>
  <si>
    <t>Palmas de sol.jpg</t>
  </si>
  <si>
    <t>Shadows of a memory</t>
  </si>
  <si>
    <t>5.571886, -74.897072</t>
  </si>
  <si>
    <t>Palmas san andres.jpg</t>
  </si>
  <si>
    <t>Calles de san andres y su alrededor</t>
  </si>
  <si>
    <t>Palmera costera.jpg</t>
  </si>
  <si>
    <t>Individuo de Sabal palmetto</t>
  </si>
  <si>
    <t>Palmera de san andres.jpg</t>
  </si>
  <si>
    <t>Palmera tropical frente al mar Caribe en San Andres</t>
  </si>
  <si>
    <t>Palmera junto al mar.jpg</t>
  </si>
  <si>
    <t>Palmeras en arena junto al mar</t>
  </si>
  <si>
    <t>Palmeras,jardin botanico.jpg</t>
  </si>
  <si>
    <t>Un paisaje sereno rodeado de altas palmeras que se elevan sobre un jardín verde y cuidado. El contraste entre el cielo claro, la vegetación oscura del fondo y las formas delgadas de las palmeras crea una atmósfera tropical, tranquila y elegante.</t>
  </si>
  <si>
    <t>Paloma en mano.jpg</t>
  </si>
  <si>
    <t>Paloma en mano</t>
  </si>
  <si>
    <t>Palomino Beach.jpg</t>
  </si>
  <si>
    <t>Palomino town beach</t>
  </si>
  <si>
    <t>Palomino Colombia.jpg</t>
  </si>
  <si>
    <t>Palomino Colombia 2.jpg</t>
  </si>
  <si>
    <t>Beach in palomino Town</t>
  </si>
  <si>
    <t>Panama Queen.jpg</t>
  </si>
  <si>
    <t>Planta en el Jardín Botánico de Bogotá</t>
  </si>
  <si>
    <t>Panamá de cera 2.jpg</t>
  </si>
  <si>
    <t>Salento,Quindio pueblo natal de mi fallecida madre</t>
  </si>
  <si>
    <t>Pance River, Cali, Colombia.jpg</t>
  </si>
  <si>
    <t>Pance Rive, Cali, Colombia. The entire area and surroundings are biodiversity pretected.</t>
  </si>
  <si>
    <t>3.322900, -76.609600</t>
  </si>
  <si>
    <t>Panorámica a la bahía de Santa Marta.jpg</t>
  </si>
  <si>
    <t>Panoramic view from the eastern hills of Bogotá</t>
  </si>
  <si>
    <t>Panorámica aérea del cañón del Río Bogotá tras el Salto del Tequendama.jpg</t>
  </si>
  <si>
    <t>Vista panorámica con dron que documenta la fractura geológica del terreno posterior a la gran cascada. Se aprecia el curso del río abriéndose paso en el fondo del abismo, enmarcado por acantilados cubiertos de vegetación nativa y nubes bajas dispersas.</t>
  </si>
  <si>
    <t>4.578887, -74.294787</t>
  </si>
  <si>
    <t>Panorámica de la transición geográfica en la Tatacoa.jpg</t>
  </si>
  <si>
    <t>Fotografía de paisaje de gran angular que muestra la inmensidad del relieve ondulado del desierto. La toma expone la cobertura vegetal del bosque seco tropical sobre las formaciones de arcilla, cerrando en el horizonte con las montañas de la cordillera andina bajo un cielo azul despejado dentro del Distrito Regional de Manejo Integrado La Tatacoa.</t>
  </si>
  <si>
    <t>Panorámica del rio magdalena.jpg</t>
  </si>
  <si>
    <t>panoramic of Magdalena</t>
  </si>
  <si>
    <t>Panorámica desde el embalse El Peñol - Guatapé.jpg</t>
  </si>
  <si>
    <t>Panoramic view from the El Peñol - Guatapé reservoir.</t>
  </si>
  <si>
    <t>Panorámica desde los cerros orientales de Bogotá 01.jpg</t>
  </si>
  <si>
    <t>PANTANO ULTIMO DIA.jpg</t>
  </si>
  <si>
    <t>ES UN PANTANO MONTAÑOSO CON PLANTAS ALREDEDOR XON UN MANGLAR EN EL CENTRO.</t>
  </si>
  <si>
    <t>Panorámica Parque Nacional Natural Los Nevados.jpg</t>
  </si>
  <si>
    <t>Panorámica Parque Nacional Natural Los Nevados</t>
  </si>
  <si>
    <t>Panorámica desde Santa Marta.jpg</t>
  </si>
  <si>
    <t>Panoramic view from Santa Marta</t>
  </si>
  <si>
    <t>Panorámica playera.jpg</t>
  </si>
  <si>
    <t>Beach panorama.</t>
  </si>
  <si>
    <t>Pantano de Andabobos.jpg</t>
  </si>
  <si>
    <t>Pantano de Andabobos. Paramo de Sumapaz. Autor. Axl</t>
  </si>
  <si>
    <t>Papiro - Cyperus papyrus - Cyperaceae.jpg</t>
  </si>
  <si>
    <t>El papiro (Cyperus papyrus) es una planta palustre de la familia de las ciperáceas, con tallos erguidos de sección triangular que pueden alcanzar entre 3 y 6 metros en su hábitat natural</t>
  </si>
  <si>
    <t>Parada de Romero, Güicán de la Sierra.jpg</t>
  </si>
  <si>
    <t>Paisaje Parada de Romero</t>
  </si>
  <si>
    <t>Paramo Chingaza con neblina.jpg</t>
  </si>
  <si>
    <t>Paramo Chingaza con neblina y frailejones</t>
  </si>
  <si>
    <t>Paramo de guerrero ( Cachira).jpg</t>
  </si>
  <si>
    <t>Cloud forest in Páramo de Guerrero (Cachirá).</t>
  </si>
  <si>
    <t>Paramo de sumapaz.jpg</t>
  </si>
  <si>
    <t>Laguna del paramo de sumapaz</t>
  </si>
  <si>
    <t>Pareja de Cairina moschata en hábitat acuático.jpg</t>
  </si>
  <si>
    <t>Pair of Cairina moschata interacting on the water surface in an aquatic habitat.</t>
  </si>
  <si>
    <t>Pareja de guacamayas frenticastañas (Ara severus) en Villavicencio, Meta, Colombia.jpg</t>
  </si>
  <si>
    <t>Dos individuos de guacamaya frenticastaña (Ara severus) fotografiados en Villavicencio, Meta, Colombia. La imagen muestra a las aves perchadas juntas en una estructura arbórea, reflejando el comportamiento social característico de esta especie. La guacamaya frenticastaña se distribuye ampliamente en ecosistemas tropicales de América del Sur y suele observarse en parejas o pequeños grupos.</t>
  </si>
  <si>
    <t>Pareja de insectos.jpg</t>
  </si>
  <si>
    <t>Pareja de insectos en una hoja</t>
  </si>
  <si>
    <t>Parque Ecológico Matarredonda - 23-May-2025.jpg</t>
  </si>
  <si>
    <t>Parque Ecológico Matarredonda</t>
  </si>
  <si>
    <t>4.550000, -74.000000</t>
  </si>
  <si>
    <t>Parque Ecológico Matarredonda 2 - 23-May-2025.jpg</t>
  </si>
  <si>
    <t>Landscape of Parque Ecológico Matarredonda, Cundinamarca, Colombia.</t>
  </si>
  <si>
    <t>Parque Ecológico Matarredonda 3 - 23-May-2025.jpg</t>
  </si>
  <si>
    <t>Parque Ecológico Matarredonda 4 - 23-May-2025.jpg</t>
  </si>
  <si>
    <t>Parque Jaime duque.jpg</t>
  </si>
  <si>
    <t>El thal majal monumento del parque Jaime duque</t>
  </si>
  <si>
    <t>Parque Nacional Natural Los Nevados y Nevado del Ruiz (11067).jpg</t>
  </si>
  <si>
    <t>Parque Nacional Natural Los Nevados y Nevado del Ruiz</t>
  </si>
  <si>
    <t>Parque Nacional Natural Los Nevados y Nevado del Ruiz (15882).jpg</t>
  </si>
  <si>
    <t>Parque Nacional Natural Los Nevados y Nevado del Ruiz (16003).jpg</t>
  </si>
  <si>
    <t>Parque Nacional Natural Los Nevados y Nevado del Ruiz (16986).jpg</t>
  </si>
  <si>
    <t>Parque Nacional Natural Los Nevados y Nevado del Ruiz (17437).jpg</t>
  </si>
  <si>
    <t>Parque Nacional Natural Los Nevados y Nevado del Ruiz (18248).jpg</t>
  </si>
  <si>
    <t>Parque Nacional Natural Los Nevados y Nevado del Ruiz (20595).jpg</t>
  </si>
  <si>
    <t>Parque Nacional Natural Los Nevados y Nevado del Ruiz (21036).jpg</t>
  </si>
  <si>
    <t>Parque Nacional Natural Los Nevados y Nevado del Ruiz (23415).jpg</t>
  </si>
  <si>
    <t>Parque Nacional Natural Los Nevados y Nevado del Ruiz (24454).jpg</t>
  </si>
  <si>
    <t>Parque Nacional Natural Los Nevados y Nevado del Ruiz (29184).jpg</t>
  </si>
  <si>
    <t>Parque Nacional Natural Los Nevados y Nevado del Ruiz (29342).jpg</t>
  </si>
  <si>
    <t>Parque Nacional Natural Los Nevados y Nevado del Ruiz (29395).jpg</t>
  </si>
  <si>
    <t>Parque Nacional Natural Los Nevados y Nevado del Ruiz (30163).jpg</t>
  </si>
  <si>
    <t>Parque Nacional Natural Los Nevados y Nevado del Ruiz (39072).jpg</t>
  </si>
  <si>
    <t>Parque Nacional Natural Los Nevados y Nevado del Ruiz (42530).jpg</t>
  </si>
  <si>
    <t>Parque Nacional Natural Los Nevados y Nevado del Ruiz (44448).jpg</t>
  </si>
  <si>
    <t>Parque Nacional Natural Los Nevados y Nevado del Ruiz (46538).jpg</t>
  </si>
  <si>
    <t>Parque Nacional Natural Los Nevados y Nevado del Ruiz (47118).jpg</t>
  </si>
  <si>
    <t>Parque Nacional Natural Los Nevados y Nevado del Ruiz (47517).jpg</t>
  </si>
  <si>
    <t>Parque Nacional Natural Los Nevados y Nevado del Ruiz (51704).jpg</t>
  </si>
  <si>
    <t>Parque Nacional Natural Los Nevados y Nevado del Ruiz (51737).jpg</t>
  </si>
  <si>
    <t>Parque Nacional Natural Los Nevados y Nevado del Ruiz (51760).jpg</t>
  </si>
  <si>
    <t>Parque Nacional Natural Los Nevados y Nevado del Ruiz (59525).jpg</t>
  </si>
  <si>
    <t>Parque Nacional Natural Los Nevados y Nevado del Ruiz (60853).jpg</t>
  </si>
  <si>
    <t>Parque Nacional Natural Los Nevados y Nevado del Ruiz (62299).jpg</t>
  </si>
  <si>
    <t>Parque Nacional Natural Los Nevados y Nevado del Ruiz (64087).jpg</t>
  </si>
  <si>
    <t>Parque Nacional Natural Los Nevados y Nevado del Ruiz (66260).jpg</t>
  </si>
  <si>
    <t>Parque Nacional Natural Los Nevados y Nevado del Ruiz (66560).jpg</t>
  </si>
  <si>
    <t>Parque Nacional Natural Los Nevados y Nevado del Ruiz (67158).jpg</t>
  </si>
  <si>
    <t>Parque Nacional Natural Los Nevados y Nevado del Ruiz (67453).jpg</t>
  </si>
  <si>
    <t>Parque Nacional Natural Los Nevados y Nevado del Ruiz (69710).jpg</t>
  </si>
  <si>
    <t>Parque Nacional Natural Los Nevados y Nevado del Ruiz.jpg</t>
  </si>
  <si>
    <t>Parque Nacional Natural Los Nevados y Nevado del Ruiz (71823).jpg</t>
  </si>
  <si>
    <t>Parque Nacional Natural Los Nevados y Nevado del Ruiz (72002).jpg</t>
  </si>
  <si>
    <t>Parque Nacional Natural Los Nevados y Nevado del Ruiz (73967).jpg</t>
  </si>
  <si>
    <t>Parque Nacional Natural Los Nevados y Nevado del Ruiz (83350).jpg</t>
  </si>
  <si>
    <t>Parque Nacional Natural Los Nevados y Nevado del Ruiz (84519).jpg</t>
  </si>
  <si>
    <t>Parque Nacional Natural Los Nevados y Nevado del Ruiz (87804).jpg</t>
  </si>
  <si>
    <t>Parque Nacional Natural Los Nevados y Nevado del Ruiz (93874).jpg</t>
  </si>
  <si>
    <t>Parque Tayrona y montaña de la Sierra Nevada de Santa Marta.jpg</t>
  </si>
  <si>
    <t>Parque Tayrona y montaña de la Sierra Nevada de Santa Marta</t>
  </si>
  <si>
    <t>Parte de la cordillera oriental, Colombia.jpg</t>
  </si>
  <si>
    <t>View of part of the eastern mountain range of Colombia from La Peña, Cundinamarca</t>
  </si>
  <si>
    <t>5.197833, -74.394333</t>
  </si>
  <si>
    <t>Parásita de raíz.jpg</t>
  </si>
  <si>
    <t>Inflorescencia masculina de Lagsdophia</t>
  </si>
  <si>
    <t>4.850792, -74.325517</t>
  </si>
  <si>
    <t>Paseo en el Sinú.jpg</t>
  </si>
  <si>
    <t>Río Sinú en Montería 003</t>
  </si>
  <si>
    <t>Passiflora JBB.jpg</t>
  </si>
  <si>
    <t>Passiflora sp. en el Jardín Botánico de Bogotá</t>
  </si>
  <si>
    <t>Passiflora con chinche del mburucuyá.jpg</t>
  </si>
  <si>
    <t>Passiflora con chinche del mburucuyá o chinche de la pasionaria avistada en Venecia, Antioquia</t>
  </si>
  <si>
    <t>Passiflora sp. en Bojacá.jpg</t>
  </si>
  <si>
    <t>Passiflora sp. en el camino real de Bojacá</t>
  </si>
  <si>
    <t>Passiflora violacea en JBB.jpg</t>
  </si>
  <si>
    <t>Passiflora violacea en el Jardín Botánico de Bogotá</t>
  </si>
  <si>
    <t>Pastizal de Mosquera.jpg</t>
  </si>
  <si>
    <t>Pastizal con vacas en Mosquera, Colombia</t>
  </si>
  <si>
    <t>Patagonia argentina.jpg</t>
  </si>
  <si>
    <t>Pingüino de Magallanes</t>
  </si>
  <si>
    <t>Pato Criollo.jpg</t>
  </si>
  <si>
    <t>Pato Criollo, Cairina moschata, Laguna de Ubaque, Cundinamarca, Colombia, 2026.</t>
  </si>
  <si>
    <t>Pato silbón (Dendrocygna autumnalis) fotografiado en el departamento de Casanare, Colombia (cropped).jpg</t>
  </si>
  <si>
    <t>Ejemplar de pato silbón vientrinegro (Dendrocygna autumnalis) registrado en Casanare, Colombia. La especie habita humedales, lagunas y áreas inundables, donde se alimenta principalmente de semillas, plantas acuáticas e invertebrados. Los Llanos Orientales constituyen una región importante para la conservación de aves acuáticas residentes y migratorias.</t>
  </si>
  <si>
    <t>PEQUEÑA PALMA.jpg</t>
  </si>
  <si>
    <t>Está en una finca por Combia, Pereira Risaralda</t>
  </si>
  <si>
    <t>Pato silbón (Dendrocygna autumnalis) fotografiado en el departamento de Casanare, Colombia.jpg</t>
  </si>
  <si>
    <t>Patrón de erosión pluvial en el sector de Cuzco.jpg</t>
  </si>
  <si>
    <t>Primer plano que muestra las grietas del suelo y los canales verticales causados por el agua de lluvia sobre la arcilla roja. La imagen resalta las texturas y el desgaste natural del terreno en el Distrito Regional de Manejo Integrado La Tatacoa.</t>
  </si>
  <si>
    <t>Patrón geomorfológico de un río de meandros en Sumapaz.jpg</t>
  </si>
  <si>
    <t>Fotografía aérea vertical en plano detalle que captura las cerradas curvas y meandros de un río de alta montaña abriéndose paso a través de turberas, parches de musgo verde brillante y pajonales ocres, evidenciando la intrincada red hidrológica del ecosistema del Parque Nacional Natural Sumapaz. Nacimiento del Río Tunjuelito.</t>
  </si>
  <si>
    <t>Patrón natural de un bosque de frailejones en el Ruiz.jpg</t>
  </si>
  <si>
    <t>Fotografía de patrón continuo que documenta la asombrosa cantidad de ejemplares de Espeletia recubriendo el suelo de la alta montaña, ilustrando la riqueza botánica del Parque Nacional Natural Los Nevados.</t>
  </si>
  <si>
    <t>Pava Andina.jpg</t>
  </si>
  <si>
    <t>Pava Andina</t>
  </si>
  <si>
    <t>6.226906, -75.640814</t>
  </si>
  <si>
    <t>Pavo Real Colombiano.jpg</t>
  </si>
  <si>
    <t>Pavo real en el Parque Jaime Duque. Zipaquirá, Colombia.</t>
  </si>
  <si>
    <t>Pavo real de la India.png</t>
  </si>
  <si>
    <t>Solo los machos desarrollan ese plumaje azul iridiscente en el cuello y el pecho. Además, poseen la característica cola larga</t>
  </si>
  <si>
    <t>Payador canela (Diglossa sittoides) en Paque Verde Y Agua, Fusagasugá, (Cundinamarca).jpg</t>
  </si>
  <si>
    <t>Diglossa sittoides in Fusagasugá, (Cundinamarca)</t>
  </si>
  <si>
    <t>Paz con la naturaleza.jpg</t>
  </si>
  <si>
    <t>Finalmente llegamos a la capital colombiana, Bogotá, este atardecer fue visto desde el mirador de La Calera, tremendo sunset que nos trasmite nostalgia al terminar un día, sin embargo, logré una fantastica foto.</t>
  </si>
  <si>
    <t>Pedo de lobo (Lycoperdon sp.).jpg</t>
  </si>
  <si>
    <t>Una nube de esporas en espera: pedo de lobo (Lycoperdon sp.) entre un bosque de pino de los Cerros Orientales de Bogotá.</t>
  </si>
  <si>
    <t>Pelargonium en Jardín Botanico.jpg</t>
  </si>
  <si>
    <t>Photo taken at the Botanical Garden of Bogotá of a double-flowered fuchsia-colored geranium</t>
  </si>
  <si>
    <t>Pelecanus occidentalis - Santa Marta, Magdalena, Colombia - 24 Jun 2025 - Diferoch - 1.jpg</t>
  </si>
  <si>
    <t>Adult individual of Pelecanus occidentalis observed in Santa Marta, Magdalena, Colombia.</t>
  </si>
  <si>
    <t>11.141583, -74.226852</t>
  </si>
  <si>
    <t>Pelecanus occidentalis - Santa Marta, Magdalena, Colombia - 24 Jun 2025 - Diferoch - 2.jpg</t>
  </si>
  <si>
    <t>11.141598, -74.226943</t>
  </si>
  <si>
    <t>Pelecanus occidentalis - Santa Marta, Magdalena, Colombia - 24 Jun 2025 - Diferoch - 3.jpg</t>
  </si>
  <si>
    <t>Pelecanus occidentalis murphyi - Nuquí, Chocó, Colombia - 24 Oct 2025 - Diferoch.jpg</t>
  </si>
  <si>
    <t>Juvenile of Pelecanus occidentalis murphyi observed in Nuquí, Chocó, Colombia.</t>
  </si>
  <si>
    <t>5.705548, -77.269982</t>
  </si>
  <si>
    <t>Pendientes de la Reina - Aljaba (Fuchsia magellanica).jpg</t>
  </si>
  <si>
    <t>Pepino silvestre.jpg</t>
  </si>
  <si>
    <t>Flor y fruto de pepino silvestre</t>
  </si>
  <si>
    <t>4.991258, -74.235886</t>
  </si>
  <si>
    <t>Pequeña, pero esencial.jpg</t>
  </si>
  <si>
    <t>Su tamaño contrasta con su importancia ecológica. Los anfibios son indicadores de la salud ambiental y guardianes silenciosos de los bosques.</t>
  </si>
  <si>
    <t>Pequeña transparencia del bosque.jpg</t>
  </si>
  <si>
    <t>Perched on a moist leaf, Teratohyla midas goes almost unnoticed among the vegetation. Its delicate translucent appearance makes it one of the small jewels of the tropical rainforest.</t>
  </si>
  <si>
    <t>Pequeño Mono Maicero.png</t>
  </si>
  <si>
    <t>Esta obra captura un instante dinámico en la vida silvestre, mostrando a un mono maicero (Sapajus apella) en plena acción mientras se desplaza con destreza a través del dosel forestal. La iluminación natural resalta las texturas de su pelaje denso y sus extremidades adaptadas para la vida arbórea, enmarcadas por la vegetación nativa que lo rodea. Más allá de documentar la agilidad de la especie, la fotografía busca evocar una conexión profunda con nuestros parientes silvestres, recordándonos que cada rincón de los bosques colombianos alberga vidas complejas e interconectadas. Su presencia en las ramas es un recordatorio de la salud de las coberturas vegetales y del papel que desempeñan estos primates como dispersores de semillas y arquitectos de la biodiversidad en el territorio.</t>
  </si>
  <si>
    <t>Pequeños guardianes.jpg</t>
  </si>
  <si>
    <t>Un diminuto grupo de hongos emerge sobre una rama en descomposición, recordando que incluso los organismos más pequeños sostienen el equilibrio del bosque.</t>
  </si>
  <si>
    <t>Perfil de Aglaiocercus kingii en hábitat boscoso.jpg</t>
  </si>
  <si>
    <t>Bird of the species Aglaiocercus kingii recorded in a forested habitat</t>
  </si>
  <si>
    <t>Perfil de Aulacorhynchus albivitta en hábitat boscoso.jpg</t>
  </si>
  <si>
    <t>Bird of the species Aulacorhynchus albivitta recorded in a forested habitat.</t>
  </si>
  <si>
    <t>Perfil de Chamaepetes goudotii en hábitat boscoso.jpg</t>
  </si>
  <si>
    <t>Individual of Chamaepetes goudotii observed in a forested habitat.</t>
  </si>
  <si>
    <t>Perfil de Elaenia pallatangae en hábitat boscoso.jpg</t>
  </si>
  <si>
    <t>Bird of the species Elaenia pallatangae recorded in a forested habitat.</t>
  </si>
  <si>
    <t>Perfil de Piaya cayana en hábitat boscoso.jpg</t>
  </si>
  <si>
    <t>Bird of the species Piaya cayana recorded in a forested habitat.</t>
  </si>
  <si>
    <t>Perra criolla colombiana.jpg</t>
  </si>
  <si>
    <t>Perra criolla</t>
  </si>
  <si>
    <t>Perspectiva laguna del Amor.jpg</t>
  </si>
  <si>
    <t>Alrededor de la laguna del amor hay un sendero peatonal para ver varias perspectivas de la misma</t>
  </si>
  <si>
    <t>Perspectiva tridimensional de los laberintos de Cuzco.jpg</t>
  </si>
  <si>
    <t>Fotografía de paisaje con profundidad de campo selectiva en el sector de Cuzco. La toma resalta los detalles intrincados de las formaciones de arcilla roja erosionada en el fondo, enmarcadas por las espinas en primer plano de un cactus cardón (Stenocereus griseus) dentro del Distrito Regional de Manejo Integrado La Tatacoa.</t>
  </si>
  <si>
    <t>Pescadora y canoas tradicionales a orillas del Río Magdalena.jpg</t>
  </si>
  <si>
    <t>Potente retrato documental que registra la vida ribereña y los rostros del Río Magdalena. Una mujer descansa con gesto reflexivo sobre una canoa de madera desgastada, rodeada de herramientas de pesca y raíces expuestas en la orilla del río, evidenciando la estrecha relación entre las comunidades locales y el ecosistema hídrico.</t>
  </si>
  <si>
    <t>Phaethornis guy Macho.jpg</t>
  </si>
  <si>
    <t>Ermitaño Verde - Green Hermit - Phaethornis guy</t>
  </si>
  <si>
    <t>Pheucticus aureoventris en paisaje antropizado con infraestructura eléctrica.jpg</t>
  </si>
  <si>
    <t>Bird of the species Pheucticus aureoventris recorded in a human-altered environment with electrical infrastructure.</t>
  </si>
  <si>
    <t>Photinia (Rosaceae).jpg</t>
  </si>
  <si>
    <t>Photinia from the Rosaceae family.</t>
  </si>
  <si>
    <t>Phyllomedusa venusta 2026.jpg</t>
  </si>
  <si>
    <t>An adult specimen of Phyllomedusa venusta (monkey frog) perched on a branch in the rainforest of the Los Monos agroforestry reserve, Rio Claro, Antioquia.</t>
  </si>
  <si>
    <t>Phyllostomus hastatus - Barrancabermeja, Santander, Colombia - 14 Jun 2026 - Diferoch.jpg</t>
  </si>
  <si>
    <t>Individual of Phyllostomus hastatus observed in Barrancabermeja, Santander, Colombia.</t>
  </si>
  <si>
    <t>7.096085, -73.756287</t>
  </si>
  <si>
    <t>Pico concavo.jpg</t>
  </si>
  <si>
    <t>Pico concavo cerca a la laguna grande de la sierra</t>
  </si>
  <si>
    <t>Pico más alto en piojo-atlantico.jpg</t>
  </si>
  <si>
    <t>Foto tomada con celular, retrara la densa vegetación desde el punto más alto del municipio de piojo- Atlántico (colombia)</t>
  </si>
  <si>
    <t>10.983889, -74.950556</t>
  </si>
  <si>
    <t>Piedemonte llanero, Medina, Colombia.jpg</t>
  </si>
  <si>
    <t>Vista panorámica del Piedemonte llanero en Medina, Cundinamarca, Colombia</t>
  </si>
  <si>
    <t>4.546453, -73.320335</t>
  </si>
  <si>
    <t>Piedra del Indio.jpg</t>
  </si>
  <si>
    <t>Formación rocosa en el páramo de Ocetá en una afortunada casualidad.</t>
  </si>
  <si>
    <t>Piedra en una mini cueva.jpg</t>
  </si>
  <si>
    <t>Piedra rodeada de agua en un pequeño menisco de una gran piedra ubicada en Guasca - La Reserva El Zoque</t>
  </si>
  <si>
    <t>4.862098, -73.868921</t>
  </si>
  <si>
    <t>Pilpih ainki (Calliandra trinervia Benth).jpg</t>
  </si>
  <si>
    <t>Pilpih ainki (Calliandra trinervia Benth)</t>
  </si>
  <si>
    <t>Pino chaquero (podocarpaceae).jpg</t>
  </si>
  <si>
    <t>Chaco pine (Podocarpaceae)</t>
  </si>
  <si>
    <t>Pino colombiano (Podocarpaceae).jpg</t>
  </si>
  <si>
    <t>Colombian pine (Podocarpaceae)</t>
  </si>
  <si>
    <t>Pino doncel (pinaceae).jpg</t>
  </si>
  <si>
    <t>Doncel pine (Pinaceae)</t>
  </si>
  <si>
    <t>Pino romerón.jpg</t>
  </si>
  <si>
    <t>Pino romerón</t>
  </si>
  <si>
    <t>4.987165, -74.969861</t>
  </si>
  <si>
    <t>Pino romerón (26809).jpg</t>
  </si>
  <si>
    <t>4.940995, -75.153550</t>
  </si>
  <si>
    <t>Pinos en el Jardín Botánico.jpg</t>
  </si>
  <si>
    <t>Pine trees in the Botanical Garden of Bogotá.</t>
  </si>
  <si>
    <t>Piranga escarlata o alinegra (Piranga olivacea) o un Titiribí pechi rojo.png</t>
  </si>
  <si>
    <t>pájaros pequeños y muy llamativos por su plumaje rojo vibrante en contraste con tonos oscuros</t>
  </si>
  <si>
    <t>Pitahaya (74055).jpg</t>
  </si>
  <si>
    <t>Pitahaya</t>
  </si>
  <si>
    <t>4.969457, -74.277323</t>
  </si>
  <si>
    <t>Pitahaya (82733).jpg</t>
  </si>
  <si>
    <t>4.971980, -74.259897</t>
  </si>
  <si>
    <t>Pitahaya (84472).jpg</t>
  </si>
  <si>
    <t>4.968622, -74.275899</t>
  </si>
  <si>
    <t>Pitahaya (88608).jpg</t>
  </si>
  <si>
    <t>4.969461, -74.243028</t>
  </si>
  <si>
    <t>Piña de Danta.jpg</t>
  </si>
  <si>
    <t>Piña de Danta en Jardín Botánico de Bogotá - Piña Brava - ananas nanus - Bromeliaceae</t>
  </si>
  <si>
    <t>Piña de Danta1.jpg</t>
  </si>
  <si>
    <t>Planta Achira (Canna indica).jpg</t>
  </si>
  <si>
    <t>Achira plant (Canna indica)</t>
  </si>
  <si>
    <t>Planta de rosa fucsia.jpg</t>
  </si>
  <si>
    <t>Rosas color fucsia. Familia de las rosáceas. Arbustos espinosos conocidos por su belleza y aroma. Utilizados principalmente en jardinería, perfumería y cosmética</t>
  </si>
  <si>
    <t>Planta lengua de suegra.jpg</t>
  </si>
  <si>
    <t>Sansevieria trifasciatica originaria de África, que crece en rosetas basales y verticales. Resistente a condiciones naturales desfavorables.</t>
  </si>
  <si>
    <t>Planta monstera.jpg</t>
  </si>
  <si>
    <t>Planta que pertenece a la familia de la Araceae. Es originario de méxico y américa tropical</t>
  </si>
  <si>
    <t>Planta ornamental, jardin botanico.jpg</t>
  </si>
  <si>
    <t>Planta ornamental tropical que refleja la diversidad de la flora natural</t>
  </si>
  <si>
    <t>PLAYA SOLEDAD CON AGUAS CRISTALINAS Y PLAYAS BLANCAS, LA DENSA SELVA DEL DARIEN AL FONDO.jpg</t>
  </si>
  <si>
    <t>Playa Soledad es un tesoro virgen del Caribe chocoano (municipio de Acandí), famosa por sus aguas turquesas y por estar escondida entre manglares y selva.</t>
  </si>
  <si>
    <t>PNN Cahuinari &amp; Rio Caquetá.jpg</t>
  </si>
  <si>
    <t>Rio Caquetá _ Cahuinari National Natural Park</t>
  </si>
  <si>
    <t>PNN El Cocuy.jpg</t>
  </si>
  <si>
    <t>Diferentes ecosistemas altos andinos presentes en el Parque Nacional Natural El Cocuy, donde se observa Paramo, Turbas, Morrenas y Galciales</t>
  </si>
  <si>
    <t>6.336800, -72.330700</t>
  </si>
  <si>
    <t>PNN Sumapaz.jpg</t>
  </si>
  <si>
    <t>Planta trepadora en flor sobre tronco.jpg</t>
  </si>
  <si>
    <t>Planta de guía o enredadera con pequeñas flores blancas creciendo sobre el tronco texturizado de un árbol maduro.</t>
  </si>
  <si>
    <t>Plantas nativas.jpg</t>
  </si>
  <si>
    <t>Native plants</t>
  </si>
  <si>
    <t>Plantas ruderales Diente de León.jpg</t>
  </si>
  <si>
    <t>Planta ruderal creciendo en el pavimento</t>
  </si>
  <si>
    <t>Platanillo (Heliconia rostrata).jpg</t>
  </si>
  <si>
    <t>Platanillo (Heliconis rostrata) - Jardín botánico de Cali, Colombia.jpg</t>
  </si>
  <si>
    <t>Esta planta se encuentra en el jardín botánico de Cali, uno de los parches de bosque seco tropical que ha logrado sobrevivir, gracias a los trabajos de conservación de flora del Valle del Cauca.</t>
  </si>
  <si>
    <t>Playa Parque Tayrona.jpg</t>
  </si>
  <si>
    <t>Playa Parque Tayrona</t>
  </si>
  <si>
    <t>Playa en Santa Marta, Colombia, sept 2024.jpg</t>
  </si>
  <si>
    <t>Playa en Santa Marta, Colombia, sept 2024, vista aerea desde un balcón</t>
  </si>
  <si>
    <t>11.235728, -74.219582</t>
  </si>
  <si>
    <t>Playaca.jpg</t>
  </si>
  <si>
    <t>Clear waters in Playaca Colombia</t>
  </si>
  <si>
    <t>Playaca Coast.jpg</t>
  </si>
  <si>
    <t>Clear Waters in Playaca</t>
  </si>
  <si>
    <t>Playas de Barú.jpg</t>
  </si>
  <si>
    <t>Photo taken facing the sea on the beaches of Barú Island in Cartagena, Colombia</t>
  </si>
  <si>
    <t>10.143890, -75.682500</t>
  </si>
  <si>
    <t>Pleurothallis.jpg</t>
  </si>
  <si>
    <t>Flor de orquídea presente en la reserva Moravia</t>
  </si>
  <si>
    <t>4.847964, -74.323989</t>
  </si>
  <si>
    <t>Pleurothallis sp en Bojacá.jpg</t>
  </si>
  <si>
    <t>Pleurothallis sp. en el camino real de Bojacá</t>
  </si>
  <si>
    <t>Polilla (80986).jpg</t>
  </si>
  <si>
    <t>Polilla</t>
  </si>
  <si>
    <t>4.888844, -74.945026</t>
  </si>
  <si>
    <t>Polilla (93650).jpg</t>
  </si>
  <si>
    <t>4.945124, -74.815970</t>
  </si>
  <si>
    <t>Polilla de solapa.jpg</t>
  </si>
  <si>
    <t>A macro detail of a moth from the Lasiocampidae family. It highlights the velvety texture and complex morphology of this nocturnal lepidopteran, observed at the Tulenapa Reserve in Antioquia.</t>
  </si>
  <si>
    <t>Polinización en páramos.png</t>
  </si>
  <si>
    <t>Pollination process in moorlands (páramos) with the presence of competing species</t>
  </si>
  <si>
    <t>4.977222, -73.775556</t>
  </si>
  <si>
    <t>PROMESA DIVINA CALI COLOMBIA.jpg</t>
  </si>
  <si>
    <t>ARCOIRIS PROMESA DIVINA</t>
  </si>
  <si>
    <t>Pollito rapaz.png</t>
  </si>
  <si>
    <t>Reposa, observa y aprende de sus padres lo que será en su etapa de adulta</t>
  </si>
  <si>
    <t>Polluelos euphonia piquigruesa.jpg</t>
  </si>
  <si>
    <t>Porcicultura artesanal en comunidades ribereñas.jpg</t>
  </si>
  <si>
    <t>Detalle de un cerdo (Sus scrofa domesticus) con la piel y el hocico cubiertos de barro, apoyado sobre los límites de un corral. La imagen ejemplifica las prácticas tradicionales de crianza de ganadería menor, habituales en las economías de subsistencia de las familias rurales del Magdalena.</t>
  </si>
  <si>
    <t>Potrillos en la laguna del amor.jpg</t>
  </si>
  <si>
    <t>La laguna del amor se una como punto turístico con potrillos de exploración</t>
  </si>
  <si>
    <t>Prickly Pear Fruits (Opuntia), near Villa de Leyva, Boyacá, 2026.jpg</t>
  </si>
  <si>
    <t>nutrient-rich magenta fruits are a vital food source for wildlife in the semi-arid microclimate of Colombia's Boyacá department.</t>
  </si>
  <si>
    <t>Pricklypear (Cactaceae).jpg</t>
  </si>
  <si>
    <t>Pricklypear from the Cactaceae family.</t>
  </si>
  <si>
    <t>Primaveras (75682).jpg</t>
  </si>
  <si>
    <t>Primaveras</t>
  </si>
  <si>
    <t>4.982199, -75.268737</t>
  </si>
  <si>
    <t>Productores de vida.jpg</t>
  </si>
  <si>
    <t>En los páramos colombianos se alzan majestuosos Frailejones, una especies endémica que atrapa el agua de niebla y poco a poco la distribuye creando a su paso vida, sustento y belleza</t>
  </si>
  <si>
    <t>4.933819, -75.324914</t>
  </si>
  <si>
    <t>Proliferación del escarabajo de hoja de menta azul.jpg</t>
  </si>
  <si>
    <t>Chrysolina coerulans. Este escarabajo se encuentra en diferentes zonas templadas, su color azul es una advertencia para sus depredadores, que quiere decir que no tiene buen sabor.</t>
  </si>
  <si>
    <t>4.972243, -74.306983</t>
  </si>
  <si>
    <t>Proscopiidae - Barrancabermeja, Santander, Colombia - 11 Jun 2025 - Diferoch.jpg</t>
  </si>
  <si>
    <t>Individual of unidentified Proscopiidae observed in Barrancabermeja, Santander, Colombia.</t>
  </si>
  <si>
    <t>7.084777, -73.863960</t>
  </si>
  <si>
    <t>Psammisia.jpg</t>
  </si>
  <si>
    <t>Vista nadiral de uva de monte</t>
  </si>
  <si>
    <t>4.897050, -74.320167</t>
  </si>
  <si>
    <t>Pseudoproscopia.jpg</t>
  </si>
  <si>
    <t>Especie del genero Pseudoproscopia en la amazonia colombiana</t>
  </si>
  <si>
    <t>Psilocybe Cubensis en Santa Elena, Antioquia.jpg</t>
  </si>
  <si>
    <t>Psilocybe Cubensis in a pasture near Santa Elena, Antioquia. 2.795 m s. n. m. Abril de 2008.</t>
  </si>
  <si>
    <t>Pueblo Quiba cundinamarca.jpg</t>
  </si>
  <si>
    <t>Plaza principal de Quiba</t>
  </si>
  <si>
    <t>Pueblo de Guatavita.jpg</t>
  </si>
  <si>
    <t>Atardeceres en el pueblo de Guatavita en el embalse de tomine</t>
  </si>
  <si>
    <t>Puente Navarro Honda-Tolima.jpg</t>
  </si>
  <si>
    <t>El Puente cruza el rio magdalena, fue inagurado en 1899</t>
  </si>
  <si>
    <t>Puente flotante en la laguna del Amor.jpg</t>
  </si>
  <si>
    <t>En la laguna del amor hay un puente flotante.</t>
  </si>
  <si>
    <t>Puerto Bolivar - Uribia LA GUAJIRA.jpg</t>
  </si>
  <si>
    <t>Una mañana cualquiera</t>
  </si>
  <si>
    <t>Puerto Remanos del Tigre - Mirañas PNN Cahuinari.jpg</t>
  </si>
  <si>
    <t>Sun Water Falls _ Cahuinari National Natural Park</t>
  </si>
  <si>
    <t>PXL 20260530 165408587.MP.jpg</t>
  </si>
  <si>
    <t>Familia Araceae</t>
  </si>
  <si>
    <t>Puerto Remanso del Tigre PNN Cahuinari.jpg</t>
  </si>
  <si>
    <t>Puerto Remanso del Tigre _ Cahuinari National Natural Park</t>
  </si>
  <si>
    <t>Puesta de huevos de rana en cuerpo de agua en Santander, Colombia.jpg</t>
  </si>
  <si>
    <t>Fotografía de una puesta de huevos de rana, observada como una masa gelatinosa translúcida que contiene múltiples embriones de color oscuro en desarrollo. El registro fue realizado en un cúmulo de agua en el departamento de Santander, Colombia. Estas agregaciones reproductivas son características de numerosos anfibios, los cuales depositan sus huevos en ambientes acuáticos donde el medio gelatinoso protege a los embriones y facilita su desarrollo temprano hasta la fase larval (renacuajos).</t>
  </si>
  <si>
    <t>Puesta del sol en el muelle de Riohacha junio de 2026.jpg</t>
  </si>
  <si>
    <t>Pulmones.jpg</t>
  </si>
  <si>
    <t>Zona de conservación de manglares</t>
  </si>
  <si>
    <t>10.189183, -75.637169</t>
  </si>
  <si>
    <t>Pulpito del diablo en el Parque Nacional Natural El Cocuy.jpg</t>
  </si>
  <si>
    <t>Pulpito del diablo en el Parque Nacional Natural El Cocuy</t>
  </si>
  <si>
    <t>Purple-throated woodstar (Philodice mitchellii) male in flight Las Tangaras 2.jpg</t>
  </si>
  <si>
    <t>Purple-throated woodstar ( Philodice mitchellii ) male, Reserva Las Tangaras, Colombia ( Calliphlox mitchellii )</t>
  </si>
  <si>
    <t>5.850000, -76.180000</t>
  </si>
  <si>
    <t>Purple march.jpg</t>
  </si>
  <si>
    <t>Little purple fairies</t>
  </si>
  <si>
    <t>4.736361, -75.643356</t>
  </si>
  <si>
    <t>Putumayo camino cascadas del fin del mundo.jpg</t>
  </si>
  <si>
    <t>Putumayo cascada</t>
  </si>
  <si>
    <t>Puya Santos (Puya santosii) en floración en el Páramo de Matarredonda, Colombia.jpg</t>
  </si>
  <si>
    <t>Ejemplar de Puya santosii en estado de floración fotografiado en el Páramo de Matarredonda, Colombia. Esta especie pertenece a la familia Bromeliaceae y forma parte de la flora característica de los ecosistemas de páramo. La imagen destaca su inflorescencia, una estructura reproductiva que atrae diversos polinizadores y desempeña un papel importante en la dinámica ecológica de estos ambientes de alta montaña.</t>
  </si>
  <si>
    <t>Puya trianae florecida.jpg</t>
  </si>
  <si>
    <t>Puya trianae en el Páramo Cruz Verde</t>
  </si>
  <si>
    <t>Pyrocephalus rubinus piurae - Barrancabermeja, Santander, Colombia - 31 Dec 2025 - Diferoch.jpg</t>
  </si>
  <si>
    <t>Adult male of Pyrocephalus rubinus piurae observed in Barrancabermeja, Santander, Colombia.</t>
  </si>
  <si>
    <t>7.085035, -73.864022</t>
  </si>
  <si>
    <t>Pájaro Barranquero.jpg</t>
  </si>
  <si>
    <t>Barranquero, loro de tierra</t>
  </si>
  <si>
    <t>Pájaro Barranquero Parqué Arvi.jpg</t>
  </si>
  <si>
    <t>Pájaro Barranquero</t>
  </si>
  <si>
    <t>Pájaro güican.jpg</t>
  </si>
  <si>
    <t>Pájaro en nieve perpetua del cocuy</t>
  </si>
  <si>
    <t>6.496114, -72.316850</t>
  </si>
  <si>
    <t>Páramo El Consuelo, Boyacá, Colombia.jpg</t>
  </si>
  <si>
    <t>Páramo El Consuelo, Boyacá, Colombia</t>
  </si>
  <si>
    <t>Páramo Guerrero.jpg</t>
  </si>
  <si>
    <t>Las vistas hermosas que tiene el Páramo Guerrero</t>
  </si>
  <si>
    <t>5.131525, -73.996431</t>
  </si>
  <si>
    <t>Páramo de Chingaza.jpg</t>
  </si>
  <si>
    <t>Páramo de Chingaza</t>
  </si>
  <si>
    <t>Páramo de Ocetá y Laguna Negra Mongua, Boyacá.jpg</t>
  </si>
  <si>
    <t>Páramo de Ocetá En Mongua, Boyacá</t>
  </si>
  <si>
    <t>Páramo el tablazo.jpg</t>
  </si>
  <si>
    <t>Fotografía tomada en una excursión autónoma en el páramo el tablazo</t>
  </si>
  <si>
    <t>Páramo La Cortadora Siachoque Boyacá.jpg</t>
  </si>
  <si>
    <t>Páramo La Cortadera, Boyacá Colombia</t>
  </si>
  <si>
    <t>Páramo sierra nevada del Cocuy y Guican.jpg</t>
  </si>
  <si>
    <t>Páramo sierra nevada del Cocuy y Güicán</t>
  </si>
  <si>
    <t>Páramo sierra nevada del Cocuy y Güicán 2019.jpg</t>
  </si>
  <si>
    <t>Paramo sierra nevada del Cocuy y Guican</t>
  </si>
  <si>
    <t>Péguela amiga.jpg</t>
  </si>
  <si>
    <t>Lo que creo que es una pequeña salamandra haciéndome compañía</t>
  </si>
  <si>
    <t>11.138283, -74.227403</t>
  </si>
  <si>
    <t>Quebadas el tambo.jpg</t>
  </si>
  <si>
    <t>The Tambo Waterfall the tambo with its crystal clear water falls</t>
  </si>
  <si>
    <t>Quebrada del Sol PNN Cahuinari AutorJuanAntonioLievanoAlzate 01.jpg</t>
  </si>
  <si>
    <t>Quebrada valencia santa marta.jpg</t>
  </si>
  <si>
    <t>Magia detrás de las cascadas de la cierra nevada de santa marta</t>
  </si>
  <si>
    <t>Quetzal Colinegro (Pharomachrus auriceps).jpg</t>
  </si>
  <si>
    <t>A female Golden-headed Quetzal carries food to her chicks waiting for her in the nest.</t>
  </si>
  <si>
    <t>Quetzal Colinegro (Pharomachrus auriceps) canta en una rama de un árbol.jpg</t>
  </si>
  <si>
    <t>A male Golden-headed Quetzal carries food to her chicks waiting for her in the nest.</t>
  </si>
  <si>
    <t>Quetzal Colinegro (Pharomachrus auriceps) se percha en una rama.jpg</t>
  </si>
  <si>
    <t>Quetzal Colinegro (Pharomachrus auriceps) vuela hacia su nido.jpg</t>
  </si>
  <si>
    <t>Quinoa florecida.jpg</t>
  </si>
  <si>
    <t>Quinoa florecida</t>
  </si>
  <si>
    <t>Quiscalus mexicanus peruvianus - Santa Marta, Magdalena, Colombia - 22 Jun 2025 - Diferoch - 1.jpg</t>
  </si>
  <si>
    <t>Juvenile individual of Quiscalus mexicanus peruvianus observed in Santa Marta, Magdalena, Colombia.</t>
  </si>
  <si>
    <t>11.141678, -74.226280</t>
  </si>
  <si>
    <t>Quiscalus mexicanus peruvianus - Santa Marta, Magdalena, Colombia - 22 Jun 2025 - Diferoch - 2.jpg</t>
  </si>
  <si>
    <t>Adult male of Quiscalus mexicanus peruvianus observed in Santa Marta, Magdalena, Colombia.</t>
  </si>
  <si>
    <t>Quiscalus mexicanus peruvianus - Santa Marta, Magdalena, Colombia - 22 Jun 2025 - Diferoch - 3.jpg</t>
  </si>
  <si>
    <t>Adult female of Quiscalus mexicanus peruvianus observed in Santa Marta, Magdalena, Colombia.</t>
  </si>
  <si>
    <t>Rabo de gallo (Lauraceae).jpg</t>
  </si>
  <si>
    <t>Lauraceae.</t>
  </si>
  <si>
    <t>Rainbow 2026-06-23.jpg</t>
  </si>
  <si>
    <t>The selected region displays a vibrant rainbow stretching vertically across a cloudy sky, captured directly above a row of modern apartment buildings.</t>
  </si>
  <si>
    <t>Rama de Eucalipto.jpg</t>
  </si>
  <si>
    <t>Individuo de Eucalyptus globulus Labill. en Mosquera, Colombia</t>
  </si>
  <si>
    <t>Ramphastos vitellinus 2026.jpg</t>
  </si>
  <si>
    <t>A specimen of Ramphastos vitellinus (channel-billed toucan) at the Los Monos Agroecological Reserve in Río Claro, Antioquia. The characteristic morphology of its bill and its vibrant plumage are highlighted as it rests in the forest canopy.</t>
  </si>
  <si>
    <t>Rana albina.jpg</t>
  </si>
  <si>
    <t>La rana platanera me alegraba con su canto le arregle un lugar cercano para que visitara</t>
  </si>
  <si>
    <t>Rana Rubí.jpg</t>
  </si>
  <si>
    <t>Rana Rubí</t>
  </si>
  <si>
    <t>4.257092, -75.928643</t>
  </si>
  <si>
    <t>Rana Rubí (24588).jpg</t>
  </si>
  <si>
    <t>4.261861, -75.922112</t>
  </si>
  <si>
    <t>Rana Rubí (26812).jpg</t>
  </si>
  <si>
    <t>4.273815, -75.961996</t>
  </si>
  <si>
    <t>Rana Rubí (28931).jpg</t>
  </si>
  <si>
    <t>4.258829, -75.969690</t>
  </si>
  <si>
    <t>Rana Rubí (34016).jpg</t>
  </si>
  <si>
    <t>4.263937, -75.958368</t>
  </si>
  <si>
    <t>Rana Rubí (41626).jpg</t>
  </si>
  <si>
    <t>4.259998, -75.947994</t>
  </si>
  <si>
    <t>Rana Rubí (44273).jpg</t>
  </si>
  <si>
    <t>4.268976, -75.940237</t>
  </si>
  <si>
    <t>Rana Rubí (54775).jpg</t>
  </si>
  <si>
    <t>4.277292, -75.949380</t>
  </si>
  <si>
    <t>Rana Rubí (55608).jpg</t>
  </si>
  <si>
    <t>4.253054, -75.961495</t>
  </si>
  <si>
    <t>Rana Rubí (58777).jpg</t>
  </si>
  <si>
    <t>4.261136, -75.949435</t>
  </si>
  <si>
    <t>Rana Rubí (64246).jpg</t>
  </si>
  <si>
    <t>4.251154, -75.951812</t>
  </si>
  <si>
    <t>Rana Sabanera sobre helechos 2026.jpg</t>
  </si>
  <si>
    <t>Rana sabanera en Jardín Botánico de Bogotá</t>
  </si>
  <si>
    <t>Rana arboricola Scinax.jpg</t>
  </si>
  <si>
    <t>rana arborícola trompuda del genero scinax</t>
  </si>
  <si>
    <t>4.563949, -74.526271</t>
  </si>
  <si>
    <t>Rana blanca.jpg</t>
  </si>
  <si>
    <t>Boana crepitans, conocida como rana blanca, rana cantora, rana capina, o rana platanera por ser común en zonas de cultivo de bananos y plátanos.</t>
  </si>
  <si>
    <t>Rana boana Pandi.jpg</t>
  </si>
  <si>
    <t>Rana boana</t>
  </si>
  <si>
    <t>Rana de torrente de Palmer.jpg</t>
  </si>
  <si>
    <t>Rana hormiguera rayada (Lithodytes lineatus) en Puerto López, Meta, Colombia.jpg</t>
  </si>
  <si>
    <t>Rana hormiguera dorada (Lithodytes lineatus) fotografiada sobre la corteza de un árbol en Puerto López, Meta, Colombia. La disposición de sus colores y patrones corporales favorece su integración visual con el entorno, dificultando su detección entre la vegetación y los sustratos naturales. Esta especie forma parte de la diversidad de anfibios característica de los bosques y sabanas arboladas de la región de la Orinoquía.</t>
  </si>
  <si>
    <t>Rana platanera (Boana platanera) en Casanare, Colombia.jpg</t>
  </si>
  <si>
    <t>Individuo de rana platanera (Boana platanera) registrado en Casanare, Colombia. Esta especie destaca por su coloración verde y sus llamativos ojos, características que la convierten en una de las ranas más vistosas de los Llanos Orientales. Habita la vegetación cercana a humedales, caños y bosques ribereños, donde desarrolla sus actividades de alimentación y reproducción.</t>
  </si>
  <si>
    <t>Rana rubí (34374).jpg</t>
  </si>
  <si>
    <t>Los machos de las ranas rubíes cargan los renacuajos en la espalda casi como "maternando". Son los machos quienes llevan a los renacuajos a buen lugar en una bromelia que les sirve de hogar.</t>
  </si>
  <si>
    <t>4.272512, -75.934309</t>
  </si>
  <si>
    <t>Rana sabanera (Dendropsophus molitor) sobre un residuo plástico en la Reserva Biológica Encenillo, Colombia.jpg</t>
  </si>
  <si>
    <t>Rana sabanera (Boana molitor) fotografiada en la Reserva Biológica Encenillo. La imagen muestra al individuo posado sobre un envase plástico desechado en el entorno natural. Esta especie habita humedales, bosques andinos y cuerpos de agua de montaña de la cordillera Oriental colombiana. La fotografía evidencia el contraste entre la fauna nativa y la presencia de residuos sólidos en ecosistemas naturales, destacando los desafíos que representan las actividades humanas para la conservación de la biodiversidad.</t>
  </si>
  <si>
    <t>RANA VENENOSA VERDE Y NEGRA EN LA SELVA DEL TAPON DEL DARIEN.jpg</t>
  </si>
  <si>
    <t>RANA VENENOSA VERDE Y NEGRA (Dendrobates auratus). Un ejemplar de rana dardo venenosa sobre la hojarasca en la región del Darién, Colombia. Esta especie de la familia Dendrobatidae destaca por su coloración aposemática (patrones brillantes que advierten a los depredadores de su toxicidad debido a los alcaloides de su piel). Catalogada como una especie de Preocupación Menor (LC) por la UICN, es un indicador biológico clave de la salud del suelo en los ecosistemas de selva húmeda tropical, aunque enfrenta presiones locales por la pérdida de hábitat y la extracción para el mercado de mascotas exóticas.</t>
  </si>
  <si>
    <t>Rana venenosa de Ruthven (Colostethus ruthveni) camuflada en la hojarasca de Minca, Santa Marta, Colombia.jpg</t>
  </si>
  <si>
    <t>Individuo de Colostethus ruthveni registrado en Minca, Santa Marta, Colombia. Su coloración marrón y los patrones presentes en la piel le permiten confundirse con las hojas secas del suelo, dificultando su detección en el bosque. Este tipo de camuflaje constituye una estrategia adaptativa importante para muchas especies de anfibios terrestres. La especie es endémica de la Sierra Nevada de Santa Marta y forma parte de la singular diversidad biológica de este macizo montañoso.</t>
  </si>
  <si>
    <t>Rana venenosa de Ruthven (Colostethus ruthveni) en Minca, Santa Marta, Colombia.jpg</t>
  </si>
  <si>
    <t>Ejemplar de rana venenosa de Ruthven (Colostethus ruthveni) fotografiado en Minca, Santa Marta, Colombia. La imagen muestra al individuo oculto entre la hojarasca del bosque, donde su coloración y patrones corporales le proporcionan un eficaz camuflaje críptico que dificulta su detección en el entorno natural. Esta especie es endémica de la Sierra Nevada de Santa Marta y habita bosques húmedos de montaña asociados a corrientes de agua. Debido a la pérdida y transformación de su hábitat, así como a otras presiones ambientales, la especie se encuentra catalogada como amenazada, lo que resalta la importancia de conservar los ecosistemas únicos de la Sierra Nevada de Santa Marta y su biodiversidad.</t>
  </si>
  <si>
    <t>Raíz monstera.jpg</t>
  </si>
  <si>
    <t>Raíz de la planta montera, perteneciente a la familia araceae. Originaria de México y américa tropical</t>
  </si>
  <si>
    <t>Recorrido de la reserva distrital de humedal de cordoba.jpg</t>
  </si>
  <si>
    <t>humedal de cordoba de bogota en exploración espacial, evidenciando la naturaleza</t>
  </si>
  <si>
    <t>Recorrido jardin botanico.jpg</t>
  </si>
  <si>
    <t>se observa el paisaje del recorrido del jardin botanico de Bogota, se observan especies nativas de colombia</t>
  </si>
  <si>
    <t>Red-crowned woodpecker (Melanerpes rubricapillus) male Las Tangaras 2.jpg</t>
  </si>
  <si>
    <t>Red-crowned woodpecker ( Melanerpes rubricapillus ) male, Reserva Las Tangaras, Chocó, Colombia</t>
  </si>
  <si>
    <t>Red-tailed squirrel (Sciurus granatensis chrysuros) Caldas 2.jpg</t>
  </si>
  <si>
    <t>Red-tailed squirrel ( Sciurus granatensis chrysuros ), Reserva Ecologica Rio Blanco, Manizales, Caldas, Colombia</t>
  </si>
  <si>
    <t>Redes hidrográficas y fábrica de agua del Páramo de Sumapaz.jpg</t>
  </si>
  <si>
    <t>Espectacular panorámica aérea que ilustra la función del páramo como regulador hídrico. Muestra el curso sinuoso del río atravesando una vasta llanura andina completamente tapizada por frailejones (Espeletia), bajo un cielo donde la niebla empieza a descender sobre las cumbres.</t>
  </si>
  <si>
    <t>Reduviidae depredando una abeja.jpg</t>
  </si>
  <si>
    <t>Hemíptero de la familia Reduviidae, alimentándose de una abeja que capturó. Imagen tomada en la reserva El Diamante de las Aguas. San José del Guaviare.</t>
  </si>
  <si>
    <t>Refeljos de la naturaleza, jardin botanico.jpg</t>
  </si>
  <si>
    <t>Un respiro rodeado de verde donde el tiempo parece detenerse</t>
  </si>
  <si>
    <t>Reflejo en el lago - Villa de Leyva (Boyacá).jpg</t>
  </si>
  <si>
    <t>Reflection in the lake - Villa de Leyva (Boyacá).</t>
  </si>
  <si>
    <t>Reflexionando.jpg</t>
  </si>
  <si>
    <t>Orientación para afrontar el ascenso a cerro Tusa</t>
  </si>
  <si>
    <t>Refugio de color.jpg</t>
  </si>
  <si>
    <t>La vegetación en flor crea un escenario natural donde el pequeño visitante apenas se deja descubrir.</t>
  </si>
  <si>
    <t>Reina de la noche sudamericana y Ucle (tornillo) – Género Cereus – Familia Cactaceae.png</t>
  </si>
  <si>
    <t>Cactus Reina de la noche sudamericana y Ucle (tornillo) – Género Cereus – Familia Cactaceae</t>
  </si>
  <si>
    <t>Reinita Cabecidorada.jpg</t>
  </si>
  <si>
    <t>Foto de una Reinita Cabecidorada / Prothonotary Warbler / Protonotaria citrea, tomada en el parque Gallineral</t>
  </si>
  <si>
    <t>Release of Lepidochelys olivacea - Nuquí, Chocó, Colombia - 23 Oct 2025 - Diferoch - 1.jpg</t>
  </si>
  <si>
    <t>Hatchlings of Lepidochelys olivacea about to be released to the wild in Nuquí, Chocó, Colombia.</t>
  </si>
  <si>
    <t>5.613725, -77.433403</t>
  </si>
  <si>
    <t>Release of Lepidochelys olivacea - Nuquí, Chocó, Colombia - 23 Oct 2025 - Diferoch - 2.jpg</t>
  </si>
  <si>
    <t>Hatchlings of Lepidochelys olivacea released to the wild in Nuquí, Chocó, Colombia.</t>
  </si>
  <si>
    <t>5.613982, -77.433433</t>
  </si>
  <si>
    <t>Release of Lepidochelys olivacea - Nuquí, Chocó, Colombia - 23 Oct 2025 - Diferoch - 3.jpg</t>
  </si>
  <si>
    <t>Hatchling of Lepidochelys olivacea released to the wild in Nuquí, Chocó, Colombia.</t>
  </si>
  <si>
    <t>5.614262, -77.433572</t>
  </si>
  <si>
    <t>Relieve montañoso de la cuenca del Río Magdalena.jpg</t>
  </si>
  <si>
    <t>Fotografía aérea que captura las ondulaciones y la topografía escarpada de los sistemas montañosos que bordean el valle del Río Magdalena. El plano resalta la densa cobertura forestal bajo un cielo dinámico con nubosidad fragmentada.</t>
  </si>
  <si>
    <t>Renealmia thyrsoidea - Familia Zingiberaceae.jpg</t>
  </si>
  <si>
    <t>Vira - Berebere - Renealmia thyrsoidea - Familia Zingiberaceae</t>
  </si>
  <si>
    <t>Reserva de los flamencos - Guajira - Platalea ajaja.jpg</t>
  </si>
  <si>
    <t>Platalea ajaja a la orilla de la laguna Navío Quebrado - Reserva de los flamencos</t>
  </si>
  <si>
    <t>Reserva natural Parque Chicaque - Bosque de niebla.jpg</t>
  </si>
  <si>
    <t>Reserva natural Parque Chicaque y santuario de flora y fauna.</t>
  </si>
  <si>
    <t>Reserva natural Parque Chicaque - Claro en el bosque de niebla.jpg</t>
  </si>
  <si>
    <t>Reserva natural Parque Chicaque - Epífita musgo.jpg</t>
  </si>
  <si>
    <t>Reserva natural Santuario de los flamencos - Guajira -.jpg</t>
  </si>
  <si>
    <t>Laguna Navío Quebrado</t>
  </si>
  <si>
    <t>Reserva natural Santuario de los flamencos - Guajira - Flamencos.jpg</t>
  </si>
  <si>
    <t>Flamencos en la laguna Navío Quebrado - Santuario de los flamencos</t>
  </si>
  <si>
    <t>Reserva natural Santuario de los flamencos - Guajira - Garza.jpg</t>
  </si>
  <si>
    <t>Garza blanca a la orilla de la laguna Navío Quebrado</t>
  </si>
  <si>
    <t>Reserva natural Santuario de los flamencos - Guajira - Garzas.jpg</t>
  </si>
  <si>
    <t>Garza blanca y azul a la orilla de la laguna Navío Quebrado</t>
  </si>
  <si>
    <t>Reserva natural Santuario de los flamencos - Guajira - Platalea ajaja (Espatula rosada).jpg</t>
  </si>
  <si>
    <t>Platalea ajaja a la orilla de la laguna Navío Quebrado</t>
  </si>
  <si>
    <t>Resistiendo la eterna sequia.jpg</t>
  </si>
  <si>
    <t>Un árbol recién emergido enfrenta una sequía. Si resiste, sus raíces crecerán más fuertes para futuras adversidades; si no, perecerá en el intento. La misma prueba puede forjar su fortaleza o marcar su final.</t>
  </si>
  <si>
    <t>Restrepo a reserva chulajuan.jpg</t>
  </si>
  <si>
    <t>Restrepia sp reserva chulajuan</t>
  </si>
  <si>
    <t>4.884081, -74.281022</t>
  </si>
  <si>
    <t>Rhinella alata - Piedecuesta, Santander, Colombia - 7 Jun 2026 - Diferoch.jpg</t>
  </si>
  <si>
    <t>Individual of Rhinella alata observed in Piedecuesta, Santander, Colombia.</t>
  </si>
  <si>
    <t>6.891590, -73.024285</t>
  </si>
  <si>
    <t>Rhinella sp. toad in Colombia.jpg</t>
  </si>
  <si>
    <t>Sapo común del género Rhinella</t>
  </si>
  <si>
    <t>1.5012605, -77.5161304</t>
  </si>
  <si>
    <t>Rhodorhipha flammans - Nuquí, Chocó, Colombia - 24 Oct 2025 - Diferoch.jpg</t>
  </si>
  <si>
    <t>Adult of Rhodorhipha flammans with an adult of unidentifed Lepidoptera observed in Nuquí, Chocó, Colombia.</t>
  </si>
  <si>
    <t>Rio Arauca.jpg</t>
  </si>
  <si>
    <t>Atardecer llanero</t>
  </si>
  <si>
    <t>Rio Caquetá - Puerto Remanso del Tigre PNN Cahuinari.jpg</t>
  </si>
  <si>
    <t>Rio Caquetá - Puerto Remanso del Tigre _ Cahuinari National Natural Park</t>
  </si>
  <si>
    <t>Rio Caquetá PNN Cahuinari.jpg</t>
  </si>
  <si>
    <t>Rio Caquetá en Verano Tres Islas PNN Cahuinari.jpg</t>
  </si>
  <si>
    <t>Caqueta River on Summer _ Cahuinari National Natural Park</t>
  </si>
  <si>
    <t>Rio Caquetá en verano PNN Cahuinari.jpg</t>
  </si>
  <si>
    <t>Caquetá River on Summer _ Cahuinari National Natural Park</t>
  </si>
  <si>
    <t>Rio Cauca con su cobija de nube.jpg</t>
  </si>
  <si>
    <t>Amanecer del río Cauca, vista desde Marsella Risaralda</t>
  </si>
  <si>
    <t>Rio Cauca y rio Nechí.jpg</t>
  </si>
  <si>
    <t>8.094939, -74.773192</t>
  </si>
  <si>
    <t>Rio Magdalena Honda.jpg</t>
  </si>
  <si>
    <t>Rio Magdalena - Honda Tolima</t>
  </si>
  <si>
    <t>Rio Magdalena vista Guaduas.jpg</t>
  </si>
  <si>
    <t>Vista del rio magdalena desde el camino Guaduas-Honda</t>
  </si>
  <si>
    <t>Rio Pauto.jpg</t>
  </si>
  <si>
    <t>atardecer en el rio pauto , en la altura del corregimiento de san Luis de palenque - Casanare</t>
  </si>
  <si>
    <t>Rio Suaza - PNN Cueva de los Guacharos.jpg</t>
  </si>
  <si>
    <t>Cuenca del Magdalena - Nacmiento en el flaco occidental de la cordillera Oriental</t>
  </si>
  <si>
    <t>1.628361, -76.128983</t>
  </si>
  <si>
    <t>Rio Termales el sifón.jpg</t>
  </si>
  <si>
    <t>Hoy área sin acceso al público por turismo masivo</t>
  </si>
  <si>
    <t>Rio de Infancia.jpg</t>
  </si>
  <si>
    <t>foto tomada en una vereda del municipio de Guayata, Boyaca, es un rio pequeño</t>
  </si>
  <si>
    <t>Rio en Valle del Cauca.jpg</t>
  </si>
  <si>
    <t>Río en colombia.</t>
  </si>
  <si>
    <t>Rio sinu corrido en lancha.jpg</t>
  </si>
  <si>
    <t>recorido de san benito de abad , viendo la higrografia de cordoba</t>
  </si>
  <si>
    <t>Ritacuba blanco panoramica.jpg</t>
  </si>
  <si>
    <t>Vista panoramica del bosque alto andino, morrena y el Ritacuba Blanco</t>
  </si>
  <si>
    <t>Ritakwa Blanco 20260614.jpg</t>
  </si>
  <si>
    <t>Pico más alto de la Cordillera Oriental de Colombia ubicado en la Sierra Nevada del Cocuy</t>
  </si>
  <si>
    <t>6.496338, -72.319065</t>
  </si>
  <si>
    <t>River in Palomino Colombia.jpg</t>
  </si>
  <si>
    <t>Coastal River in Colombia with Mountains in Background</t>
  </si>
  <si>
    <t>Roble (Fagaceae).jpg</t>
  </si>
  <si>
    <t>Oak (Fagaceae)</t>
  </si>
  <si>
    <t>Roble (Quercus humboldtii).jpg</t>
  </si>
  <si>
    <t>The Andean oak (Quercus humboldtii) is native, fundamental to fog ecosystems, and is endangered due to logging.</t>
  </si>
  <si>
    <t>Roble andino (Quercus humboldtii).jpg</t>
  </si>
  <si>
    <t>Quercus humboldtii</t>
  </si>
  <si>
    <t>Rojashuila 02.jpg</t>
  </si>
  <si>
    <t>Rojashuila 17.jpg</t>
  </si>
  <si>
    <t>Rooster Ritual.jpg</t>
  </si>
  <si>
    <t>One Rooster Loud Enough for Me</t>
  </si>
  <si>
    <t>Rosa (43191).jpg</t>
  </si>
  <si>
    <t>Rosa</t>
  </si>
  <si>
    <t>4.958695, -74.847861</t>
  </si>
  <si>
    <t>Rosa (99661).jpg</t>
  </si>
  <si>
    <t>4.908044, -75.061289</t>
  </si>
  <si>
    <t>Rosa Polyantha.jpg</t>
  </si>
  <si>
    <t>Photo taken at the Bogotá Botanical Garden of a Polyantha/Rambler rose</t>
  </si>
  <si>
    <t>Rosales en JBB.jpg</t>
  </si>
  <si>
    <t>Rosales en el Jardín Botánico de Bogotá</t>
  </si>
  <si>
    <t>Rosashuila 03.jpg</t>
  </si>
  <si>
    <t>Rostro de mujer.jpg</t>
  </si>
  <si>
    <t>Espejo de la diosa o rostro sobre ladera de cerro Tusa</t>
  </si>
  <si>
    <t>Rupornis magnirostris magnirostris - Barrancabermeja, Santander, Colombia - 3 Jun 2025.jpg</t>
  </si>
  <si>
    <t>Adult of Rupornis magnirostris magnirostris in Barrancabermeja, Santander, Colombia.</t>
  </si>
  <si>
    <t>7.085062, -73.864135</t>
  </si>
  <si>
    <t>Río Cauca, Bajo Cauca.jpg</t>
  </si>
  <si>
    <t>Río Cauca, afluente de agua declarado sujeto de derechos en Colombia. Bajo Cauca, Antioquia.</t>
  </si>
  <si>
    <t>Río Cauca en su paso por Caucasia.jpg</t>
  </si>
  <si>
    <t>El río Cauca captado de forma mansa y serena en su paso por Caucasia</t>
  </si>
  <si>
    <t>Río Lagunillas.jpg</t>
  </si>
  <si>
    <t>Río Playitas, sendero Ritacuba Blanco, Parque Nacional Natural El Cocuy, Boyacá, Colombia, 2026.</t>
  </si>
  <si>
    <t>Río Magdalena en la mañana paisaje 1.jpg</t>
  </si>
  <si>
    <t>Mañana en zona rural de Sitionuevo Magdalena en el río Magdalena Colombia</t>
  </si>
  <si>
    <t>Río Magdalena paisaje 2.jpg</t>
  </si>
  <si>
    <t>Paisaje en la mañana del 23 de junio del 2.026</t>
  </si>
  <si>
    <t>Río Magdalena paisaje 3.jpg</t>
  </si>
  <si>
    <t>Zona rural del municipio de Sitionuevo Magdalena Colombia</t>
  </si>
  <si>
    <t>Río Magdalena paisaje 4.jpg</t>
  </si>
  <si>
    <t>Río Magdalena paisaje 5.jpg</t>
  </si>
  <si>
    <t>Río Palomino.jpg</t>
  </si>
  <si>
    <t>Rio Palomino</t>
  </si>
  <si>
    <t>11.245217, -73.565117</t>
  </si>
  <si>
    <t>Río Sinú al atardecer.jpg</t>
  </si>
  <si>
    <t>Rio Sinú</t>
  </si>
  <si>
    <t>Río Sumapaz.jpg</t>
  </si>
  <si>
    <t>La fotografía fue tomada en el parque nacional natural Sumapaz</t>
  </si>
  <si>
    <t>Sabana inundada, Córdoba.jpg</t>
  </si>
  <si>
    <t>Sabana inundada por el Río Sinú</t>
  </si>
  <si>
    <t>Sabanas cordobesas y sinuanas.jpg</t>
  </si>
  <si>
    <t>Vista aérea sabanas del Rio Sinú</t>
  </si>
  <si>
    <t>Sago, Palmera sagú, Megaesporofilos.jpg</t>
  </si>
  <si>
    <t>Sago, Palmera sagú, Megaesporofilos</t>
  </si>
  <si>
    <t>Saimiri albigena.jpg</t>
  </si>
  <si>
    <t>Colombian Squirrel Monkey</t>
  </si>
  <si>
    <t>2.183190, -73.784932</t>
  </si>
  <si>
    <t>Saltamonte en Bojacá.jpg</t>
  </si>
  <si>
    <t>Saltamontes en una pastizal del camino real de Bojacá</t>
  </si>
  <si>
    <t>Saltamontes.jpg</t>
  </si>
  <si>
    <t>Saltamontes</t>
  </si>
  <si>
    <t>4.984157, -74.278160</t>
  </si>
  <si>
    <t>Saltamontes en una piedra.jpg</t>
  </si>
  <si>
    <t>Orthoptero posado en una piedra cerca al río</t>
  </si>
  <si>
    <t>Saltapared Común Sureño (Troglodytes musculus) en el Jardín Botánico de Bogotá.jpg</t>
  </si>
  <si>
    <t>Southern house wren (Troglodytes musculus) in Bogotá Botanical Garden</t>
  </si>
  <si>
    <t>Saltarin Barbiamarillo.jpg</t>
  </si>
  <si>
    <t>Saltarín barbiblanco hembra (Manacus manacus).jpg</t>
  </si>
  <si>
    <t>A female White-bearded Manakin feeds her two chicks in the nest</t>
  </si>
  <si>
    <t>Salto del Tequendama 27 de agosto.jpg</t>
  </si>
  <si>
    <t>Salto del Tequendama</t>
  </si>
  <si>
    <t>Salvia 20260529 091831.jpg</t>
  </si>
  <si>
    <t>La planta de la imagen es una salvia morada, atrae polinizadores como maroposas y colibríes</t>
  </si>
  <si>
    <t>Salvinia sp. and Myriophyllum aquaticum.jpg</t>
  </si>
  <si>
    <t>San Andres Isla.jpg</t>
  </si>
  <si>
    <t>Paisaje caribeño en San Andrés Isla.</t>
  </si>
  <si>
    <t>San Andres islas.jpg</t>
  </si>
  <si>
    <t>Vista de san andres desde el avion</t>
  </si>
  <si>
    <t>San Cipriano (5).jpg</t>
  </si>
  <si>
    <t>Concejo comunitario</t>
  </si>
  <si>
    <t>San Cipriano pozo cristalino.jpg</t>
  </si>
  <si>
    <t>VIa a Buenaventura</t>
  </si>
  <si>
    <t>San Francisco, Cundinamarca.jpg</t>
  </si>
  <si>
    <t>San Francisco, Cundinamarca</t>
  </si>
  <si>
    <t>4.972726, -74.265165</t>
  </si>
  <si>
    <t>San Francisco, Cundinamarca (14634).jpg</t>
  </si>
  <si>
    <t>4.979121, -74.298682</t>
  </si>
  <si>
    <t>San Francisco, Cundinamarca (17922).jpg</t>
  </si>
  <si>
    <t>4.973558, -74.296436</t>
  </si>
  <si>
    <t>San Francisco, Cundinamarca (59573).jpg</t>
  </si>
  <si>
    <t>4.973435, -74.288473</t>
  </si>
  <si>
    <t>San Francisco, Cundinamarca (65266).jpg</t>
  </si>
  <si>
    <t>4.977303, -74.298337</t>
  </si>
  <si>
    <t>San Juan River in Cimitarra, Santander, Colombia - 03 Oct 2025 - Diferoch.jpg</t>
  </si>
  <si>
    <t>Landscape of San Juan River in Cimitarra, Santander, Colombia.</t>
  </si>
  <si>
    <t>6.715038, -74.136398</t>
  </si>
  <si>
    <t>San Luis de palenque.jpg</t>
  </si>
  <si>
    <t>Atardecer llanos orientales , a la altura de san luis de palenque - Casanare</t>
  </si>
  <si>
    <t>San Pablin.jpg</t>
  </si>
  <si>
    <t>San Pablín, Sierra Nevada del Cocuy</t>
  </si>
  <si>
    <t>San Pedro de los Milagros.jpg</t>
  </si>
  <si>
    <t>Paisaje veredal San Pedro de los Milagros</t>
  </si>
  <si>
    <t>Sangregado.jpg</t>
  </si>
  <si>
    <t>Sangregado</t>
  </si>
  <si>
    <t>4.968572, -74.263662</t>
  </si>
  <si>
    <t>Santa Marta 3 de febrero de 2023.jpg</t>
  </si>
  <si>
    <t>Mirador en santa marta</t>
  </si>
  <si>
    <t>Santa marta Colombia.jpg</t>
  </si>
  <si>
    <t>Blue Sea in Colombia</t>
  </si>
  <si>
    <t>Santander en contraste.jpg</t>
  </si>
  <si>
    <t>La tranquilidad de la Laguna de Ortices y la imponencia del Cañón del Chicamocha crean una escena inolvidable.</t>
  </si>
  <si>
    <t>Santuario de las Garzas.jpg</t>
  </si>
  <si>
    <t>Sapo gigante (Rhinella marina) en Santander, Colombia.jpg</t>
  </si>
  <si>
    <t>Ejemplar de sapo gigante (Rhinella marina) fotografiado en un arroyo del departamento de Santander, Colombia. Esta especie es uno de los anfibios más ampliamente distribuidos de América tropical y se caracteriza por su gran tamaño y su capacidad de adaptarse a diversos ambientes naturales y transformados. La fotografía muestra al individuo asociado a un cuerpo de agua dulce, hábitat fundamental para su reproducción y desarrollo. Rhinella marina desempeña un papel ecológico importante en el control de poblaciones de invertebrados y forma parte de las complejas redes tróficas de los ecosistemas tropicales colombianos.</t>
  </si>
  <si>
    <t>Sapo gigante (Rhinella marina) en un arroyo de Santander, Colombia.jpg</t>
  </si>
  <si>
    <t>Ejemplar de sapo gigante (Rhinella marina) fotografiado desde una perspectiva de arriba en un arroyo del departamento de Santander, Colombia. La imagen permite apreciar detalladamente la coloración dorsal, la textura verrugosa de la piel y las prominentes glándulas parotoideas características de la especie. La fotografía documenta al individuo en su entorno natural, resaltando rasgos morfológicos útiles para su identificación.</t>
  </si>
  <si>
    <t>Sauce guajiro (Parkinsonia aculeata).jpg</t>
  </si>
  <si>
    <t>Árbol Sauce guajiro (Parkinsonia aculeata)</t>
  </si>
  <si>
    <t>Scaphosepalum lima (Orquídea de pedúnculos ásperos) 01.jpg</t>
  </si>
  <si>
    <t>The scaphosepalum lima is an orchidea endemic of the Antioquia region, in Colombia. This one in particular was found in the Parque Arví, in Medellín</t>
  </si>
  <si>
    <t>Scaphosepalum lima (Orquídea de pedúnculos ásperos) 02.jpg</t>
  </si>
  <si>
    <t>Scaphosepalum lima (Orquídea de pedúnculos ásperos) 03.jpg</t>
  </si>
  <si>
    <t>Scarlet Milkweed (Asclepias curassavica).jpg</t>
  </si>
  <si>
    <t>Its toxic, milky latex provides a defense mechanism for monarch butterfly caterpillars (Danaus plexippus), which feed exclusively on the plant to become unpalatable to predators.</t>
  </si>
  <si>
    <t>Sea in Guajira.jpg</t>
  </si>
  <si>
    <t>Secado de cafe2.jpg</t>
  </si>
  <si>
    <t>coffee drying</t>
  </si>
  <si>
    <t>Secuoya (Sequoia sempervirens).jpg</t>
  </si>
  <si>
    <t>Sequoia (Sequoia sempervirens)</t>
  </si>
  <si>
    <t>Selva humeda tropical.jpg</t>
  </si>
  <si>
    <t>Selva humeda tropical</t>
  </si>
  <si>
    <t>Selva humeda tropical4.jpg</t>
  </si>
  <si>
    <t>Selva tropical en piedemonte casanare.jpg</t>
  </si>
  <si>
    <t>Belleza natural</t>
  </si>
  <si>
    <t>Selva tropical humeda2.jpg</t>
  </si>
  <si>
    <t>Selva tropical humeda3.jpg</t>
  </si>
  <si>
    <t>Semi-arid canyon landscape with stratified rock formations near Villa de Leyva, Colombia.jpg</t>
  </si>
  <si>
    <t>A panoramic view of a sedimentary rock canyon in the Boyacá department, showcasing distinct geological layering and a xerophytic plant community dominated by Opuntia cacti and Agave species adapted to the regional microclimate.</t>
  </si>
  <si>
    <t>Semilla de esperanza.jpg</t>
  </si>
  <si>
    <t>Semilla de árbol Roble negro, en peligro de extinción, tomada en reserva natural de la ciudad de Jamundí, Valle del Cauca, Colombia.</t>
  </si>
  <si>
    <t>3.257751, -76.655690</t>
  </si>
  <si>
    <t>Sendero Hacienda Nápoles.jpg</t>
  </si>
  <si>
    <t>Hacienda Nápoles Trail</t>
  </si>
  <si>
    <t>Sendero arborizado Jardín Botánico de Bogotá.jpg</t>
  </si>
  <si>
    <t>Tree-lined path, Bogotá Botanical Garden.</t>
  </si>
  <si>
    <t>Sendero arborizado Jardín Botánico de Bogotá 1.jpg</t>
  </si>
  <si>
    <t>Sendero peatonal laguna del amor.jpg</t>
  </si>
  <si>
    <t>Sendero peatonal en la laguna del amor Puerto Rico Meta Colombia.</t>
  </si>
  <si>
    <t>Senecio niveoaureus-Árnica blanca.jpg</t>
  </si>
  <si>
    <t>El Senecio niveoaureus (también conocido como árnica blanca, árnica amarilla o árnica ceniza) es una planta herbácea perenne, nativa de los páramos de Colombia y Ecuador</t>
  </si>
  <si>
    <t>Senna en Río cedro.jpg</t>
  </si>
  <si>
    <t>Senna sp en Río cedro en la reserva viento solar</t>
  </si>
  <si>
    <t>9.132247, -76.180092</t>
  </si>
  <si>
    <t>Serpiente caracolera Sna cipriano.jpg</t>
  </si>
  <si>
    <t>En busca de esra linda toma y especie, a través de mi cámara sony y con la ayuda de unos niños pude retratar esta serpiente caracolera,</t>
  </si>
  <si>
    <t>Serranía la Lindosa.jpg</t>
  </si>
  <si>
    <t>Serranía la Lindosa. Guaviare. Autor. Axl</t>
  </si>
  <si>
    <t>Shield Lichen of the Sierra (Parmotrema), near Minca cloud forest, 2025.jpg</t>
  </si>
  <si>
    <t>Displaying ruffed, pale-green lobes and dark fringed edges, this intricate foliose lichen thrives on fallen branches in the humid cloud forest floor above Minca.</t>
  </si>
  <si>
    <t>Sierra Nevada De Santa Marta.jpg</t>
  </si>
  <si>
    <t>Sierra Nevada Park Coast in Colombia</t>
  </si>
  <si>
    <t>Sierra de La Macarena.jpg</t>
  </si>
  <si>
    <t>Declarado como Área de Manejo Especial La Macarena en 1989, este parque posee 629.280 ha. y en él es posible encontrar muestra arqueológicas y formaciones propias del Escudo Guyanés.</t>
  </si>
  <si>
    <t>Sierra de la macarena.jpg</t>
  </si>
  <si>
    <t>Pozo azul, cañón del Sansa , meta, area ocupada anteriormente por guerrilla hoy turismo a cargo de grupos reinsertados a la sociedad.</t>
  </si>
  <si>
    <t>Siete Cueros (Meriania nobilis) in the mountains of Medellín, 2025.jpg</t>
  </si>
  <si>
    <t>A stunning member of the Melastomataceae family, this montane tree is celebrated for its unique sickle-shaped stamens and thrives in the humid high-altitude forests of Colombia's Antioquia region.</t>
  </si>
  <si>
    <t>Siete cueros (Andesanthus lepidotus).jpg</t>
  </si>
  <si>
    <t>flores del arbusto ornamental Siete Cueros</t>
  </si>
  <si>
    <t>4.972361, -74.310922</t>
  </si>
  <si>
    <t>Siete cueros (Melastomataceae).jpg</t>
  </si>
  <si>
    <t>Melastomataceae</t>
  </si>
  <si>
    <t>SIRIRI.jpg</t>
  </si>
  <si>
    <t>Tyrannus melancholicus</t>
  </si>
  <si>
    <t>Siete cueros rastrero - Spanish Shawl (Heterocentron elegans).jpg</t>
  </si>
  <si>
    <t>Spanish Shawl (Heterocentron elegans)</t>
  </si>
  <si>
    <t>Silfo Coliverde.jpg</t>
  </si>
  <si>
    <t>Captura realizada en El Color de mis Reves Glamping, en Villamaría, Caldas Colombia</t>
  </si>
  <si>
    <t>Silfo Coliverde - Aglaiocercus kingii.jpg</t>
  </si>
  <si>
    <t>El silfo coliverde se distingue por su elegante cola alargada, una de las más llamativas entre los colibríes andinos. Habita en la ladera este de los Andes desde Venezuela a Bolivia.</t>
  </si>
  <si>
    <t>Silfo coliverde (Aglaiocercus Kingii).jpg</t>
  </si>
  <si>
    <t>Long-tailed sylph (Aglaiocercus kingii) perches on a branch in a forest in Colombia</t>
  </si>
  <si>
    <t>Silueta de niños en la playa. Junio de 2026.jpg</t>
  </si>
  <si>
    <t>Niños jugando en la playa. Atardecer en el mar caribe en Riohacha en 2026</t>
  </si>
  <si>
    <t>11.554472, -72.909081</t>
  </si>
  <si>
    <t>Simbiosis 01.jpg</t>
  </si>
  <si>
    <t>Simbiosis Tronco hongo</t>
  </si>
  <si>
    <t>Simbiosis 02.jpg</t>
  </si>
  <si>
    <t>Simbiosis 03.jpg</t>
  </si>
  <si>
    <t>Simbiosis 04.jpg</t>
  </si>
  <si>
    <t>Simulación de superpáramo en Jardín Botánico de Bogotá.jpg</t>
  </si>
  <si>
    <t>Simulación de superpáramo en Jardín Botánico de Bogotá. Es un lugar serofítico, es decir, que tien pocas plantas porque a las plantas les cuesta tomar el agua para su subsistencia (superpáramo y desierto)</t>
  </si>
  <si>
    <t>Sinfonía verde y bruma densa en las laderas de Sumapaz.jpg</t>
  </si>
  <si>
    <t>Fotografía de paisaje horizontal de gran valor artístico y documental que registra la saturación de humedad y la densidad botánica en el Parque Nacional Natural Sumapaz. En primer plano resalta una llanura de humedal verde brillante, mientras que el plano medio y la ladera montañosa exhiben miles de frailejones (Espeletia) que se desvanecen gradualmente bajo un espeso e impenetrable manto de bruma andina.</t>
  </si>
  <si>
    <t>Sinsonte tropical (Mimus gilvus) alimentandoce en Quipile Cundimamarca.jpg</t>
  </si>
  <si>
    <t>Mimus gilvus hunting at 1,950m on the western slope of the Cordillera Oriental, in Premontane Humid Forest. A common bird captured in a rare, fleeting moment. NIKON D5100 | f/7.1 | 1/640s | 300mm | ISO 250.</t>
  </si>
  <si>
    <t>4.743499, -74.523037</t>
  </si>
  <si>
    <t>Sirfido cubierto de polen.jpg</t>
  </si>
  <si>
    <t>Individuo de la familia Syrphidae, aproximadamente de 8 milímetros de longitud. Se le puede cubierto de polen, y se destaca la importancia de esta familia como polinizadores.</t>
  </si>
  <si>
    <t>Siriri en su nido.jpg</t>
  </si>
  <si>
    <t>Siriri</t>
  </si>
  <si>
    <t>Sisal blanco (Asparagaceae).jpg</t>
  </si>
  <si>
    <t>White sisal from the genus Agave and the family Asparagaceae.</t>
  </si>
  <si>
    <t>Sisyrinchium sp-Sara Amado.jpg</t>
  </si>
  <si>
    <t>Tomada el 12 de noviembre</t>
  </si>
  <si>
    <t>Slaty-crowned antpitta (Grallaricula nana occidentalis) Caldas 3.jpg</t>
  </si>
  <si>
    <t>Slaty-crowned antpitta ( Grallaricula nana occidentalis ), Reserva Ecologica Rio Blanco, Manizales, Caldas, Colombia</t>
  </si>
  <si>
    <t>Small yellow wildflower (Asteraceae) growing on sandy soil near Villa de Leyva, 2026.jpg</t>
  </si>
  <si>
    <t>A pioneering composite plant with finely pinnate leaves and yellow blossoms, thriving in the extreme, arid conditions of a sandy desert-like terrain in the Boyacá department.</t>
  </si>
  <si>
    <t>Snake colombian.jpg</t>
  </si>
  <si>
    <t>snake colombian</t>
  </si>
  <si>
    <t>Snow-capped peaks of the Sierra Nevada de Santa Marta viewed from Cuchilla de San Lorenzo.jpg</t>
  </si>
  <si>
    <t>Snow-capped peaks of the Sierra Nevada de Santa Marta viewed from Cuchilla de San Lorenzo, Colombia.</t>
  </si>
  <si>
    <t>Snowy Egret (Egretta thula) feeding on a lobster in Lago Sochagota, Paipa, Boyacá, Colombia.jpg</t>
  </si>
  <si>
    <t>Snowy Egret (Egretta thula) feeding on a lobster at Lago Sochagota, Paipa, Boyacá Department, Colombia.</t>
  </si>
  <si>
    <t>Sogamoso, 2026.jpg</t>
  </si>
  <si>
    <t>Paisaje Sogamoso</t>
  </si>
  <si>
    <t>Sogamoso, Boyacá, 2026.jpg</t>
  </si>
  <si>
    <t>Sogamoso, Boyacá</t>
  </si>
  <si>
    <t>Soil erosion and clay layers in a semi-arid landscape near Villa de Leyva, 2026.jpg</t>
  </si>
  <si>
    <t>A degraded hillside in the Boyacá department, showcasing severe water erosion with exposed reddish-orange clay soil and gully formations among sparse xerophytic scrub and grasses.</t>
  </si>
  <si>
    <t>Sol del Caldas.jpg</t>
  </si>
  <si>
    <t>Gold in the mountains</t>
  </si>
  <si>
    <t>5.571900, -74.896989</t>
  </si>
  <si>
    <t>Sol sobre Nubes.jpg</t>
  </si>
  <si>
    <t>Sun of my land</t>
  </si>
  <si>
    <t>5.571678, -74.897103</t>
  </si>
  <si>
    <t>Solanum quitoense - flor de lulo o naranjilla.jpg</t>
  </si>
  <si>
    <t>Solanum quitoense-flor de lulo o naranjilla-familia Solanaceae Plantae</t>
  </si>
  <si>
    <t>5.375900, 7.453509</t>
  </si>
  <si>
    <t>Sonsón con una 35mm.jpg</t>
  </si>
  <si>
    <t>Los paisaje de Sonsón, Antioquia tomada con una cámara Análoga y con un Fuji 35mm</t>
  </si>
  <si>
    <t>Soros polypodiaceae JBB.jpg</t>
  </si>
  <si>
    <t>Helecho de la familia polypodiaceae en el Herbario del Jardín Botánico de Bogotá</t>
  </si>
  <si>
    <t>Soy la rana de cristal- marzo 2026.jpg</t>
  </si>
  <si>
    <t>Bajo la densa selva de San cipriano, un lugar al que acceder se vuelve a veces complejo y peligroso, nos recuerda que se esconden especies como esta rana de cristal</t>
  </si>
  <si>
    <t>Spathoglottis mayo de 2026.jpg</t>
  </si>
  <si>
    <t>Spider in the Tayrona National park (Araña en el Parque Nacional Natural Tayrona).jpg</t>
  </si>
  <si>
    <t>Spider photograhed in its dwelling in the jungle of the Tayrona National park in the Magdalena department</t>
  </si>
  <si>
    <t>Squirrel monkey (Saimiri cassiquiarensis) in a forest canopy near Puerto López, 2025.jpg</t>
  </si>
  <si>
    <t>A wild squirrel monkey perched on a tree branch, partially obscured by dense green foliage and palm fronds in the tropical gallery forest ecosystem of the Meta department.</t>
  </si>
  <si>
    <t>Stachytarfeta cayennensis.jpg</t>
  </si>
  <si>
    <t>Planta en Jardín Botánico de Bogotá</t>
  </si>
  <si>
    <t>Stachytarfeta cayennensis2.jpg</t>
  </si>
  <si>
    <t>Stachytarfeta cayennensis3.jpg</t>
  </si>
  <si>
    <t>Star trails sobre el firmamento de la Tatacoa.jpg</t>
  </si>
  <si>
    <t>Astrofotografía de larga exposición (circumpolar/star trails) que documenta la excepcional pureza y baja contaminación lumínica del cielo nocturno en el municipio de Villavieja. Las trazas estelares dibujan arcos concéntricos perfectos sobre la silueta oscura de la topografía del desierto, sutilmente iluminada en la base por luces distantes y elementos geológicos en primer plano dentro del Distrito Regional de Manejo Integrado La Tatacoa.</t>
  </si>
  <si>
    <t>Stelis pulchella-Orchidaceae.jpg</t>
  </si>
  <si>
    <t>Stelis pulchella-orquideas epifitas</t>
  </si>
  <si>
    <t>Stenocercus erythrogaster without its tail.jpg</t>
  </si>
  <si>
    <t>Stenocercus erythrogaster photographed without its tail, likely after tail autotomy.</t>
  </si>
  <si>
    <t>Stratified rock layers Chingaza.jpg</t>
  </si>
  <si>
    <t>Stratified rock layers in Chingaza</t>
  </si>
  <si>
    <t>Stream in Nuquí, Chocó, Colombia - 22 Oct 2025 - Diferoch - 1.jpg</t>
  </si>
  <si>
    <t>Stream in Nuquí, Chocó, Colombia.</t>
  </si>
  <si>
    <t>5.625010, -77.416465</t>
  </si>
  <si>
    <t>Stream in Nuquí, Chocó, Colombia - 22 Oct 2025 - Diferoch - 2.jpg</t>
  </si>
  <si>
    <t>5.625067, -77.416443</t>
  </si>
  <si>
    <t>Stromanthe thalia.jpg</t>
  </si>
  <si>
    <t>Familia Marantaceae - Género Stromanthe</t>
  </si>
  <si>
    <t>Stunning beaches in Santa Marta.jpg</t>
  </si>
  <si>
    <t>Beach in resort</t>
  </si>
  <si>
    <t>Sturnella magna - Piedecuesta, Santander, Colombia - 7 Jun 2026 - Diferoch.jpg</t>
  </si>
  <si>
    <t>Individuo de Sturnella magna visto en Piedecuesta, Santander, Colombia.</t>
  </si>
  <si>
    <t>6.894113, -73.021858</t>
  </si>
  <si>
    <t>Suculenta Aeonium.jpg</t>
  </si>
  <si>
    <t>Planta Suculenta Aeonium</t>
  </si>
  <si>
    <t>Suculentas mayo 2026.jpg</t>
  </si>
  <si>
    <t>Suculentas en el Jardín Botánico de Bogotá</t>
  </si>
  <si>
    <t>SumapazTinto.jpg</t>
  </si>
  <si>
    <t>Planta de tinto en Sumapaz</t>
  </si>
  <si>
    <t>Sumapaz Bogotá.jpg</t>
  </si>
  <si>
    <t>Páramo</t>
  </si>
  <si>
    <t>Sun of Caldas.jpg</t>
  </si>
  <si>
    <t>Over the horizon the light goes</t>
  </si>
  <si>
    <t>5.571872, -74.897025</t>
  </si>
  <si>
    <t>Sunset on the shore of Nuquí, Chocó,Colombia(2).jpg</t>
  </si>
  <si>
    <t>Sunset over the Pacific coast at Nuquí, Chocó Department, Colombia</t>
  </si>
  <si>
    <t>Sunset on the shore of Nuquí, Chocó, Colombia.jpg</t>
  </si>
  <si>
    <t>Sunset over the Pacific coast at Nuquí, Chocó Department, Colombia.</t>
  </si>
  <si>
    <t>Sunset with dry trees.jpg</t>
  </si>
  <si>
    <t>Sunset with dry trees</t>
  </si>
  <si>
    <t>Super Luna, Tecate, Baja California, México.jpg</t>
  </si>
  <si>
    <t>Super Moon, Tecate, Baja California, Mexico.</t>
  </si>
  <si>
    <t>Surrounded by endless green at Quebrada Valencia.jpg</t>
  </si>
  <si>
    <t>Surrounded by endless green at Quebrada Valencia</t>
  </si>
  <si>
    <t>Suspendido en el aire.jpg</t>
  </si>
  <si>
    <t>El movimiento de las alas contrasta con la serenidad de su mirada, capturando un instante que ocurre en apenas una fracción de segundo.</t>
  </si>
  <si>
    <t>Sutatausa Landscape 1.jpg</t>
  </si>
  <si>
    <t>Crops, mountains, Cundinamarca’s Geography</t>
  </si>
  <si>
    <t>5.250208, -73.807969</t>
  </si>
  <si>
    <t>Sutatausa Landscape 2.jpg</t>
  </si>
  <si>
    <t>5.250147, -73.807922</t>
  </si>
  <si>
    <t>Sutatausa Landscape 3.jpg</t>
  </si>
  <si>
    <t>5.250194, -73.807922</t>
  </si>
  <si>
    <t>Sword-billed hummingbird (Ensifera ensifera) Caldas 2.jpg</t>
  </si>
  <si>
    <t>Sword-billed hummingbird ( Ensifera ensifera ), Hacienda el Bosque civil society natural reserve, Caldas, Colombia</t>
  </si>
  <si>
    <t>Symplocos.jpg</t>
  </si>
  <si>
    <t>Flor del té de Bogotá</t>
  </si>
  <si>
    <t>5.002078, -74.209297</t>
  </si>
  <si>
    <t>Syrigma sibilatrix fostersmithi - Piedecuesta, Santander, Colombia - 7 Jun 2026 - Diferoch.jpg</t>
  </si>
  <si>
    <t>Individual of Syrigma sibilatrix fostersmithi observed in Piedecuesta, Santander, Colombia.</t>
  </si>
  <si>
    <t>6.895995, -73.021317</t>
  </si>
  <si>
    <t>Syrphini - Bogotá D. C., Colombia - 23 Aug 2025 - Diferoch.jpg</t>
  </si>
  <si>
    <t>Adult of unidentified Syrphini observed in the campus of Universidad de los Andes in Bogotá D. C., Colombia.</t>
  </si>
  <si>
    <t>4.599792, -74.063103</t>
  </si>
  <si>
    <t>Súper cola de burro.jpg</t>
  </si>
  <si>
    <t>A hybrid between Sedum and Echeveria succulent, from the Crassulaceae family</t>
  </si>
  <si>
    <t>4.693694, -74.061722</t>
  </si>
  <si>
    <t>Tachybaptus dominicus brachyrhynchus - Piedecuesta, Santander, Colombia - 7 Jun 2026 - Diferoch.jpg</t>
  </si>
  <si>
    <t>Individual of Tachybaptus dominicus brachyrhynchus observed in Piedecuesta, Santander, Colombia.</t>
  </si>
  <si>
    <t>6.891827, -73.024155</t>
  </si>
  <si>
    <t>Tall inflorescence of an Agave plant near Villa de Leyva, 2026.jpg</t>
  </si>
  <si>
    <t>A massive, branching flower spike of a mature Agave specimen rising high above the surrounding xerophytic scrub vegetation on a mountainous slope in the Boyacá department.</t>
  </si>
  <si>
    <t>Tanga carafuego (Tangara parzudakii) en Paque Verde Y Agua, Fusagasugá, (Cundinamarca).jpg</t>
  </si>
  <si>
    <t>Tangara parzudakii in Fusagasugá, (Cundinamarca)</t>
  </si>
  <si>
    <t>Tangara 2026-05-28.jpg</t>
  </si>
  <si>
    <t>El ave de la imagen se llama Tangara montana o azulejo real, vive en bosques húmedos andinos de alta montaña entre 2.000 y 3.600 msnm, se puede observar en termales del ruiz</t>
  </si>
  <si>
    <t>Tangara Aliazul - Anisognathus somptuosus.jpg</t>
  </si>
  <si>
    <t>La tangara aliazul o primavera resalta por la armonía de sus tonalidades, representando la diversidad de aves presentes en los bosques montanos del occidente colombiano.</t>
  </si>
  <si>
    <t>Tangara Coronigualda - Tangara xanthocephala.jpg</t>
  </si>
  <si>
    <t>La tangara coronigualda aporta un vibrante contraste de colores al dosel del bosque montano. Habita en la zona subtropical andina desde Venezuela a Bolivia en bosques nubosos y bordes.</t>
  </si>
  <si>
    <t>Tangara Multicolor - Chlorochrysa nitidissima.jpg</t>
  </si>
  <si>
    <t>La tangara multicolor, especie endémica de Colombia, es uno de los mayores símbolos de la avifauna del Valle del Cauca. Su extraordinaria combinación de colores la convierte en una de las aves más emblemáticas de los Andes colombianos.</t>
  </si>
  <si>
    <t>Tangara Nuquidorada - Chalcothraupis ruficervix.jpg</t>
  </si>
  <si>
    <t>La tangara nuquidorada exhibe el intenso contraste entre su plumaje oscuro y la brillante coloración dorada de la nuca. Habita a lo largo de la cordillera de los Andes desde Colombia hasta Perú y Bolivia.</t>
  </si>
  <si>
    <t>Tangara Rastrojera.jpg</t>
  </si>
  <si>
    <t>Captura realizada en Rionegro, Antioquia, Colombia</t>
  </si>
  <si>
    <t>Tangara azuleja.jpg</t>
  </si>
  <si>
    <t>La tangara azuleja​ también denominada tángara azulada, es una especie de ave paseriforme de la familia Thraupidae, perteneciente al género Thraupis</t>
  </si>
  <si>
    <t>Tangara dorsirroja hembra (Ramphocelus dimidiatus).jpg</t>
  </si>
  <si>
    <t>tangara dorsirroja hembra (Ramphocelus dimidiatus). Se caracteriza por tener un pico totalmente negro</t>
  </si>
  <si>
    <t>Tangará Pecosa.jpg</t>
  </si>
  <si>
    <t>Foto de una Tangará Pecosa (Speckled Tanager/Ixothraupis guttata)</t>
  </si>
  <si>
    <t>Tarantula de mi patio.jpg</t>
  </si>
  <si>
    <t>Un día de lluvia y truenos me visito esta formidable amiga</t>
  </si>
  <si>
    <t>Tarantula en la SNSM.jpg</t>
  </si>
  <si>
    <t>A specimen of the Theraphosidae family in the Sierra Nevada de Santa Marta (1,000 masl). Notable features include distinct light longitudinal bands on the legs and a dark, velvety body, revealing a morphological adaptation to a forest environment.</t>
  </si>
  <si>
    <t>10.829200, -73.692300</t>
  </si>
  <si>
    <t>Tayrona Beaches.jpg</t>
  </si>
  <si>
    <t>beach view from yatch</t>
  </si>
  <si>
    <t>Tayrona National Park.jpg</t>
  </si>
  <si>
    <t>Aerial view from a yatch of a beach in Colombia</t>
  </si>
  <si>
    <t>Tepuy serranía del Chiribiquete.jpg</t>
  </si>
  <si>
    <t>Serranía de Chiribiquete</t>
  </si>
  <si>
    <t>Terciopelohuila 12.jpg</t>
  </si>
  <si>
    <t>Terlaque Pechiazul.jpg</t>
  </si>
  <si>
    <t>Termales santa rosa de cabal.jpg</t>
  </si>
  <si>
    <t>Cascadas naturales de santa rosa de cabal</t>
  </si>
  <si>
    <t>Termas 20260529 090536.jpg</t>
  </si>
  <si>
    <t>Piscina termal natural en el Hotel Nevado del Ruiz. A una altura aprox.de 3.500 msnm. Sus aguas son beneficiosas para la salud. En medio de la naturaleza.</t>
  </si>
  <si>
    <t>Tesoro del Sol.jpg</t>
  </si>
  <si>
    <t>amarillo</t>
  </si>
  <si>
    <t>Textura de cristal.jpg</t>
  </si>
  <si>
    <t>Tras hacer una caminata nocturna por la selva espesa de San Cipriano, nos encontramos esta hermosa rana de cristal reclamando su territorio,</t>
  </si>
  <si>
    <t>Thaumetopoea pityocampa 26-05-17.jpg</t>
  </si>
  <si>
    <t>Foto de una oruga tomada en la reserva de Colombia mesa redonda</t>
  </si>
  <si>
    <t>4.559625, -74.005714</t>
  </si>
  <si>
    <t>The Chicamocha Canyon seen from a small town.jpg</t>
  </si>
  <si>
    <t>The Chicamocha Canyon seen from a small town: "Cepitá".</t>
  </si>
  <si>
    <t>The beautiful Colombian Coast.jpg</t>
  </si>
  <si>
    <t>Inca inca Mountain view</t>
  </si>
  <si>
    <t>Thraupis episcopus - Sasaima Cundinamarca.jpg</t>
  </si>
  <si>
    <t>Azulejo</t>
  </si>
  <si>
    <t>Tiger beetle on the rocks of Villa de Leyva, Boyacá, Colombia.jpg</t>
  </si>
  <si>
    <t>Tiger beetle resting on rocks in Villa de Leyva, Boyacá Department, Colombia.</t>
  </si>
  <si>
    <t>Tigrisoma lineatum lineatum - Barrancabermeja, Santander, Colombia - 14 Jun 2026 - Diferoch - 1.jpg</t>
  </si>
  <si>
    <t>Individual of Tigrisoma lineatum lineatum observed in Barrancabermeja, Santander, Colombia.</t>
  </si>
  <si>
    <t>7.094410, -73.756035</t>
  </si>
  <si>
    <t>Tigrisoma lineatum lineatum - Barrancabermeja, Santander, Colombia - 14 Jun 2026 - Diferoch - 2.jpg</t>
  </si>
  <si>
    <t>Individual of Tigrisoma lineatum lineatum observed feeding in Barrancabermeja, Santander, Colombia.</t>
  </si>
  <si>
    <t>7.094498, -73.756058</t>
  </si>
  <si>
    <t>TintoSumapaz.jpg</t>
  </si>
  <si>
    <t>Tithonia rotundifolia 2026-05-24.jpg</t>
  </si>
  <si>
    <t>Bright reddish-orange petals with a textured golden-yellow central disc.Size: Plants typically grow 1.2 to 2.5 meters (4 to 8 feet) tall.Origin: Native to Mexico and Central America.Benefits: Highly attractive to butterflies, bees, and hummingbirds.</t>
  </si>
  <si>
    <t>Titi Lucifer-Parque Nacional Natural Sierra de la Macarena-Colombia-1.jpg</t>
  </si>
  <si>
    <t>Tití lucifer (Cheracebus lucifer) fotografiado en el Parque Nacional Natural Sierra de La Macarena, Meta, Colombia.</t>
  </si>
  <si>
    <t>Titi Lucifer-Parque Nacional Natural Sierra de la Macarena-Colombia-2.jpg</t>
  </si>
  <si>
    <t>Titi Lucifer-Parque Nacional Natural Sierra de la Macarena-Colombia-3.jpg</t>
  </si>
  <si>
    <t>Titi Lucifer-Parque Nacional Natural Sierra de la Macarena-Colombia-4.jpg</t>
  </si>
  <si>
    <t>Titiribí pechirojo.jpg</t>
  </si>
  <si>
    <t>Mosquero cardenal, Titiribí pechirojo, Churrinche, Pyrocephalus rubinus, Peña Negra, Cachipay, Cundinamarca, Colombia, 2025.</t>
  </si>
  <si>
    <t>Tityus colombianus.jpg</t>
  </si>
  <si>
    <t>Individuo de Tityus colombianus de unos 2 cm de longitud, fotografiado en zona montañosa de Chía, Cundinamarca.</t>
  </si>
  <si>
    <t>Tití cabeciblanco (Saguinus oedipus) en un bosque de parque en Cartagena.jpg</t>
  </si>
  <si>
    <t>Fotografía del tití cabeciblanco (Saguinus oedipus), registrada en un bosque dentro de un parque en Cartagena, Colombia. Este pequeño primate, endémico del noroeste del país, habita principalmente bosques secos tropicales y fragmentos de vegetación secundaria. La especie se encuentra catalogada en Peligro Crítico de extinción (CR) debido a la pérdida y fragmentación de su hábitat, así como a la presión por captura y tráfico ilegal.</t>
  </si>
  <si>
    <t>Tití cabeciblanco (también conocido como tamarino de manos blancas o Saguinus leucopus), una especie de primate endémica de Colombia.jpg</t>
  </si>
  <si>
    <t>Un ejemplar de tití cabeciblanco en su hábitat natural en la región del Darién, Colombia. Esta especie, endémica del noroccidente colombiano, se encuentra catalogada En Peligro Crítico (CR) de extinción debido a la pérdida drástica de su entorno natural y al tráfico de fauna. Los primates callitrícidos son un eslabón clave en la regeneración de los bosques tropicales del país como dispersores de semillas.</t>
  </si>
  <si>
    <t>Tomando el sol - PNN Chingaza.jpg</t>
  </si>
  <si>
    <t>Torita Cabecirrojo Hembra - Eubucco bourcierii.jpg</t>
  </si>
  <si>
    <t>La hembra del torito cabecirrojo presenta un plumaje verde discreto que le proporciona un excelente camuflaje entre la vegetación.</t>
  </si>
  <si>
    <t>Torito Cabecirrojo Macho - Eubucco bourcierii.jpg</t>
  </si>
  <si>
    <t>El macho del torito cabecirrojo luce su distintiva cabeza roja mientras observa el bosque desde una rama expuesta. Habita en bosques húmedos desde Costa Rica hasta Colombia, Ecuador, Perú y Venezuela.</t>
  </si>
  <si>
    <t>Tormenta Eléctrica Gachantivá, Boyacá.jpg</t>
  </si>
  <si>
    <t>Tormenta eléctrica en Gachantivá vista desde Villa de Leyva, Boyacá</t>
  </si>
  <si>
    <t>5.676027, -73.537774</t>
  </si>
  <si>
    <t>Tormenta caribeña.jpg</t>
  </si>
  <si>
    <t>Tomada en la Boquilla, Cartagena</t>
  </si>
  <si>
    <t>10.486867, -75.492469</t>
  </si>
  <si>
    <t>Tormenta en formacion.jpg</t>
  </si>
  <si>
    <t>formacion de una tormenta</t>
  </si>
  <si>
    <t>Tororoi Rufocenizo.jpg</t>
  </si>
  <si>
    <t>Tororoí Coronicastaña - Grallaria ruficapilla.jpg</t>
  </si>
  <si>
    <t>El tororoí coronicastaña recorre silenciosamente el suelo del bosque, donde busca pequeños invertebrados entre la hojarasca. Habita el norte y noroeste de América del Sur.</t>
  </si>
  <si>
    <t>5.087400, -75.452900</t>
  </si>
  <si>
    <t>Tortuga caná o laúd (Dermochelys coriacea).jpg</t>
  </si>
  <si>
    <t>Tortuga caná o laúd desovando sus huevos en la playa</t>
  </si>
  <si>
    <t>Tortugas en la Laguna El Tabacal La Vega.jpg</t>
  </si>
  <si>
    <t>Tortugas en la Laguna El Tabacal La Vega-reserva natural y área de conservación</t>
  </si>
  <si>
    <t>Tradescantia fluminesis tricolor.jpg</t>
  </si>
  <si>
    <t>Tradescantia fluminesis tricolor</t>
  </si>
  <si>
    <t>Tradescantia sp1.jpg</t>
  </si>
  <si>
    <t>Familia Commelinaceae</t>
  </si>
  <si>
    <t>Tradescantia sp2.jpg</t>
  </si>
  <si>
    <t>Tradescantia sp mayo de 2026.jpg</t>
  </si>
  <si>
    <t>Tree-dwelling termite nest (Nasutitermes) Coastal forest, Tayrona National Park.jpg</t>
  </si>
  <si>
    <t>Constructed from chewed wood and soil, these durable arboreal nests protect tropical termite colonies from heavy rain and predators.</t>
  </si>
  <si>
    <t>Trees shown are covered in lichens, which are common epiphytes-Red bromeliads.jpg</t>
  </si>
  <si>
    <t>Trees covered in lichens, which are common epiphytes-Red bromeliads</t>
  </si>
  <si>
    <t>Trees thickly covered in mosses and lichens-Bosque musgo y liquenes.jpg</t>
  </si>
  <si>
    <t>Trees thickly covered in mosses and lichens-</t>
  </si>
  <si>
    <t>Tremarctos ornatus en la Reserva Chingaza 01.jpg</t>
  </si>
  <si>
    <t>Tremarctos ornatus en la Reserva Chingaza</t>
  </si>
  <si>
    <t>Trepatroncos Montañero - Lepidocolaptes lacrymiger.jpg</t>
  </si>
  <si>
    <t>El trepatroncos montañero asciende por los troncos utilizando su fuerte pico para buscar insectos ocultos bajo la corteza.</t>
  </si>
  <si>
    <t>Trichiales.jpg</t>
  </si>
  <si>
    <t>Mixomycete sobre herida de Salvio blanco</t>
  </si>
  <si>
    <t>4.854792, -74.345214</t>
  </si>
  <si>
    <t>Tringa semipalmata inornata - Nuquí, Chocó, Colombia - 23 Oct 2025 - Diferoch.jpg</t>
  </si>
  <si>
    <t>Individual of Tringa semipalmata inornata observed in the coastal zone (Pacific Ocean) of Nuquí, Chocó, Colombia.</t>
  </si>
  <si>
    <t>5.619017, -77.429558</t>
  </si>
  <si>
    <t>Trinitaria Jardín Barranquilla.jpg</t>
  </si>
  <si>
    <t>Trochilidae.jpg</t>
  </si>
  <si>
    <t>Pareja de Trochilidae interactuando. Autor. Axl</t>
  </si>
  <si>
    <t>Trochilidae - Barrancabermeja, Santander, Colombia - 13 Jul 2025 - Diferoch.jpg</t>
  </si>
  <si>
    <t>Individual of unidentified Trochilidae observed in Barrancabermeja, Santander, Colombia.</t>
  </si>
  <si>
    <t>7.095537, -73.756142</t>
  </si>
  <si>
    <t>Trochilini - Piedecuesta, Santander, Colombia - 8 Jun 2026 - Diferoch.jpg</t>
  </si>
  <si>
    <t>Individual of unidentified Trochilini feeding in Piedecuesta, Santander, Colombia.</t>
  </si>
  <si>
    <t>6.912815, -73.031182</t>
  </si>
  <si>
    <t>Trogon caligatus.jpg</t>
  </si>
  <si>
    <t>A male Trogon caligatus at the Los Monos Agroecological Reserve, Río Claro, Antioquia. The chromatic contrast of its plumage stands out. It is perched on a branch in the forest's mid-story.</t>
  </si>
  <si>
    <t>Tronco árbol Guayacán de Manizales.jpg</t>
  </si>
  <si>
    <t>Trunk of a Guayacán tree from Manizales</t>
  </si>
  <si>
    <t>Tropical Fork Fern (Sticherus), at the way to Cerro Kennedy from Minca, 2025.jpg</t>
  </si>
  <si>
    <t>A prominent pioneer plant thriving in the humid cloud forest ecosystem of the Sierra Nevada de Santa Marta.</t>
  </si>
  <si>
    <t>Tropical butterfly (Perisama sp.) mud-puddling on wet river stones near Minca, 2025.jpg</t>
  </si>
  <si>
    <t>A dorsal view of a vibrant blue and black nymphalid butterfly absorbing moisture and essential minerals from damp, rocky terrain along a riverbank in the Sierra Nevada de Santa Marta mountain region, Magdalena department.</t>
  </si>
  <si>
    <t>Tropicario - Jardín botánico.jpg</t>
  </si>
  <si>
    <t>Visita al tropicario de jardín botánico BOGOTA</t>
  </si>
  <si>
    <t>Tropicario jardin botanico.jpg</t>
  </si>
  <si>
    <t>en esta imagen se observa una parte del recorrido del territorio, caracterizando un ecosistema humedo</t>
  </si>
  <si>
    <t>Tucaneta Esmeralda.jpg</t>
  </si>
  <si>
    <t>Tucaneta Esmeralda avistada en el corregimiento de Santa Elena, Medellín, Antioquia. Sandra Ramírez Giraldo</t>
  </si>
  <si>
    <t>Tulua Views.jpg</t>
  </si>
  <si>
    <t>Cauca Valley</t>
  </si>
  <si>
    <t>Tumaco.jpg</t>
  </si>
  <si>
    <t>Vereda Buenos aires</t>
  </si>
  <si>
    <t>Turberas y zonas de recarga hídrica en Sumapaz.jpg</t>
  </si>
  <si>
    <t>Perspectiva aérea oblicua de gran contraste que registra una zona de turbera y cojines de plantas hidrófilas de un color verde encendido, con agua retenida que refleja la luz. El ecosistema muestra la transición abrupta hacia un denso bosque de frailejones (Espeletia) en la franja oscura, coronado por densas nubes bajas y niebla húmeda sobre el suelo saturado.</t>
  </si>
  <si>
    <t>Turdus fuscater (Mirla Gris).jpg</t>
  </si>
  <si>
    <t>Mirla en el Parque Nacional de los Nevados, llevando alimento para para sus polluelos</t>
  </si>
  <si>
    <t>Turdus fuscater gigas - Bogotá D. C., Colombia - 23 Aug 2025 - Diferoch.jpg</t>
  </si>
  <si>
    <t>Adult male of Turdus fuscater gigas observed in the campus of Universidad de los Andes in Bogotá, D. C., Colombia.</t>
  </si>
  <si>
    <t>4.599892, -74.063583</t>
  </si>
  <si>
    <t>Turdus leucomelas albiventer - Barrancabermeja, Santander, Colombia - 20 Jul 2025 - Diferoch - 1.jpg</t>
  </si>
  <si>
    <t>Nest with 2 chicks and 1 egg of Turdus lecumelas albiventer observed in Barrancabermeja, Santander, Colombia.</t>
  </si>
  <si>
    <t>7.095956, -73.756335</t>
  </si>
  <si>
    <t>Turdus leucomelas albiventer - Barrancabermeja, Santander, Colombia - 20 Jul 2025 - Diferoch - 2.jpg</t>
  </si>
  <si>
    <t>Adult of Turdus leucomelas albiventer feeding its chicks in Barrancabermeja, Santander, Colombia.</t>
  </si>
  <si>
    <t>7.095957, -73.756334</t>
  </si>
  <si>
    <t>Turismo ecuestre en el paisaje de la Tatacoa.jpg</t>
  </si>
  <si>
    <t>Vista panorámica que muestra a varios jinetes transitando por caminos de tierra en una meseta del desierto. La toma ilustra las actividades de ecoturismo y el relieve geográfico característico del Distrito Regional de Manejo Integrado La Tatacoa, con las montañas andinas al fondo bajo un cielo despejado.</t>
  </si>
  <si>
    <t>Turquoise dreams in San Andrés.jpg</t>
  </si>
  <si>
    <t>Turquoise dreams in San Andrés</t>
  </si>
  <si>
    <t>Tyrannus melancholicus melancholicus - Barrancabermeja, Santander, Colombia - 14 Jun 2026 - Diferoch.jpg</t>
  </si>
  <si>
    <t>Individual of Tyrannus melancholicus melancholicus observed in Barrancabermeja, Santander, Colombia.</t>
  </si>
  <si>
    <t>7.096000, -73.756221</t>
  </si>
  <si>
    <t>Tyrannus melancholicus melancholicus - Barrancabermeja, Santander, Colombia - 3 Jun 2025.jpg</t>
  </si>
  <si>
    <t>Individual of Tyrannus melancholicus melancholicus in Barrancabermeja, Santander, Colombia.</t>
  </si>
  <si>
    <t>7.084797, -73.863937</t>
  </si>
  <si>
    <t>Tyrannus savana - Piedecuesta, Santander, Colombia - 7 Jun 2026 - Diferoch - 1.jpg</t>
  </si>
  <si>
    <t>Individual of Tyrannus savana observed in Piedecuesta, Santander, Colombia.</t>
  </si>
  <si>
    <t>6.896558, -73.021705</t>
  </si>
  <si>
    <t>Tyrannus savana - Piedecuesta, Santander, Colombia - 7 Jun 2026 - Diferoch - 2.jpg</t>
  </si>
  <si>
    <t>6.896565, -73.021613</t>
  </si>
  <si>
    <t>Tángara Dorada - Tangara arthus.jpg</t>
  </si>
  <si>
    <t>La tangara dorada destaca por la intensidad de sus colores, una de las especies más vistosas de los bosques andinos. Nativa del norte, noroeste y oeste de América del Sur.</t>
  </si>
  <si>
    <t>Tú grandeza.jpg</t>
  </si>
  <si>
    <t>8.094869, -74.773153</t>
  </si>
  <si>
    <t>Tú inmensidad.jpg</t>
  </si>
  <si>
    <t>8.094922, -74.773175</t>
  </si>
  <si>
    <t>Un GRAN pequeño.jpg</t>
  </si>
  <si>
    <t>In this photographic illustration, I sought an interpretation to demonstrate how grand and vast the fungi kingdom can be.</t>
  </si>
  <si>
    <t>4.719324, -74.404778</t>
  </si>
  <si>
    <t>Un caracol vacio.jpg</t>
  </si>
  <si>
    <t>Empty snail shell and a nourished mushroom.</t>
  </si>
  <si>
    <t>Un día con mucho sol.jpg</t>
  </si>
  <si>
    <t>8.073269, -74.785186</t>
  </si>
  <si>
    <t>Un día normal.jpg</t>
  </si>
  <si>
    <t>8.072164, -74.786261</t>
  </si>
  <si>
    <t>Un escandalo del carriqui - PNN Los Nevados (PRIMER PLANO).jpg</t>
  </si>
  <si>
    <t>Carriqui de montaña</t>
  </si>
  <si>
    <t>Un instante en la calma.jpg</t>
  </si>
  <si>
    <t>Después del vuelo, el colibrí descansa sobre una rama mientras su plumaje refleja destellos verdes y azules.</t>
  </si>
  <si>
    <t>5.795613, -73.457378</t>
  </si>
  <si>
    <t>Un linda finca.jpg</t>
  </si>
  <si>
    <t>8.072294, -74.786128</t>
  </si>
  <si>
    <t>Un Mundo Descubierto.jpg</t>
  </si>
  <si>
    <t>Un Niño Dos Hombres y Muchas Tablónes.jpg</t>
  </si>
  <si>
    <t>The Boat Glides and the Jungle Breathes As we pass People By</t>
  </si>
  <si>
    <t>Un Sol en el Suelo.jpg</t>
  </si>
  <si>
    <t>Captura cenital que enfoca la vibrante y radiante corona de un diente de león. La flor destaca como un destello dorado en medio de un tapiz texturizado de tréboles y hojas verdes, demostrando que la belleza florece de manera espontánea en cualquier rincón.</t>
  </si>
  <si>
    <t>Un mar de verde.jpg</t>
  </si>
  <si>
    <t>La vegetación envuelve cada rincón del Tropicario, recreando la riqueza y diversidad de los ecosistemas.</t>
  </si>
  <si>
    <t>Un panal herido.jpg</t>
  </si>
  <si>
    <t>Panal de avispas</t>
  </si>
  <si>
    <t>Un pequeño loro en las inmediaciones del tapón del Darien.jpg</t>
  </si>
  <si>
    <t>PERIQUITO BRONCEADO (Brotogeris jugularis). Un ejemplar de periquito bronceado (también conocido como perico barbinaranja o cascabelito) fotografiado en la región del Darién, Colombia. Esta especie de la familia Psittacidae es ampliamente reconocida por el parche marrón-bronce en sus hombros y una pequeña mancha naranja en la barbilla. Ejemplar de periquito bronceado (Brotogeris jugularis) posado sobre una superficie de madera en Capurganá, Chocó. Ave de hábitos diurnos y altamente gregaria, habita en bosques secos, selvas húmedas tropicales de tierras bajas y zonas parcialmente deforestadas del norte y occidente de Colombia.</t>
  </si>
  <si>
    <t>Un rincon del alma.jpg</t>
  </si>
  <si>
    <t>Un respiro del lago en bogota, usaquen</t>
  </si>
  <si>
    <t>Una Planta Única.jpg</t>
  </si>
  <si>
    <t>Una Roca.jpg</t>
  </si>
  <si>
    <t>Una abeja en el rosal.jpg</t>
  </si>
  <si>
    <t>Una abeja en el rosal</t>
  </si>
  <si>
    <t>4.668609, -74.097384</t>
  </si>
  <si>
    <t>Una canoa sobre las aguas llamadas el Aguacate en Capurgana Colombia.jpg</t>
  </si>
  <si>
    <t>Una noche estrellada en Santa Elena, Antioquia, Colombia.jpg</t>
  </si>
  <si>
    <t>Star trails can be seen on a clear night in Santa Elena, Antioquia</t>
  </si>
  <si>
    <t>Una quebrada en el interior del Tapon del Darien.jpg</t>
  </si>
  <si>
    <t>la referencia principal es la Reserva Natural El Cielo, famosa por su refrescante quebrada y cascadas. Se encuentra ubicada en el municipio de Acandí (Chocó)</t>
  </si>
  <si>
    <t>Universidad de la salle, paisaje urbano.jpg</t>
  </si>
  <si>
    <t>Vista de la ciudad de Bogotá, D.C desde la universidad de la Salle</t>
  </si>
  <si>
    <t>4.595319, -74.070686</t>
  </si>
  <si>
    <t>Universidad y paisaje.jpg</t>
  </si>
  <si>
    <t>Transiciones entre el aula, la plaza y el follaje en la universidad del externado</t>
  </si>
  <si>
    <t>Unknown orchids.jpg</t>
  </si>
  <si>
    <t>Moss under orchid</t>
  </si>
  <si>
    <t>4.740317, -75.683097</t>
  </si>
  <si>
    <t>Urosticte benjamini.jpg</t>
  </si>
  <si>
    <t>A male specimen of the species Urosticte benjamini perched on a branch. Its vibrant, iridescent plumage and characteristic violet collar stand out. Las Tángaras ProAves Reserve, Chocó.</t>
  </si>
  <si>
    <t>5.826000, -76.082000</t>
  </si>
  <si>
    <t>Urraca Azul.jpg</t>
  </si>
  <si>
    <t>Urraca de collar de reojo - PNN Chingaza.jpg</t>
  </si>
  <si>
    <t>Urraca de collar en bosques de niebla altoandinos</t>
  </si>
  <si>
    <t>Utica, Cundinamarca - Julian Barrera.jpg</t>
  </si>
  <si>
    <t>2 de abril del 2026</t>
  </si>
  <si>
    <t>Utica, Cundinamarca.jpg</t>
  </si>
  <si>
    <t>4 de abril del 2026</t>
  </si>
  <si>
    <t>Uña de gato.jpg</t>
  </si>
  <si>
    <t>Flores de uña de gato, Berberis glauca</t>
  </si>
  <si>
    <t>4.851189, -74.347442</t>
  </si>
  <si>
    <t>Valle Del Cauca.jpg</t>
  </si>
  <si>
    <t>Mountainous view of the Cauca Valley in Colombia</t>
  </si>
  <si>
    <t>Valle de cocora(salento-Quindio).jpg</t>
  </si>
  <si>
    <t>Montañas del valle de cocora, salento quindio</t>
  </si>
  <si>
    <t>Valle de los Halcones.jpg</t>
  </si>
  <si>
    <t>Así lucen 7 meses sin lluvia en uno de los municipios lecheros de Colombia; Suesca. La peor crisis de falta de lluvias registrada en la historia de la sabana de Bogotá.</t>
  </si>
  <si>
    <t>Valle de pastores.jpg</t>
  </si>
  <si>
    <t>Valles exuberantes donde la naturaleza nos da postales increíbles</t>
  </si>
  <si>
    <t>5.012789, -75.328711</t>
  </si>
  <si>
    <t>Valle del Cocora (15646).jpg</t>
  </si>
  <si>
    <t>Valle montañoso ubicado en la cordillera central de los Andes colombianos (Departamento del Quindío). Famoso por albergar el bosque de Palma de Cera—el árbol nacional de Colombia y la palmera más alta del mundo (Ceroxylon quindiuense)—es un área protegida integrada al Parque Nacional Natural Los Nevados</t>
  </si>
  <si>
    <t>4.638395, -75.561566</t>
  </si>
  <si>
    <t>Valle del Cocora (84143).jpg</t>
  </si>
  <si>
    <t>4.642314, -75.552434</t>
  </si>
  <si>
    <t>Valle del Cocora junio 2025 03.jpg</t>
  </si>
  <si>
    <t>is an Andean valley located in the municipality of Salento, Quindío Department, Colombia. It is renowned for its cloud forest landscapes and for hosting extensive populations of the Ceroxylon quindiuense, Colombia's national tree.</t>
  </si>
  <si>
    <t>Valle del Cocora junio 2025 05.jpg</t>
  </si>
  <si>
    <t>Valle del Cocora junio 2025 08.jpg</t>
  </si>
  <si>
    <t>Valle del Cocora junio 2025 10.jpg</t>
  </si>
  <si>
    <t>Valle del Cocora junio 2025 13.jpg</t>
  </si>
  <si>
    <t>Valle del Cocora junio 2025 14.jpg</t>
  </si>
  <si>
    <t>Valle del Cocora junio 2025 15.jpg</t>
  </si>
  <si>
    <t>Valle del Cocora junio 2025 18.jpg</t>
  </si>
  <si>
    <t>Valle del Cocora junio 2025 19.jpg</t>
  </si>
  <si>
    <t>Valle del Cocora junio 2025 21.jpg</t>
  </si>
  <si>
    <t>Valle del Cocora junio 2025 25.jpg</t>
  </si>
  <si>
    <t>Valle del cocora 15 de abril de 2025.jpg</t>
  </si>
  <si>
    <t>Imagen acerca del valle del cocora y la flora que este posee</t>
  </si>
  <si>
    <t>Valle del Cocora.jpg</t>
  </si>
  <si>
    <t>4.642023, -75.588938</t>
  </si>
  <si>
    <t>Valle del Cocora junio 2025 26.jpg</t>
  </si>
  <si>
    <t>Valle del Cocora junio 2025 30.jpg</t>
  </si>
  <si>
    <t>Valle del Cócora, Quindio - Colombia.jpg</t>
  </si>
  <si>
    <t>Entre nieblas espesas y verdes interminables se alza el árbol insignia de Colombia, la Palma de cera del Quindio. Un valle lleno de vida, lleno de fauna y flora autóctona que merece ser apreciada con respeto.</t>
  </si>
  <si>
    <t>Valle del Cócora 15 abril 2025 2.jpg</t>
  </si>
  <si>
    <t>Valle del Cócora y su flora</t>
  </si>
  <si>
    <t>Valle del Magdalena.jpg</t>
  </si>
  <si>
    <t>Valle del Magdalena. Vista desde el mirador Piedra Capira en una pequeña desviación del camino entre Guaduas y Honda, en lo que se conoce como el Camino real Honda-Santa Fe.</t>
  </si>
  <si>
    <t>Valles de seda Azul.jpg</t>
  </si>
  <si>
    <t>The valley rock you to sleep</t>
  </si>
  <si>
    <t>5.052892, -75.546508</t>
  </si>
  <si>
    <t>Vanellus chilensis cayennensis - Piedecuesta, Santander, Colombia - 7 Jun 2026 - Diferoch - 1.jpg</t>
  </si>
  <si>
    <t>Offspring of Vanellus chilensis cayennensis observed in Piedecuesta, Santander, Colombia.</t>
  </si>
  <si>
    <t>6.894992, -73.020965</t>
  </si>
  <si>
    <t>Vanellus chilensis cayennensis - Piedecuesta, Santander, Colombia - 7 Jun 2026 - Diferoch - 2.jpg</t>
  </si>
  <si>
    <t>Adult of Vanellus chilensis cayennensis observed in Piedecuesta, Santander, Colombia.</t>
  </si>
  <si>
    <t>6.894993, -73.020965</t>
  </si>
  <si>
    <t>Variedad de Castilleja Páramo de Belmira.jpg</t>
  </si>
  <si>
    <t>Castilleja de Páramo</t>
  </si>
  <si>
    <t>Vegetación de páramo 2025-12-24.jpg</t>
  </si>
  <si>
    <t>Se observa en el primer plano una cerca que cruza la escena, delante y atrás de él se encuentran frailejones (Género Espeletia) rodeados de pasto andino. En un plano medio se extiende una población de frailejones acompañados por una masa de neblina que baja de la cumbre y cubre parte de la escena. Al fondo se visualiza una pared montañosa de roca escarpada con tonos grisáseos que domina el horizante y en la parte superior se observan los destellos de las primeras horas de la mañana. La foto fue tomada a 4.000 metros sobre el nivel de mar en el Parque Nacional Natural Los Nevados</t>
  </si>
  <si>
    <t>Venado en el Parque Nacional Natural El Cocuy.jpg</t>
  </si>
  <si>
    <t>Venado en el Parque Nacional Natural El Cocuy en el sendero Pulpito del Diablo</t>
  </si>
  <si>
    <t>Venas blancas.jpg</t>
  </si>
  <si>
    <t>Veins of my soul</t>
  </si>
  <si>
    <t>5.566728, -74.906936</t>
  </si>
  <si>
    <t>Ventana a Santander.jpg</t>
  </si>
  <si>
    <t>La inmensidad de Santander resalta la armonía entre el entorno natural y la ingeniería moderna.</t>
  </si>
  <si>
    <t>Verde absoluto.jpg</t>
  </si>
  <si>
    <t>La serenidad de esta rana arbórea refleja la armonía del bosque húmedo. Su coloración es tanto un refugio como una estrategia de supervivencia.</t>
  </si>
  <si>
    <t>Verde como la vida.jpg</t>
  </si>
  <si>
    <t>Durante 22 años, esta lora ha compartido su energía, curiosidad y compañía con quienes la han visto crecer.</t>
  </si>
  <si>
    <t>Verde en un fondo verde.jpg</t>
  </si>
  <si>
    <t>Generaciones de Iguana iguana que hacen vida en la institucion desde hace muchos años, protegidas</t>
  </si>
  <si>
    <t>Vereda El Verjón Bajo.jpg</t>
  </si>
  <si>
    <t>Vereda El Verjón Bajo ubicada en el Complejo Cruz Verde-Sumapaz. Localidad de Santa Fe (Bogotá).</t>
  </si>
  <si>
    <t>Vermilion Flycatcher, macho.jpg</t>
  </si>
  <si>
    <t>Foto de un Titiribí Pechirrojo macho (Vermilion Flycatcher/Pyrocephalus rubinus)</t>
  </si>
  <si>
    <t>Viajera del océano.jpg</t>
  </si>
  <si>
    <t>Tortuga del acuario de Santa Marta</t>
  </si>
  <si>
    <t>Victoria amazonica mayo de 2026.jpg</t>
  </si>
  <si>
    <t>Crece en los lagos y madres viejas de la cuenca amazónica</t>
  </si>
  <si>
    <t>Victoria amazónica florecida en el Tropicario del Jardín Botánico de Bogota.jpg</t>
  </si>
  <si>
    <t>Victoria amazónica florecida en el Tropicario del Jardín Botánico de Bogota-Victoria regia</t>
  </si>
  <si>
    <t>Vida fluyendo a través de los paramos.jpg</t>
  </si>
  <si>
    <t>Waterfall among the páramos of Puracé National Natural Park.</t>
  </si>
  <si>
    <t>Vientres del Puracé - PNN Puracé.jpg</t>
  </si>
  <si>
    <t>Aguas termales de orígen volcánico - San Juan</t>
  </si>
  <si>
    <t>View from the Santa marta Airport.jpg</t>
  </si>
  <si>
    <t>View From the Simon Bolivar Airport</t>
  </si>
  <si>
    <t>View of Valle Del Cauca.jpg</t>
  </si>
  <si>
    <t>Cauca valley</t>
  </si>
  <si>
    <t>Vigilancia entre el follaje.jpg</t>
  </si>
  <si>
    <t>Partially hidden among anthurium leaves, Phyllomedusa tarsius reveals its steady gaze and delicate grip, highlighting the calm elegance of this arboreal species from the tropical nocturnal rainforest.</t>
  </si>
  <si>
    <t>Villavicencio,Colombia.jpg</t>
  </si>
  <si>
    <t>Beauty</t>
  </si>
  <si>
    <t>4.109503, -73.636719</t>
  </si>
  <si>
    <t>Villavicencio,Colombia.png</t>
  </si>
  <si>
    <t>Everyday life in Villavicencio, Colombia</t>
  </si>
  <si>
    <t>Villavicencio, Colombia.jpg</t>
  </si>
  <si>
    <t>On the way to supermarket</t>
  </si>
  <si>
    <t>4.109503, -73.636733</t>
  </si>
  <si>
    <t>Vinca Major 28 de marzo de 2025.jpg</t>
  </si>
  <si>
    <t>Vinja Major</t>
  </si>
  <si>
    <t>Vintage Cactus.jpg</t>
  </si>
  <si>
    <t>View from above of a cactus</t>
  </si>
  <si>
    <t>Vintage tree.jpg</t>
  </si>
  <si>
    <t>Vintage photo of a tree near a hillside in an enclosed area</t>
  </si>
  <si>
    <t>Violet-tailed sylph (Aglaiocercus coelestis) male Las Tangaras.jpg</t>
  </si>
  <si>
    <t>Violet-tailed sylph ( Aglaiocercus coelestis ) male, Reserva Las Tangaras, Colombia ( Calliphlox mitchellii )</t>
  </si>
  <si>
    <t>Vista a la bahía de Taganga (Magdalena).jpg</t>
  </si>
  <si>
    <t>View of Taganga Bay (Magdalena).</t>
  </si>
  <si>
    <t>Vista a la zona principal y muelle de Capurganá Colombia.jpg</t>
  </si>
  <si>
    <t>Capurganá es un corregimiento del Chocó, Colombia. Su nombre proviene de la lengua indígena kuna y significa "tierra de ají". El pueblo pasó de ser un asentamiento aborigen a un refugio de corsarios, para luego convertirse en un paraíso eco-turístico de ambiente rústico famoso por sus aguas cristalinas.</t>
  </si>
  <si>
    <t>Vista al Rodadero - Santa Marta (Colombia).jpg</t>
  </si>
  <si>
    <t>View of El Rodadero - Santa Marta (Colombia).</t>
  </si>
  <si>
    <t>Vista al embalse de Peñol-Guatapé (Antioquia).jpg</t>
  </si>
  <si>
    <t>View of the Peñol-Guatapé reservoir (Antioquia)</t>
  </si>
  <si>
    <t>Vista al mar desde Santa Marta (Colombia).jpg</t>
  </si>
  <si>
    <t>Vista al morro desde el malecón de Santa Marta (Colombia).jpg</t>
  </si>
  <si>
    <t>View of the hill from the Santa Marta boardwalk (Colombia).</t>
  </si>
  <si>
    <t>Vista Cadena volcánica Los Coconucos.jpg</t>
  </si>
  <si>
    <t>Cadena Volcánica los Coconucos, en el Parque Natural Purace, ubicado en el Departamento del Cauca, una Cadena Volcánica que reúne 14 volcanes, el cual el Volcán Purace en estos momentos se encuentra en Alerta Amarilla</t>
  </si>
  <si>
    <t>Vista Jardín Botánico Cali.jpg</t>
  </si>
  <si>
    <t>Vista Palma de cera (Ceroxylon quindiuense).jpg</t>
  </si>
  <si>
    <t>Vista Wax palm (Ceroxylon quindiuense)</t>
  </si>
  <si>
    <t>Vista Parque Nacional Natural El Cocuy.jpg</t>
  </si>
  <si>
    <t>Vista Paranomica Parque Nacional Natural El Cocuy en el sendero Pulpito del Diablo</t>
  </si>
  <si>
    <t>Vista aérea cenital de la cresta rocosa en Sutatausa.jpg</t>
  </si>
  <si>
    <t>Toma aérea completamente cenital realizada sobre los Farallones de Sutatausa que registra la textura agrietada, erosionada y rugosa de la parte superior de la estructura rocosa, evidenciando la transición abrupta hacia el dosel del bosque en la ladera inferior.</t>
  </si>
  <si>
    <t>5.215509, -73.846618</t>
  </si>
  <si>
    <t>Vista aérea del pliegue montañoso de Sutatausa.jpg</t>
  </si>
  <si>
    <t>Fotografía aérea amplia que registra la inclinación característica de los estratos rocosos de los Farallones de Sutatausa, capturando la gran superficie expuesta de la piedra texturizada, los pastizales, parches forestales y la llanura andina colindante bajo un cielo encapotado.</t>
  </si>
  <si>
    <t>5.214099, -73.845426</t>
  </si>
  <si>
    <t>Vista cenital de la fuerza del agua en el Salto del Tequendama.jpg</t>
  </si>
  <si>
    <t>Fotografía aérea de ángulo cenital que captura de manera imponente la caída del Río Bogotá en el Salto del Tequendama. La imagen registra la turbulencia del agua al chocar contra las formaciones rocosas del fondo y la densa nube de vapor e hidrometeoros que se eleva hacia las laderas verdes.</t>
  </si>
  <si>
    <t>4.574826, -74.293245</t>
  </si>
  <si>
    <t>Vista de un Manglar en la selva del Darien.jpg</t>
  </si>
  <si>
    <t>Playa Soledad es una joya virgen en el Caribe chocoano, famosa por sus aguas cristalinas, arena blanca y un denso bosque de manglares que la rodea. Funciona como un refugio aislado de desconexión total originado naturalmente por la sedimentación del litoral del Darién.</t>
  </si>
  <si>
    <t>Vista del Nevado del Ruiz, Colombia.jpg</t>
  </si>
  <si>
    <t>Nevado del Ruiz. Ubicado en Manizales, Colombia.</t>
  </si>
  <si>
    <t>Vista desde el Obelisco de Colombia.jpg</t>
  </si>
  <si>
    <t>Vista natural desde el Obelisco de Colombia en puerto lopez, meta</t>
  </si>
  <si>
    <t>Vista desde la Sierra de Santa Marta (Colombia).jpg</t>
  </si>
  <si>
    <t>View from the Sierra de Santa Marta (Colombia)</t>
  </si>
  <si>
    <t>Vista finca la seiba la granja desde Ortega Tolima- junio15.jpg</t>
  </si>
  <si>
    <t>Mi tierra</t>
  </si>
  <si>
    <t>Vista general del complejo de páramo de Sumapaz.jpg</t>
  </si>
  <si>
    <t>Fotografía de paisaje a gran escala que documenta la inmensidad del Páramo de Sumapaz. Muestra la vegetación típica de matorrales y pajonales de alta montaña en primer plano, mientras un denso frente de nubes oscuras de tormenta cubre el valle andino al fondo.</t>
  </si>
  <si>
    <t>Vista hermosa San Cristóbal.jpg</t>
  </si>
  <si>
    <t>Bogotá my life</t>
  </si>
  <si>
    <t>Vista panoramica desde la universidad de la salle.jpg</t>
  </si>
  <si>
    <t>vista panoramica</t>
  </si>
  <si>
    <t>Vista panorámica de guataquí de potosí.jpg</t>
  </si>
  <si>
    <t>Vista ventral de Hyloscirtus palmeri.jpg</t>
  </si>
  <si>
    <t>Ventral view of Hyloscirtus palmeri. The translucent skin is visible, allowing for the *in vivo* observation of the arrangement of internal organs and peripheral vasculature.</t>
  </si>
  <si>
    <t>Vistas boyacenses.jpg</t>
  </si>
  <si>
    <t>Montañas y paisajes de Raquira, Boyacá</t>
  </si>
  <si>
    <t>5.537250, -73.616089</t>
  </si>
  <si>
    <t>Vistas desde la plaza.jpg</t>
  </si>
  <si>
    <t>Vistas desde la plaza principal de Villa de Leyva</t>
  </si>
  <si>
    <t>5.634014, -73.523697</t>
  </si>
  <si>
    <t>Vistazo a la Isla Gorgonilla.jpg</t>
  </si>
  <si>
    <t>Gorgonilla Island seen from "La Camaronera" beach on Gorgona Island.</t>
  </si>
  <si>
    <t>2.944734, -78.198383</t>
  </si>
  <si>
    <t>Vitoria regia (amazónica).jpg</t>
  </si>
  <si>
    <t>Victoria regia en el Jardín Botánico de Bogotá</t>
  </si>
  <si>
    <t>4.667814, -74.099953</t>
  </si>
  <si>
    <t>Viuda Negra.jpg</t>
  </si>
  <si>
    <t>Viuda Negra (Latrodectus), avistada en Palomar, Caucasia, Bajo Cauca Antioqueño</t>
  </si>
  <si>
    <t>Viudita blanca y negra Cañaverles, La Guajra.jpg</t>
  </si>
  <si>
    <t>Fluvicola pica, ave de la familia Tyrannidae asociada a cuerpos de agua. Tomada en la Reserva Forestal protectora Manantial de Cañaverales</t>
  </si>
  <si>
    <t>Viñedo en Colombia.jpg</t>
  </si>
  <si>
    <t>Cosecha de uvas en La unión, Valle del Cauca.</t>
  </si>
  <si>
    <t>Viñedos en La Unión, Valle del Cauca.jpg</t>
  </si>
  <si>
    <t>Agricultura en La Unión, Valle del Cauca.</t>
  </si>
  <si>
    <t>Vocalización territorial de Cistothorus platensis en hábitat boscoso.jpg</t>
  </si>
  <si>
    <t>Individual of Cistothorus platensis emitting vocalizations as part of territorial defense behavior.</t>
  </si>
  <si>
    <t>Vuelo esmeralda.jpg</t>
  </si>
  <si>
    <t>Emerald toucanet in flight</t>
  </si>
  <si>
    <t>Vuelo hacia el néctar de vida.jpg</t>
  </si>
  <si>
    <t>Un colibrí se aproxima a una flor con la precisión que caracteriza a uno de los polinizadores más importantes de los bosques tropicales.</t>
  </si>
  <si>
    <t>Vía Láctea sobre el horizonte de la Tatacoa.jpg</t>
  </si>
  <si>
    <t>Fotografía de exposición prolongada que resalta los colores azules y la acumulación de estrellas de la Vía Láctea. Muestra las condiciones óptimas para la observación astronómica en esta zona protegida del Huila.</t>
  </si>
  <si>
    <t>Wajira Beaches.jpg</t>
  </si>
  <si>
    <t>Guajira Beach</t>
  </si>
  <si>
    <t>Walking toward paradise in Palomino.jpg</t>
  </si>
  <si>
    <t>Walking toward paradise in Palomino</t>
  </si>
  <si>
    <t>Wasp nest in Plinio Purpurata.jpg</t>
  </si>
  <si>
    <t>A wasp colony had built a nest in a leaf of an Alpinia purpurata (red ginger) plant in my backyard.</t>
  </si>
  <si>
    <t>Waterlily or lotus.jpg</t>
  </si>
  <si>
    <t>Wax Palms in the Cocora Valley, 2025.jpg</t>
  </si>
  <si>
    <t>high-altitude Andean cloud forest in the Cocora Valley, where endangered wax palms thrive amid constant mountain moisture.</t>
  </si>
  <si>
    <t>Wearing Colombia Colors.jpg</t>
  </si>
  <si>
    <t>Close-up portrait of an iconic adult scarlet macaw (Ara macao), highlighting the intricate colombia colors ressembled feather textures.</t>
  </si>
  <si>
    <t>Weathered sandstone boulders on an eroded hillside near Villa de Leyva, 2026.jpg</t>
  </si>
  <si>
    <t>A rocky, semi-arid upland landscape in the Boyacá department, showing prominent rounded sandstone boulders formed by differential weathering on a degraded slope with sparse xerophytic vegetation.</t>
  </si>
  <si>
    <t>Weinmannia mariquitae, Cunoniaceae, flowering branch 01.jpg</t>
  </si>
  <si>
    <t>Flowering branch of a high Andean tree of Weinmannia mariquitae, Cunoniaceae</t>
  </si>
  <si>
    <t>4.169424, -74.168540</t>
  </si>
  <si>
    <t>Weinmannia mariquitae, Cunoniaceae, flowering branch 02.jpg</t>
  </si>
  <si>
    <t>Weinmannia mariquitae, Cunoniaceae, flowering branch 03.jpg</t>
  </si>
  <si>
    <t>White-tailed deer (Odocoileus virginianus goudotii) male Chingaza 2.jpg</t>
  </si>
  <si>
    <t>White-tailed deer ( Odocoileus virginianus goudotii ) male, Chingaza National Park, Cundinamarca, Colombia</t>
  </si>
  <si>
    <t>4.630000, -73.720000</t>
  </si>
  <si>
    <t>WLE2026 CO - Acantilado del bosque de niebla, Chicaque (84).jpg</t>
  </si>
  <si>
    <t>Cliff covered with cloud forest at Parque Natural Chicaque, Cundinamarca, Colombia. Epiphytes and mosses thrive in the perpetually humid environment.</t>
  </si>
  <si>
    <t>WLE2026 CO - Acantilado entre niebla, PNN Chingaza (46).jpg</t>
  </si>
  <si>
    <t>Rocky cliff wrapped in mist in the high-Andean forest of Chingaza National Natural Park, Cundinamarca, Colombia.</t>
  </si>
  <si>
    <t>WLE2026 CO - Altiplano cundiboyacense cerca de la Laguna de Guatavita (5).jpg</t>
  </si>
  <si>
    <t>View of the Cundiboyacense altiplano near the Lake Guatavita, a sacred site of the Muisca culture and origin of the El Dorado legend. The interpretive sign quotes Bachué, the Muisca deity of creation. Guatavita, Cundinamarca, Colombia.</t>
  </si>
  <si>
    <t>WLE2026 CO - Bosque alto andino entre nubes, PNN Chingaza (44).jpg</t>
  </si>
  <si>
    <t>High-Andean forest emerging from the fog at Chingaza National Natural Park, a key ecosystem for the conservation of the spectacled bear (Tremarctos ornatus) and the white-tailed deer of the páramo. Cundinamarca, Colombia.</t>
  </si>
  <si>
    <t>WLE2026 CO - Bosque de niebla, Parque Natural Chicaque (81).jpg</t>
  </si>
  <si>
    <t>Cloud forest at Parque Natural Chicaque, a private nature reserve registered with Colombia's National Protected Areas System (SINAP). Constant fog sustains one of Cundinamarca's most biodiverse ecosystems, Colombia.</t>
  </si>
  <si>
    <t>WLE2026 CO - Bosque de niebla cerca del Salto del Tequendama (56).jpg</t>
  </si>
  <si>
    <t>Cloud forest in the Protective-Productive Forest Reserve of the Upper Bogotá River Basin, near the Tequendama Falls, Soacha, Cundinamarca, Colombia.</t>
  </si>
  <si>
    <t>WLE2026 CO - Camino entre la niebla del PNN Chingaza (47).jpg</t>
  </si>
  <si>
    <t>Unpaved road winding through the dense fog of the páramo at Chingaza National Natural Park, Cundinamarca, Colombia.</t>
  </si>
  <si>
    <t>WLE2026 CO - Capilla en la niebla, PNN Chingaza (48).jpg</t>
  </si>
  <si>
    <t>Small stone structure shrouded in páramo fog at Chingaza National Natural Park, beside wind-sculpted trees. Cundinamarca, Colombia.</t>
  </si>
  <si>
    <t>WLE2026 CO - Cañón del Chicamocha desde el teleférico (27).jpg</t>
  </si>
  <si>
    <t>View of the Chicamocha Canyon from the Panachi cable car, showing the Chicamocha River winding between slopes. Santander, Colombia.</t>
  </si>
  <si>
    <t>WLE2026 CO - Cordillera entre la niebla, Salto del Tequendama (57).jpg</t>
  </si>
  <si>
    <t>Mountain range covered with cloud forest near the Tequendama Falls, in the Protective Forest Reserve of the Upper Bogotá River Basin, Soacha, Cundinamarca, Colombia.</t>
  </si>
  <si>
    <t>WLE2026 CO - Cruz de la cumbre del Cerro de Monserrate (4).jpg</t>
  </si>
  <si>
    <t>The monumental Cross at the summit of Cerro de Monserrate, part of the Eastern Hills of Bogotá Protective Forest Reserve. The reserve preserves the high-Andean forests that regulate the water basins of Colombia's capital. Bogotá, Colombia.</t>
  </si>
  <si>
    <t>WLE2026 CO - Detalle de inflorescencia de Puya, Páramo de Guerrero (90).jpg</t>
  </si>
  <si>
    <t>Detail of a Puya (Bromeliaceae) inflorescence next to a frailejón rosette in the tussock grassland of Páramo de Guerrero, Tausa, Cundinamarca, Colombia.</t>
  </si>
  <si>
    <t>WLE2026 CO - Ecosistema xerofítico del Cañón del Chicamocha (28).jpg</t>
  </si>
  <si>
    <t>Xerophytic ecosystem of the Chicamocha Canyon with cardonal cactus vegetation in the foreground and the Chicamocha River in the background. Regional Integrated Management District declared by the CAS, Santander, Colombia.</t>
  </si>
  <si>
    <t>WLE2026 CO - Embalse de Chuza, PNN Chingaza (43).jpg</t>
  </si>
  <si>
    <t>View of the Chuza Reservoir from the páramo at Chingaza National Natural Park, with Ericaceae shrubs in the foreground. The reservoir supplies water to the city of Bogotá. Cundinamarca, Colombia.</t>
  </si>
  <si>
    <t>WLE2026 CO - Flor de Bejaria (familia Ericaceae), PNN Chingaza (45).jpg</t>
  </si>
  <si>
    <t>Macro photograph of a Bejaria (Ericaceae) flower bud, a shrub characteristic of the páramo and high-Andean forest. Chingaza National Natural Park, Cundinamarca, Colombia.</t>
  </si>
  <si>
    <t>WLE2026 CO - Floración masiva de Espeletia grandiflora (92).jpg</t>
  </si>
  <si>
    <t>Mass blooming of frailejones (Espeletia grandiflora) at Páramo de Guerrero, Tausa, Cundinamarca, Colombia. The yellow flowers attract high-Andean pollinators such as hummingbirds and bumblebees.</t>
  </si>
  <si>
    <t>White-tailed deer (Odocoileus virginianus) buck-goudotii.jpg</t>
  </si>
  <si>
    <t>White-tailed deer (Odocoileus virginianus) buck-goudotii</t>
  </si>
  <si>
    <t>Whooping Motmot in Tayrona National Park.jpg</t>
  </si>
  <si>
    <t>Red-eyed bird with a blue head and orange belly sits on a branch.</t>
  </si>
  <si>
    <t>Wild Montbretia (Crocosmia), near the way, cloud forest, Minca, 2025.jpg</t>
  </si>
  <si>
    <t>Originally native to Africa, this exotic, tuberous perennial thrives in the cool, moisture-rich mountain climates of northern Colombia.</t>
  </si>
  <si>
    <t>Wild orchid (Epidendrum) blooming on a rocky slope near Villa de Leyva, 2026.jpg</t>
  </si>
  <si>
    <t>A terrestrial Epidendrum orchid showcasing a cluster of vibrant pinkish-purple flowers, thriving under harsh solar radiation on an arid, rocky sandstone hillside in the Boyacá department.</t>
  </si>
  <si>
    <t>WLE2026 CO - Frailejones (Espeletia grandiflora) en flor, Páramo de Guerrero (88).jpg</t>
  </si>
  <si>
    <t>Frailejones (Espeletia grandiflora) in full bloom at Páramo de Guerrero, Tausa, Cundinamarca, Colombia. This species, endemic to the Colombian Andes' páramos, is one of the most recognizable symbols of the páramo ecosystem.</t>
  </si>
  <si>
    <t>WLE2026 CO - Frailejón individual, Páramo de Guerrero (99).jpg</t>
  </si>
  <si>
    <t>Individual frailejón (Espeletia sp.) at Páramo de Guerrero, Tausa, Cundinamarca, Colombia. The pubescent leaves and thick stem are adaptations to extreme conditions.</t>
  </si>
  <si>
    <t>WLE2026 CO - Inflorescencia de Puya en el Páramo de Guerrero (89).jpg</t>
  </si>
  <si>
    <t>Inflorescence of a Puya (Bromeliaceae) emerging among the tussock grasses of Páramo de Guerrero, Tausa, Cundinamarca, Colombia.</t>
  </si>
  <si>
    <t>WLE2026 CO - Inflorescencias secas de Espeletia, Páramo de Guerrero (94).jpg</t>
  </si>
  <si>
    <t>Senescent flowering stalks of frailejón (Espeletia sp.) over the tussock grassland of Páramo de Guerrero, Tausa, Cundinamarca, Colombia. After flowering, the stems remain standing for years, becoming part of the páramo landscape.</t>
  </si>
  <si>
    <t>WLE2026 CO - Mirador del Páramo de Guerrero (98).jpg</t>
  </si>
  <si>
    <t>View from a lookout in Páramo de Guerrero toward the Colombian Eastern Cordillera, with frailejones and tussock grasses in the foreground, Tausa, Cundinamarca, Colombia.</t>
  </si>
  <si>
    <t>WLE2026 CO - Mirador en el Parque Natural Chicaque (83).jpg</t>
  </si>
  <si>
    <t>Visitors on a rocky platform watching the sea of clouds from Parque Natural Chicaque, Cundinamarca, Colombia.</t>
  </si>
  <si>
    <t>WLE2026 CO - Palmas de cera al atardecer, Valle del Cocora (35).jpg</t>
  </si>
  <si>
    <t>Quindío wax palms (Ceroxylon quindiuense), Colombia's national tree, silhouetted at dusk in the Cocora Valley, Quindío. This area is part of the buffer zone of Los Nevados National Natural Park, Colombia.</t>
  </si>
  <si>
    <t>WLE2026 CO - Páramo de Guerrero, Tausa (86).jpg</t>
  </si>
  <si>
    <t>Panoramic view of Páramo de Guerrero, a páramo ecosystem on the Cundiboyacense high plateau in Tausa, Cundinamarca, Colombia. This high-altitude wetland is dominated by frailejones (Espeletia spp.) and tussock grasses, and is critical for water regulation of the upper Bogotá River basin.</t>
  </si>
  <si>
    <t>WLE2026 CO - Páramo de Guerrero bajo nubes (95).jpg</t>
  </si>
  <si>
    <t>Cloudy landscape of Páramo de Guerrero, with frailejones and high-Andean shrubs, Tausa, Cundinamarca, Colombia.</t>
  </si>
  <si>
    <t>WLE2026 CO - Páramo de Guerrero con cordillera al fondo (97).jpg</t>
  </si>
  <si>
    <t>View of Páramo de Guerrero with frailejones in the foreground and the Eastern Cordillera in the background, Tausa, Cundinamarca, Colombia.</t>
  </si>
  <si>
    <t>WLE2026 CO - Páramo del PNN Chingaza con embalse al fondo (41).jpg</t>
  </si>
  <si>
    <t>Panoramic view of the páramo at Chingaza National Natural Park, with a reservoir in the background (likely the Chuza Reservoir, part of Bogotá's water supply system). In the foreground, characteristic páramo grasses. Cundinamarca, Colombia.</t>
  </si>
  <si>
    <t>WLE2026 CO - Roseta de frailejón en floración (96).jpg</t>
  </si>
  <si>
    <t>Close-up detail of a frailejón (Espeletia sp.) rosette showing the silvery, pubescent leaves characteristic of the páramo ecosystem. Páramo de Guerrero, Tausa, Cundinamarca, Colombia.</t>
  </si>
  <si>
    <t>WLE2026 CO - Senderismo en el Páramo de Guerrero (87).jpg</t>
  </si>
  <si>
    <t>Hikers on a trail among frailejones (Espeletia grandiflora) and tussock grasses in Páramo de Guerrero, Tausa, Cundinamarca, Colombia.</t>
  </si>
  <si>
    <t>WLE2026 CO - Senderos Suasie en el PNN Chingaza (42).jpg</t>
  </si>
  <si>
    <t>Trail signs for Suasie Largo and Suasie Corto overlooking a reservoir and the Eastern Cordillera, at Chingaza National Natural Park, Cundinamarca, Colombia.</t>
  </si>
  <si>
    <t>WLE2026 CO - Valle de frailejones, Páramo de Guerrero (93).jpg</t>
  </si>
  <si>
    <t>Valley covered with frailejones (Espeletia spp.) overlooking the Eastern Cordillera at Páramo de Guerrero, Tausa, Cundinamarca, Colombia.</t>
  </si>
  <si>
    <t>WLE2026 CO - Vista panorámica del Páramo de Guerrero (91).jpg</t>
  </si>
  <si>
    <t>Panoramic view of Páramo de Guerrero with frailejones (Espeletia spp.) in the foreground and the Eastern Cordillera in the background, Tausa, Cundinamarca, Colombia.</t>
  </si>
  <si>
    <t>Woolly Highland Perennial, near Minca cloudforest, 2025.jpg</t>
  </si>
  <si>
    <t>Thriving in the humid mountain air above Minca, the silvery, wool-covered stems of this native composite plant (Asteraceae) help it retain moisture and endure cooler alpine temperatures.</t>
  </si>
  <si>
    <t>Xyleus discoideus - Barrancabermeja, Santander, Colombia - 21 Jul 2025 - Diferoch.jpg</t>
  </si>
  <si>
    <t>Adult of Xyleus discoideus observed in Barrancabermeja, Santander, Colombia.</t>
  </si>
  <si>
    <t>7.085060, -73.863815</t>
  </si>
  <si>
    <t>Yagé1.jpg</t>
  </si>
  <si>
    <t>Planta entógena</t>
  </si>
  <si>
    <t>Yagé mayo de 2026.jpg</t>
  </si>
  <si>
    <t>Yarumo.jpg</t>
  </si>
  <si>
    <t>Yarumo en el Jardín Botánico de Bogotá</t>
  </si>
  <si>
    <t>Yarumo rojo.jpg</t>
  </si>
  <si>
    <t>Cecropia incignis - Familia Urticaceae - Honduras, Costa Rica, Panamá, Colombia, Ecuador</t>
  </si>
  <si>
    <t>Yellow spots.jpg</t>
  </si>
  <si>
    <t>Golden rays</t>
  </si>
  <si>
    <t>4.805028, -75.692000</t>
  </si>
  <si>
    <t>Yuca Brava Mirañas PNN Cahuinari.jpg</t>
  </si>
  <si>
    <t>Brave Yuca _ Cahuinari National Natural Park</t>
  </si>
  <si>
    <t>Zambullidor pico grueso (Podilymbus podiceps) en el Jardín Botánico de Bogotá.jpg</t>
  </si>
  <si>
    <t>Podilymbus podiceps in Bogotá Botanical Garden</t>
  </si>
  <si>
    <t>Zanate mexicano.png</t>
  </si>
  <si>
    <t>conocido por su plumaje negro iridiscente y cola larga.</t>
  </si>
  <si>
    <t>Zapatico.jpg</t>
  </si>
  <si>
    <t>Zapatico, Zapatilla de dama, Phragmipedium, Paphiopedilum, Peña Negra, Cachipay, Cundinamarca, Colombia, 2025.</t>
  </si>
  <si>
    <t>Zebrina (Tradescantia zebrina).jpg</t>
  </si>
  <si>
    <t>Zebrina (Tradescantia zebrina). Also known as: Zebrina pendula, Panameña, Amor de hombre, Pamplinas.</t>
  </si>
  <si>
    <t>Zombie fungus Cordyceps.jpg</t>
  </si>
  <si>
    <t>The Cordyceps genus takes the control of its host, to choose an appropriate location for it to die and for the fungus to disperse his sporas.</t>
  </si>
  <si>
    <t>4.708597, -75.648339</t>
  </si>
  <si>
    <t>Zona arborizada Jardín Botánico de Bogotá.jpg</t>
  </si>
  <si>
    <t>Wooded area, Botanical Garden of Bogotá.</t>
  </si>
  <si>
    <t>Zona boscosa con árboles de porte alto.jpg</t>
  </si>
  <si>
    <t>Wooded area with tall trees</t>
  </si>
  <si>
    <t>Zonotrichia capensis costaricensis - Bogotá D. C., Colombia - 23 Aug 2025 - Diferoch - 1.jpg</t>
  </si>
  <si>
    <t>Adult of Zonotrichia capensis costaricensis observed in the campus of Universidad de los Andes in Bogotá, D. C., Colombia.</t>
  </si>
  <si>
    <t>4.600725, -74.066002</t>
  </si>
  <si>
    <t>Zonotrichia capensis costaricensis - Bogotá D. C., Colombia - 23 Aug 2025 - Diferoch - 2.jpg</t>
  </si>
  <si>
    <t>4.600730, -74.065995</t>
  </si>
  <si>
    <t>Zoológico de Pereira 2.jpg</t>
  </si>
  <si>
    <t>Un animales exótico del zoológico</t>
  </si>
  <si>
    <t>Zoológico de pereira.jpg</t>
  </si>
  <si>
    <t>Uno de los primeros elefantes que refugio el zoológico</t>
  </si>
  <si>
    <t>Zoológico de santa cruz.jpg</t>
  </si>
  <si>
    <t>Una llama,uno de los tantos animales del zoológico de santa cruz</t>
  </si>
  <si>
    <t>Zorzal piquinegro.jpg</t>
  </si>
  <si>
    <t>Foto de un Zorzal piquinegro (Black-billed Thrush/Turdus ignobilis)</t>
  </si>
  <si>
    <t>Áfidos alimentándose de una vaina de retamo espinoso.jpg</t>
  </si>
  <si>
    <t>Varios individuos de áfidos sobre una vaina de retamo espinoso.</t>
  </si>
  <si>
    <t>4.870820, -74.086119</t>
  </si>
  <si>
    <t>Águila Real de Montaña (Spizaetus isidori).jpg</t>
  </si>
  <si>
    <t>Black-and-chestnut Eagle (Spizaetus isidori) perches on a tree branch</t>
  </si>
  <si>
    <t>Árbol bifurcado.jpg</t>
  </si>
  <si>
    <t>Forked tree.</t>
  </si>
  <si>
    <t>Árbol Borrachero (Solanaceae).jpg</t>
  </si>
  <si>
    <t>Borrachero Tree (Solanaceae)</t>
  </si>
  <si>
    <t>Árbol Cedro cebolla (Meliaceae).jpg</t>
  </si>
  <si>
    <t>Árbol Cedro cebolla (Meliaceae)</t>
  </si>
  <si>
    <t>Árbol Cedro de cebolla.jpg</t>
  </si>
  <si>
    <t>Árbol Corono (Salicaceae).jpg</t>
  </si>
  <si>
    <t>Corono tree (Salicaceae)</t>
  </si>
  <si>
    <t>Árbol Corono (Salicaceae)1.jpg</t>
  </si>
  <si>
    <t>Árbol Cucharo (Primulaceae).jpg</t>
  </si>
  <si>
    <t>Cucharo Tree (Primulaceae)</t>
  </si>
  <si>
    <t>Árbol Guayacán de Manizales (Lafoensia acuminata).jpg</t>
  </si>
  <si>
    <t>Guayacán tree of Manizales (Lafoensia acuminata)</t>
  </si>
  <si>
    <t>Árbol Guayusa - Ilex guayusa - Aquifoliaceae.jpg</t>
  </si>
  <si>
    <t>Árbol Guayusa - Ilex guayusa - Aquifoliaceae</t>
  </si>
  <si>
    <t>Árbol Hueso (Salicaceae).jpg</t>
  </si>
  <si>
    <t>Árbol con mono.jpg</t>
  </si>
  <si>
    <t>Mono trepando rama de árbol en Cartagena, Colombia, 2023</t>
  </si>
  <si>
    <t>Árbol de Cerezo (Rosaceae).jpg</t>
  </si>
  <si>
    <t>Árbol de Corono (Xylosma spiculifera).jpg</t>
  </si>
  <si>
    <t>Corona tree (Xylosma spiculifera)</t>
  </si>
  <si>
    <t>Árbol de alto porte.jpg</t>
  </si>
  <si>
    <t>Tall tree</t>
  </si>
  <si>
    <t>Árbol de araza - Eugenia stipitata.jpg</t>
  </si>
  <si>
    <t>Eugenia stipitata.</t>
  </si>
  <si>
    <t>Árbol de flores rosadas.jpg</t>
  </si>
  <si>
    <t>Árbol con flores de verano junto a andén público, 2024</t>
  </si>
  <si>
    <t>Árbol de guayabo (Psidium guajava).jpg</t>
  </si>
  <si>
    <t>Árbol de la vida (Cupressaceae).jpg</t>
  </si>
  <si>
    <t>Tree of life (Cupressaceae)</t>
  </si>
  <si>
    <t>Árbol de múltiples troncos.jpg</t>
  </si>
  <si>
    <t>Multi-trunked tree.</t>
  </si>
  <si>
    <t>Árbol de porte alto.jpg</t>
  </si>
  <si>
    <t>Árbol en apego.jpg</t>
  </si>
  <si>
    <t>The image shows a wooded hillside with a central tree featuring distinctive yellowish foliage.</t>
  </si>
  <si>
    <t>Árbol Melastomataceae de flores blancas.jpg</t>
  </si>
  <si>
    <t>White flower Melastomataceae tree.</t>
  </si>
  <si>
    <t>Árbol Pereskia bleo.jpg</t>
  </si>
  <si>
    <t>Pereskia bleo. Genero Pereskia bleo - Familia Cactaceae.</t>
  </si>
  <si>
    <t>Árbol Rabo de gallo (Lauraceae).jpg</t>
  </si>
  <si>
    <t>Árbol llamado Cariseco (Sapindaceae).jpg</t>
  </si>
  <si>
    <t>Tree called Cariseco from the Sapindaceae family.</t>
  </si>
  <si>
    <t>Árbol solitario en las colinas de la zona andina alta.jpg</t>
  </si>
  <si>
    <t>Composición de paisaje minimalista que muestra la transición biótica andina. Un árbol destaca con flores amarillas en la cresta de una colina suave de tonos ocres bajo un cielo plano y nublado.</t>
  </si>
  <si>
    <t>Árbol tinto (Solanaceae).jpg</t>
  </si>
  <si>
    <t>Ñeque comiendo Mango.jpg</t>
  </si>
  <si>
    <t>Dasyprocta punctata cominedo mango en Tena Cundinamarca</t>
  </si>
  <si>
    <t>4.654778, -74.391238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</si>
</sst>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4">
    <font>
      <sz val="11.0"/>
      <color theme="1"/>
      <name val="Calibri"/>
      <scheme val="minor"/>
    </font>
    <font>
      <color theme="1"/>
      <name val="Calibri"/>
      <scheme val="minor"/>
    </font>
    <font>
      <color theme="1"/>
      <name val="Roboto"/>
    </font>
    <font>
      <b/>
      <sz val="11.0"/>
      <color rgb="FFFFFFFF"/>
      <name val="Calibri"/>
    </font>
    <font>
      <b/>
      <sz val="16.0"/>
      <color rgb="FFFFFFFF"/>
      <name val="Montserrat"/>
    </font>
    <font>
      <u/>
      <color rgb="FF0000FF"/>
    </font>
    <font>
      <b/>
      <color theme="1"/>
      <name val="Calibri"/>
      <scheme val="minor"/>
    </font>
    <font>
      <u/>
      <sz val="11.0"/>
      <color rgb="FF0F172A"/>
      <name val="Calibri"/>
    </font>
    <font>
      <sz val="11.0"/>
      <color rgb="FF0F172A"/>
      <name val="Calibri"/>
    </font>
    <font>
      <b/>
      <color theme="1"/>
      <name val="Roboto"/>
    </font>
    <font>
      <u/>
      <sz val="11.0"/>
      <color rgb="FF0563C1"/>
      <name val="Calibri"/>
    </font>
    <font>
      <u/>
      <sz val="11.0"/>
      <color rgb="FF0F172A"/>
      <name val="Calibri"/>
    </font>
    <font>
      <u/>
      <sz val="11.0"/>
      <color rgb="FF0563C1"/>
      <name val="Calibri"/>
    </font>
    <font>
      <u/>
      <color rgb="FF0000FF"/>
      <name val="Roboto"/>
    </font>
  </fonts>
  <fills count="8">
    <fill>
      <patternFill patternType="none"/>
    </fill>
    <fill>
      <patternFill patternType="lightGray"/>
    </fill>
    <fill>
      <patternFill patternType="solid">
        <fgColor rgb="FF1E874B"/>
        <bgColor rgb="FF1E874B"/>
      </patternFill>
    </fill>
    <fill>
      <patternFill patternType="solid">
        <fgColor rgb="FF3B6939"/>
        <bgColor rgb="FF3B6939"/>
      </patternFill>
    </fill>
    <fill>
      <patternFill patternType="solid">
        <fgColor rgb="FFF6FAF1"/>
        <bgColor rgb="FFF6FAF1"/>
      </patternFill>
    </fill>
    <fill>
      <patternFill patternType="solid">
        <fgColor rgb="FFF8FAFC"/>
        <bgColor rgb="FFF8FAFC"/>
      </patternFill>
    </fill>
    <fill>
      <patternFill patternType="solid">
        <fgColor rgb="FFF7FAF0"/>
        <bgColor rgb="FFF7FAF0"/>
      </patternFill>
    </fill>
    <fill>
      <patternFill patternType="solid">
        <fgColor rgb="FFFFFFFF"/>
        <bgColor rgb="FFFFFFFF"/>
      </patternFill>
    </fill>
  </fills>
  <borders count="3">
    <border/>
    <border>
      <left style="thin">
        <color rgb="FFE2E8F0"/>
      </left>
      <right style="thin">
        <color rgb="FFE2E8F0"/>
      </right>
      <top style="thin">
        <color rgb="FFE2E8F0"/>
      </top>
      <bottom style="thin">
        <color rgb="FFE2E8F0"/>
      </bottom>
    </border>
    <border>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1" fillId="2" fontId="3" numFmtId="0" xfId="0" applyAlignment="1" applyBorder="1" applyFill="1" applyFont="1">
      <alignment horizontal="center" vertical="center"/>
    </xf>
    <xf borderId="0" fillId="3" fontId="4" numFmtId="0" xfId="0" applyAlignment="1" applyFill="1" applyFont="1">
      <alignment horizontal="center" vertical="center"/>
    </xf>
    <xf borderId="1" fillId="2" fontId="3" numFmtId="0" xfId="0" applyAlignment="1" applyBorder="1" applyFill="1" applyFont="1">
      <alignment horizontal="center" readingOrder="0" vertical="center"/>
    </xf>
    <xf borderId="0" fillId="0" fontId="5" numFmtId="0" xfId="0" applyFont="1"/>
    <xf borderId="2" fillId="4" fontId="6" numFmtId="0" xfId="0" applyAlignment="1" applyBorder="1" applyFill="1" applyFont="1">
      <alignment readingOrder="0"/>
    </xf>
    <xf borderId="2" fillId="4" fontId="6" numFmtId="0" xfId="0" applyBorder="1" applyFill="1" applyFont="1"/>
    <xf borderId="0" fillId="0" fontId="1" numFmtId="0" xfId="0" applyFont="1"/>
    <xf borderId="1" fillId="5" fontId="7" numFmtId="0" xfId="0" applyAlignment="1" applyBorder="1" applyFill="1" applyFont="1">
      <alignment horizontal="center" vertical="center"/>
    </xf>
    <xf borderId="1" fillId="5" fontId="8" numFmtId="0" xfId="0" applyAlignment="1" applyBorder="1" applyFill="1" applyFont="1">
      <alignment horizontal="left" shrinkToFit="0" vertical="center" wrapText="1"/>
    </xf>
    <xf borderId="1" fillId="5" fontId="8" numFmtId="164" xfId="0" applyAlignment="1" applyBorder="1" applyFill="1" applyFont="1" applyNumberFormat="1">
      <alignment horizontal="center" readingOrder="0" vertical="center"/>
    </xf>
    <xf borderId="2" fillId="6" fontId="9" numFmtId="0" xfId="0" applyBorder="1" applyFill="1" applyFont="1"/>
    <xf borderId="1" fillId="5" fontId="8" numFmtId="0" xfId="0" applyAlignment="1" applyBorder="1" applyFill="1" applyFont="1">
      <alignment horizontal="center" vertical="center"/>
    </xf>
    <xf borderId="1" fillId="5" fontId="10" numFmtId="0" xfId="0" applyAlignment="1" applyBorder="1" applyFill="1" applyFont="1">
      <alignment horizontal="center" vertical="center"/>
    </xf>
    <xf borderId="1" fillId="7" fontId="11" numFmtId="0" xfId="0" applyAlignment="1" applyBorder="1" applyFill="1" applyFont="1">
      <alignment horizontal="center" vertical="center"/>
    </xf>
    <xf borderId="1" fillId="7" fontId="8" numFmtId="0" xfId="0" applyAlignment="1" applyBorder="1" applyFill="1" applyFont="1">
      <alignment horizontal="left" shrinkToFit="0" vertical="center" wrapText="1"/>
    </xf>
    <xf borderId="1" fillId="7" fontId="8" numFmtId="164" xfId="0" applyAlignment="1" applyBorder="1" applyFill="1" applyFont="1" applyNumberFormat="1">
      <alignment horizontal="center" readingOrder="0" vertical="center"/>
    </xf>
    <xf borderId="1" fillId="7" fontId="8" numFmtId="0" xfId="0" applyAlignment="1" applyBorder="1" applyFill="1" applyFont="1">
      <alignment horizontal="center" vertical="center"/>
    </xf>
    <xf borderId="1" fillId="7" fontId="12" numFmtId="0" xfId="0" applyAlignment="1" applyBorder="1" applyFill="1" applyFont="1">
      <alignment horizontal="center" vertical="center"/>
    </xf>
    <xf borderId="0" fillId="0" fontId="13"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upload.wikimedia.org/wikipedia/commons/1/1f/Utica%2C_Cundinamarca.jpg" TargetMode="External"/><Relationship Id="rId5252" Type="http://schemas.openxmlformats.org/officeDocument/2006/relationships/hyperlink" Target="https://commons.wikimedia.org/wiki/File:Utica,_Cundinamarca.jpg" TargetMode="External"/><Relationship Id="rId5250" Type="http://schemas.openxmlformats.org/officeDocument/2006/relationships/hyperlink" Target="https://commons.wikimedia.org/wiki/File:Utica,_Cundinamarca_-_Julian_Barrera.jpg" TargetMode="External"/><Relationship Id="rId5255" Type="http://schemas.openxmlformats.org/officeDocument/2006/relationships/hyperlink" Target="https://commons.wikimedia.org/wiki/File:U%C3%B1a_de_gato.jpg" TargetMode="External"/><Relationship Id="rId5256" Type="http://schemas.openxmlformats.org/officeDocument/2006/relationships/hyperlink" Target="https://upload.wikimedia.org/wikipedia/commons/2/2e/Valle_Del_Cauca.jpg" TargetMode="External"/><Relationship Id="rId5253" Type="http://schemas.openxmlformats.org/officeDocument/2006/relationships/hyperlink" Target="https://maps.google.com/?q=4.851189,-74.347442" TargetMode="External"/><Relationship Id="rId5254" Type="http://schemas.openxmlformats.org/officeDocument/2006/relationships/hyperlink" Target="https://upload.wikimedia.org/wikipedia/commons/f/f8/U%C3%B1a_de_gato.jpg" TargetMode="External"/><Relationship Id="rId5259" Type="http://schemas.openxmlformats.org/officeDocument/2006/relationships/hyperlink" Target="https://commons.wikimedia.org/wiki/File:Valle_de_cocora(salento-Quindio).jpg" TargetMode="External"/><Relationship Id="rId5257" Type="http://schemas.openxmlformats.org/officeDocument/2006/relationships/hyperlink" Target="https://commons.wikimedia.org/wiki/File:Valle_Del_Cauca.jpg" TargetMode="External"/><Relationship Id="rId5258" Type="http://schemas.openxmlformats.org/officeDocument/2006/relationships/hyperlink" Target="https://upload.wikimedia.org/wikipedia/commons/e/e2/Valle_de_cocora%28salento-Quindio%29.jpg" TargetMode="External"/><Relationship Id="rId5240" Type="http://schemas.openxmlformats.org/officeDocument/2006/relationships/hyperlink" Target="https://upload.wikimedia.org/wikipedia/commons/3/30/Unknown_orchids.jpg" TargetMode="External"/><Relationship Id="rId5241" Type="http://schemas.openxmlformats.org/officeDocument/2006/relationships/hyperlink" Target="https://commons.wikimedia.org/wiki/File:Unknown_orchids.jpg" TargetMode="External"/><Relationship Id="rId5244" Type="http://schemas.openxmlformats.org/officeDocument/2006/relationships/hyperlink" Target="https://commons.wikimedia.org/wiki/File:Urosticte_benjamini.jpg" TargetMode="External"/><Relationship Id="rId5245" Type="http://schemas.openxmlformats.org/officeDocument/2006/relationships/hyperlink" Target="https://upload.wikimedia.org/wikipedia/commons/9/90/Urraca_Azul.jpg" TargetMode="External"/><Relationship Id="rId5242" Type="http://schemas.openxmlformats.org/officeDocument/2006/relationships/hyperlink" Target="https://maps.google.com/?q=5.826000,-76.082000" TargetMode="External"/><Relationship Id="rId5243" Type="http://schemas.openxmlformats.org/officeDocument/2006/relationships/hyperlink" Target="https://upload.wikimedia.org/wikipedia/commons/b/bd/Urosticte_benjamini.jpg" TargetMode="External"/><Relationship Id="rId5248" Type="http://schemas.openxmlformats.org/officeDocument/2006/relationships/hyperlink" Target="https://commons.wikimedia.org/wiki/File:Urraca_de_collar_de_reojo_-_PNN_Chingaza.jpg" TargetMode="External"/><Relationship Id="rId5249" Type="http://schemas.openxmlformats.org/officeDocument/2006/relationships/hyperlink" Target="https://upload.wikimedia.org/wikipedia/commons/a/a0/Utica%2C_Cundinamarca_-_Julian_Barrera.jpg" TargetMode="External"/><Relationship Id="rId5246" Type="http://schemas.openxmlformats.org/officeDocument/2006/relationships/hyperlink" Target="https://commons.wikimedia.org/wiki/File:Urraca_Azul.jpg" TargetMode="External"/><Relationship Id="rId5247" Type="http://schemas.openxmlformats.org/officeDocument/2006/relationships/hyperlink" Target="https://upload.wikimedia.org/wikipedia/commons/3/32/Urraca_de_collar_de_reojo_-_PNN_Chingaza.jpg" TargetMode="External"/><Relationship Id="rId5270" Type="http://schemas.openxmlformats.org/officeDocument/2006/relationships/hyperlink" Target="https://commons.wikimedia.org/wiki/File:Valle_del_Cocora_(84143).jpg" TargetMode="External"/><Relationship Id="rId5273" Type="http://schemas.openxmlformats.org/officeDocument/2006/relationships/hyperlink" Target="https://commons.wikimedia.org/wiki/File:Valle_del_Cocora_junio_2025_03.jpg" TargetMode="External"/><Relationship Id="rId5274" Type="http://schemas.openxmlformats.org/officeDocument/2006/relationships/hyperlink" Target="https://maps.google.com/?q=4.666700,-75.500000" TargetMode="External"/><Relationship Id="rId5271" Type="http://schemas.openxmlformats.org/officeDocument/2006/relationships/hyperlink" Target="https://maps.google.com/?q=4.666700,-75.500000" TargetMode="External"/><Relationship Id="rId5272" Type="http://schemas.openxmlformats.org/officeDocument/2006/relationships/hyperlink" Target="https://upload.wikimedia.org/wikipedia/commons/c/c3/Valle_del_Cocora_junio_2025_03.jpg" TargetMode="External"/><Relationship Id="rId5277" Type="http://schemas.openxmlformats.org/officeDocument/2006/relationships/hyperlink" Target="https://maps.google.com/?q=4.666700,-75.500000" TargetMode="External"/><Relationship Id="rId5278" Type="http://schemas.openxmlformats.org/officeDocument/2006/relationships/hyperlink" Target="https://upload.wikimedia.org/wikipedia/commons/a/af/Valle_del_Cocora_junio_2025_08.jpg" TargetMode="External"/><Relationship Id="rId5275" Type="http://schemas.openxmlformats.org/officeDocument/2006/relationships/hyperlink" Target="https://upload.wikimedia.org/wikipedia/commons/4/48/Valle_del_Cocora_junio_2025_05.jpg" TargetMode="External"/><Relationship Id="rId5276" Type="http://schemas.openxmlformats.org/officeDocument/2006/relationships/hyperlink" Target="https://commons.wikimedia.org/wiki/File:Valle_del_Cocora_junio_2025_05.jpg" TargetMode="External"/><Relationship Id="rId5279" Type="http://schemas.openxmlformats.org/officeDocument/2006/relationships/hyperlink" Target="https://commons.wikimedia.org/wiki/File:Valle_del_Cocora_junio_2025_08.jpg" TargetMode="External"/><Relationship Id="rId5262" Type="http://schemas.openxmlformats.org/officeDocument/2006/relationships/hyperlink" Target="https://maps.google.com/?q=5.012789,-75.328711" TargetMode="External"/><Relationship Id="rId5263" Type="http://schemas.openxmlformats.org/officeDocument/2006/relationships/hyperlink" Target="https://upload.wikimedia.org/wikipedia/commons/4/49/Valle_de_pastores.jpg" TargetMode="External"/><Relationship Id="rId5260" Type="http://schemas.openxmlformats.org/officeDocument/2006/relationships/hyperlink" Target="https://upload.wikimedia.org/wikipedia/commons/e/e1/Valle_de_los_Halcones.jpg" TargetMode="External"/><Relationship Id="rId5261" Type="http://schemas.openxmlformats.org/officeDocument/2006/relationships/hyperlink" Target="https://commons.wikimedia.org/wiki/File:Valle_de_los_Halcones.jpg" TargetMode="External"/><Relationship Id="rId5266" Type="http://schemas.openxmlformats.org/officeDocument/2006/relationships/hyperlink" Target="https://upload.wikimedia.org/wikipedia/commons/0/0d/Valle_del_Cocora_%2815646%29.jpg" TargetMode="External"/><Relationship Id="rId5267" Type="http://schemas.openxmlformats.org/officeDocument/2006/relationships/hyperlink" Target="https://commons.wikimedia.org/wiki/File:Valle_del_Cocora_(15646).jpg" TargetMode="External"/><Relationship Id="rId5264" Type="http://schemas.openxmlformats.org/officeDocument/2006/relationships/hyperlink" Target="https://commons.wikimedia.org/wiki/File:Valle_de_pastores.jpg" TargetMode="External"/><Relationship Id="rId5265" Type="http://schemas.openxmlformats.org/officeDocument/2006/relationships/hyperlink" Target="https://maps.google.com/?q=4.638395,-75.561566" TargetMode="External"/><Relationship Id="rId5268" Type="http://schemas.openxmlformats.org/officeDocument/2006/relationships/hyperlink" Target="https://maps.google.com/?q=4.642314,-75.552434" TargetMode="External"/><Relationship Id="rId5269" Type="http://schemas.openxmlformats.org/officeDocument/2006/relationships/hyperlink" Target="https://upload.wikimedia.org/wikipedia/commons/b/b6/Valle_del_Cocora_%2884143%29.jpg" TargetMode="External"/><Relationship Id="rId5219" Type="http://schemas.openxmlformats.org/officeDocument/2006/relationships/hyperlink" Target="https://upload.wikimedia.org/wikipedia/commons/5/5b/Un_rincon_del_alma.jpg" TargetMode="External"/><Relationship Id="rId5217" Type="http://schemas.openxmlformats.org/officeDocument/2006/relationships/hyperlink" Target="https://upload.wikimedia.org/wikipedia/commons/7/77/Un_peque%C3%B1o_loro_en_las_inmediaciones_del_tap%C3%B3n_del_Darien.jpg" TargetMode="External"/><Relationship Id="rId5218" Type="http://schemas.openxmlformats.org/officeDocument/2006/relationships/hyperlink" Target="https://commons.wikimedia.org/wiki/File:Un_peque%C3%B1o_loro_en_las_inmediaciones_del_tap%C3%B3n_del_Darien.jpg" TargetMode="External"/><Relationship Id="rId392" Type="http://schemas.openxmlformats.org/officeDocument/2006/relationships/hyperlink" Target="https://upload.wikimedia.org/wikipedia/commons/6/6e/Atardecer_Bogot%C3%A0.jpg" TargetMode="External"/><Relationship Id="rId391" Type="http://schemas.openxmlformats.org/officeDocument/2006/relationships/hyperlink" Target="https://commons.wikimedia.org/wiki/File:Atardecer_Azul.jpg" TargetMode="External"/><Relationship Id="rId390" Type="http://schemas.openxmlformats.org/officeDocument/2006/relationships/hyperlink" Target="https://upload.wikimedia.org/wikipedia/commons/7/78/Atardecer_Azul.jpg" TargetMode="External"/><Relationship Id="rId2180" Type="http://schemas.openxmlformats.org/officeDocument/2006/relationships/hyperlink" Target="https://upload.wikimedia.org/wikipedia/commons/e/e0/Flor_de_Aguacatillo.jpg" TargetMode="External"/><Relationship Id="rId2181" Type="http://schemas.openxmlformats.org/officeDocument/2006/relationships/hyperlink" Target="https://commons.wikimedia.org/wiki/File:Flor_de_Aguacatillo.jpg" TargetMode="External"/><Relationship Id="rId2182" Type="http://schemas.openxmlformats.org/officeDocument/2006/relationships/hyperlink" Target="https://upload.wikimedia.org/wikipedia/commons/1/10/Flor_La_reina_de_la_noche.jpg" TargetMode="External"/><Relationship Id="rId2183" Type="http://schemas.openxmlformats.org/officeDocument/2006/relationships/hyperlink" Target="https://commons.wikimedia.org/wiki/File:Flor_La_reina_de_la_noche.jpg" TargetMode="External"/><Relationship Id="rId385" Type="http://schemas.openxmlformats.org/officeDocument/2006/relationships/hyperlink" Target="https://maps.google.com/?q=4.548350,-73.996670" TargetMode="External"/><Relationship Id="rId2184" Type="http://schemas.openxmlformats.org/officeDocument/2006/relationships/hyperlink" Target="https://upload.wikimedia.org/wikipedia/commons/f/fa/Flor_Melastomataceae.jpg" TargetMode="External"/><Relationship Id="rId5211" Type="http://schemas.openxmlformats.org/officeDocument/2006/relationships/hyperlink" Target="https://upload.wikimedia.org/wikipedia/commons/c/ca/Un_Sol_en_el_Suelo.jpg" TargetMode="External"/><Relationship Id="rId384" Type="http://schemas.openxmlformats.org/officeDocument/2006/relationships/hyperlink" Target="https://commons.wikimedia.org/wiki/File:Asociaci%C3%B3n_espacial_entre_Reduviidae_sp._y_Cosmos_bipinnatus.jpg" TargetMode="External"/><Relationship Id="rId2185" Type="http://schemas.openxmlformats.org/officeDocument/2006/relationships/hyperlink" Target="https://commons.wikimedia.org/wiki/File:Flor_Melastomataceae.jpg" TargetMode="External"/><Relationship Id="rId5212" Type="http://schemas.openxmlformats.org/officeDocument/2006/relationships/hyperlink" Target="https://commons.wikimedia.org/wiki/File:Un_Sol_en_el_Suelo.jpg" TargetMode="External"/><Relationship Id="rId383" Type="http://schemas.openxmlformats.org/officeDocument/2006/relationships/hyperlink" Target="https://upload.wikimedia.org/wikipedia/commons/1/18/Asociaci%C3%B3n_espacial_entre_Reduviidae_sp._y_Cosmos_bipinnatus.jpg" TargetMode="External"/><Relationship Id="rId2186" Type="http://schemas.openxmlformats.org/officeDocument/2006/relationships/hyperlink" Target="https://upload.wikimedia.org/wikipedia/commons/d/d7/Flor_de_Cactus_-1.jpg" TargetMode="External"/><Relationship Id="rId382" Type="http://schemas.openxmlformats.org/officeDocument/2006/relationships/hyperlink" Target="https://commons.wikimedia.org/wiki/File:Arte_rupestre_ind%C3%ADgena_y_vandalismo_en_los_Farallones_de_Sutatausa.jpg" TargetMode="External"/><Relationship Id="rId2187" Type="http://schemas.openxmlformats.org/officeDocument/2006/relationships/hyperlink" Target="https://commons.wikimedia.org/wiki/File:Flor_de_Cactus_-1.jpg" TargetMode="External"/><Relationship Id="rId5210" Type="http://schemas.openxmlformats.org/officeDocument/2006/relationships/hyperlink" Target="https://maps.google.com/?q=4.594490,-74.070340" TargetMode="External"/><Relationship Id="rId389" Type="http://schemas.openxmlformats.org/officeDocument/2006/relationships/hyperlink" Target="https://commons.wikimedia.org/wiki/File:Atardece_en_la_mariposa_-_PNN_Chingaza.jpg" TargetMode="External"/><Relationship Id="rId2188" Type="http://schemas.openxmlformats.org/officeDocument/2006/relationships/hyperlink" Target="https://upload.wikimedia.org/wikipedia/commons/1/1c/Flor_de_Caldas.jpg" TargetMode="External"/><Relationship Id="rId5215" Type="http://schemas.openxmlformats.org/officeDocument/2006/relationships/hyperlink" Target="https://upload.wikimedia.org/wikipedia/commons/a/af/Un_panal_herido.jpg" TargetMode="External"/><Relationship Id="rId388" Type="http://schemas.openxmlformats.org/officeDocument/2006/relationships/hyperlink" Target="https://upload.wikimedia.org/wikipedia/commons/b/b9/Atardece_en_la_mariposa_-_PNN_Chingaza.jpg" TargetMode="External"/><Relationship Id="rId2189" Type="http://schemas.openxmlformats.org/officeDocument/2006/relationships/hyperlink" Target="https://commons.wikimedia.org/wiki/File:Flor_de_Caldas.jpg" TargetMode="External"/><Relationship Id="rId5216" Type="http://schemas.openxmlformats.org/officeDocument/2006/relationships/hyperlink" Target="https://commons.wikimedia.org/wiki/File:Un_panal_herido.jpg" TargetMode="External"/><Relationship Id="rId387" Type="http://schemas.openxmlformats.org/officeDocument/2006/relationships/hyperlink" Target="https://commons.wikimedia.org/wiki/File:Astylus_aulicus_-_23-May-2025.jpg" TargetMode="External"/><Relationship Id="rId5213" Type="http://schemas.openxmlformats.org/officeDocument/2006/relationships/hyperlink" Target="https://upload.wikimedia.org/wikipedia/commons/f/fe/Un_mar_de_verde.jpg" TargetMode="External"/><Relationship Id="rId386" Type="http://schemas.openxmlformats.org/officeDocument/2006/relationships/hyperlink" Target="https://upload.wikimedia.org/wikipedia/commons/3/33/Astylus_aulicus_-_23-May-2025.jpg" TargetMode="External"/><Relationship Id="rId5214" Type="http://schemas.openxmlformats.org/officeDocument/2006/relationships/hyperlink" Target="https://commons.wikimedia.org/wiki/File:Un_mar_de_verde.jpg" TargetMode="External"/><Relationship Id="rId5208" Type="http://schemas.openxmlformats.org/officeDocument/2006/relationships/hyperlink" Target="https://upload.wikimedia.org/wikipedia/commons/e/ea/Un_Ni%C3%B1o_Dos_Hombres_y_Muchas_Tabl%C3%B3nes.jpg" TargetMode="External"/><Relationship Id="rId5209" Type="http://schemas.openxmlformats.org/officeDocument/2006/relationships/hyperlink" Target="https://commons.wikimedia.org/wiki/File:Un_Ni%C3%B1o_Dos_Hombres_y_Muchas_Tabl%C3%B3nes.jpg" TargetMode="External"/><Relationship Id="rId5206" Type="http://schemas.openxmlformats.org/officeDocument/2006/relationships/hyperlink" Target="https://upload.wikimedia.org/wikipedia/commons/a/aa/Un_Mundo_Descubierto.jpg" TargetMode="External"/><Relationship Id="rId5207" Type="http://schemas.openxmlformats.org/officeDocument/2006/relationships/hyperlink" Target="https://commons.wikimedia.org/wiki/File:Un_Mundo_Descubierto.jpg" TargetMode="External"/><Relationship Id="rId381" Type="http://schemas.openxmlformats.org/officeDocument/2006/relationships/hyperlink" Target="https://upload.wikimedia.org/wikipedia/commons/c/ca/Arte_rupestre_ind%C3%ADgena_y_vandalismo_en_los_Farallones_de_Sutatausa.jpg" TargetMode="External"/><Relationship Id="rId380" Type="http://schemas.openxmlformats.org/officeDocument/2006/relationships/hyperlink" Target="https://commons.wikimedia.org/wiki/File:Arte_Natural.jpg" TargetMode="External"/><Relationship Id="rId379" Type="http://schemas.openxmlformats.org/officeDocument/2006/relationships/hyperlink" Target="https://upload.wikimedia.org/wikipedia/commons/d/d6/Arte_Natural.jpg" TargetMode="External"/><Relationship Id="rId2170" Type="http://schemas.openxmlformats.org/officeDocument/2006/relationships/hyperlink" Target="https://upload.wikimedia.org/wikipedia/commons/8/8f/Flor_Calliandra_trinervia_Benth.jpg" TargetMode="External"/><Relationship Id="rId2171" Type="http://schemas.openxmlformats.org/officeDocument/2006/relationships/hyperlink" Target="https://commons.wikimedia.org/wiki/File:Flor_Calliandra_trinervia_Benth.jpg" TargetMode="External"/><Relationship Id="rId2172" Type="http://schemas.openxmlformats.org/officeDocument/2006/relationships/hyperlink" Target="https://maps.google.com/?q=4.667750,-74.099944" TargetMode="External"/><Relationship Id="rId374" Type="http://schemas.openxmlformats.org/officeDocument/2006/relationships/hyperlink" Target="https://commons.wikimedia.org/wiki/File:Aristoloquia_1.jpg" TargetMode="External"/><Relationship Id="rId2173" Type="http://schemas.openxmlformats.org/officeDocument/2006/relationships/hyperlink" Target="https://upload.wikimedia.org/wikipedia/commons/3/3a/Flor_ceiba_amarilla.jpg" TargetMode="External"/><Relationship Id="rId5200" Type="http://schemas.openxmlformats.org/officeDocument/2006/relationships/hyperlink" Target="https://maps.google.com/?q=5.795613,-73.457378" TargetMode="External"/><Relationship Id="rId373" Type="http://schemas.openxmlformats.org/officeDocument/2006/relationships/hyperlink" Target="https://upload.wikimedia.org/wikipedia/commons/5/58/Aristoloquia_1.jpg" TargetMode="External"/><Relationship Id="rId2174" Type="http://schemas.openxmlformats.org/officeDocument/2006/relationships/hyperlink" Target="https://commons.wikimedia.org/wiki/File:Flor_ceiba_amarilla.jpg" TargetMode="External"/><Relationship Id="rId5201" Type="http://schemas.openxmlformats.org/officeDocument/2006/relationships/hyperlink" Target="https://upload.wikimedia.org/wikipedia/commons/0/0c/Un_instante_en_la_calma.jpg" TargetMode="External"/><Relationship Id="rId372" Type="http://schemas.openxmlformats.org/officeDocument/2006/relationships/hyperlink" Target="https://maps.google.com/?q=4.667750,-74.099944" TargetMode="External"/><Relationship Id="rId2175" Type="http://schemas.openxmlformats.org/officeDocument/2006/relationships/hyperlink" Target="https://upload.wikimedia.org/wikipedia/commons/c/c6/Flor_colombiana.jpg" TargetMode="External"/><Relationship Id="rId371" Type="http://schemas.openxmlformats.org/officeDocument/2006/relationships/hyperlink" Target="https://commons.wikimedia.org/wiki/File:Aristoloquia8.jpg" TargetMode="External"/><Relationship Id="rId2176" Type="http://schemas.openxmlformats.org/officeDocument/2006/relationships/hyperlink" Target="https://commons.wikimedia.org/wiki/File:Flor_colombiana.jpg" TargetMode="External"/><Relationship Id="rId378" Type="http://schemas.openxmlformats.org/officeDocument/2006/relationships/hyperlink" Target="https://commons.wikimedia.org/wiki/File:Array%C3%A1n_guayabo_(Psidium_guajava)_01.jpg" TargetMode="External"/><Relationship Id="rId2177" Type="http://schemas.openxmlformats.org/officeDocument/2006/relationships/hyperlink" Target="https://upload.wikimedia.org/wikipedia/commons/4/4a/Flor_colombiana2.jpg" TargetMode="External"/><Relationship Id="rId5204" Type="http://schemas.openxmlformats.org/officeDocument/2006/relationships/hyperlink" Target="https://upload.wikimedia.org/wikipedia/commons/3/39/Un_linda_finca.jpg" TargetMode="External"/><Relationship Id="rId377" Type="http://schemas.openxmlformats.org/officeDocument/2006/relationships/hyperlink" Target="https://upload.wikimedia.org/wikipedia/commons/4/43/Array%C3%A1n_guayabo_%28Psidium_guajava%29_01.jpg" TargetMode="External"/><Relationship Id="rId2178" Type="http://schemas.openxmlformats.org/officeDocument/2006/relationships/hyperlink" Target="https://commons.wikimedia.org/wiki/File:Flor_colombiana2.jpg" TargetMode="External"/><Relationship Id="rId5205" Type="http://schemas.openxmlformats.org/officeDocument/2006/relationships/hyperlink" Target="https://commons.wikimedia.org/wiki/File:Un_linda_finca.jpg" TargetMode="External"/><Relationship Id="rId376" Type="http://schemas.openxmlformats.org/officeDocument/2006/relationships/hyperlink" Target="https://commons.wikimedia.org/wiki/File:Array%C3%A1n_(Luma_apiculata_o_Myrcianthes).jpg" TargetMode="External"/><Relationship Id="rId2179" Type="http://schemas.openxmlformats.org/officeDocument/2006/relationships/hyperlink" Target="https://maps.google.com/?q=4.883569,-74.281700" TargetMode="External"/><Relationship Id="rId5202" Type="http://schemas.openxmlformats.org/officeDocument/2006/relationships/hyperlink" Target="https://commons.wikimedia.org/wiki/File:Un_instante_en_la_calma.jpg" TargetMode="External"/><Relationship Id="rId375" Type="http://schemas.openxmlformats.org/officeDocument/2006/relationships/hyperlink" Target="https://upload.wikimedia.org/wikipedia/commons/3/31/Array%C3%A1n_%28Luma_apiculata_o_Myrcianthes%29.jpg" TargetMode="External"/><Relationship Id="rId5203" Type="http://schemas.openxmlformats.org/officeDocument/2006/relationships/hyperlink" Target="https://maps.google.com/?q=8.072294,-74.786128" TargetMode="External"/><Relationship Id="rId5239" Type="http://schemas.openxmlformats.org/officeDocument/2006/relationships/hyperlink" Target="https://maps.google.com/?q=4.740317,-75.683097" TargetMode="External"/><Relationship Id="rId5230" Type="http://schemas.openxmlformats.org/officeDocument/2006/relationships/hyperlink" Target="https://upload.wikimedia.org/wikipedia/commons/5/5d/Una_noche_estrellada_en_Santa_Elena%2C_Antioquia%2C_Colombia.jpg" TargetMode="External"/><Relationship Id="rId5233" Type="http://schemas.openxmlformats.org/officeDocument/2006/relationships/hyperlink" Target="https://commons.wikimedia.org/wiki/File:Una_quebrada_en_el_interior_del_Tapon_del_Darien.jpg" TargetMode="External"/><Relationship Id="rId5234" Type="http://schemas.openxmlformats.org/officeDocument/2006/relationships/hyperlink" Target="https://maps.google.com/?q=4.595319,-74.070686" TargetMode="External"/><Relationship Id="rId5231" Type="http://schemas.openxmlformats.org/officeDocument/2006/relationships/hyperlink" Target="https://commons.wikimedia.org/wiki/File:Una_noche_estrellada_en_Santa_Elena,_Antioquia,_Colombia.jpg" TargetMode="External"/><Relationship Id="rId5232" Type="http://schemas.openxmlformats.org/officeDocument/2006/relationships/hyperlink" Target="https://upload.wikimedia.org/wikipedia/commons/8/82/Una_quebrada_en_el_interior_del_Tapon_del_Darien.jpg" TargetMode="External"/><Relationship Id="rId5237" Type="http://schemas.openxmlformats.org/officeDocument/2006/relationships/hyperlink" Target="https://upload.wikimedia.org/wikipedia/commons/8/8d/Universidad_y_paisaje.jpg" TargetMode="External"/><Relationship Id="rId5238" Type="http://schemas.openxmlformats.org/officeDocument/2006/relationships/hyperlink" Target="https://commons.wikimedia.org/wiki/File:Universidad_y_paisaje.jpg" TargetMode="External"/><Relationship Id="rId5235" Type="http://schemas.openxmlformats.org/officeDocument/2006/relationships/hyperlink" Target="https://upload.wikimedia.org/wikipedia/commons/8/87/Universidad_de_la_salle%2C_paisaje_urbano.jpg" TargetMode="External"/><Relationship Id="rId5236" Type="http://schemas.openxmlformats.org/officeDocument/2006/relationships/hyperlink" Target="https://commons.wikimedia.org/wiki/File:Universidad_de_la_salle,_paisaje_urbano.jpg" TargetMode="External"/><Relationship Id="rId5228" Type="http://schemas.openxmlformats.org/officeDocument/2006/relationships/hyperlink" Target="https://upload.wikimedia.org/wikipedia/commons/f/fe/Una_canoa_sobre_las_aguas_llamadas_el_Aguacate_en_Capurgana_Colombia.jpg" TargetMode="External"/><Relationship Id="rId5229" Type="http://schemas.openxmlformats.org/officeDocument/2006/relationships/hyperlink" Target="https://commons.wikimedia.org/wiki/File:Una_canoa_sobre_las_aguas_llamadas_el_Aguacate_en_Capurgana_Colombia.jpg" TargetMode="External"/><Relationship Id="rId2190" Type="http://schemas.openxmlformats.org/officeDocument/2006/relationships/hyperlink" Target="https://maps.google.com/?q=4.669437,-74.097702" TargetMode="External"/><Relationship Id="rId2191" Type="http://schemas.openxmlformats.org/officeDocument/2006/relationships/hyperlink" Target="https://upload.wikimedia.org/wikipedia/commons/3/3c/Flor_de_Cola_de_Alacr%C3%A1n_%E2%80%93_G%C3%A9nero_Stachytarpheta_%E2%80%93_Familia_Verbenaceae.png" TargetMode="External"/><Relationship Id="rId2192" Type="http://schemas.openxmlformats.org/officeDocument/2006/relationships/hyperlink" Target="https://commons.wikimedia.org/wiki/File:Flor_de_Cola_de_Alacr%C3%A1n_%E2%80%93_G%C3%A9nero_Stachytarpheta_%E2%80%93_Familia_Verbenaceae.png" TargetMode="External"/><Relationship Id="rId2193" Type="http://schemas.openxmlformats.org/officeDocument/2006/relationships/hyperlink" Target="https://upload.wikimedia.org/wikipedia/commons/1/16/Flor_de_P%C3%A1ramo_Sandra_Ram%C3%ADrez_Giraldo.jpg" TargetMode="External"/><Relationship Id="rId2194" Type="http://schemas.openxmlformats.org/officeDocument/2006/relationships/hyperlink" Target="https://commons.wikimedia.org/wiki/File:Flor_de_P%C3%A1ramo_Sandra_Ram%C3%ADrez_Giraldo.jpg" TargetMode="External"/><Relationship Id="rId396" Type="http://schemas.openxmlformats.org/officeDocument/2006/relationships/hyperlink" Target="https://upload.wikimedia.org/wikipedia/commons/a/a1/Atardecer_Cartagenaa.jpg" TargetMode="External"/><Relationship Id="rId2195" Type="http://schemas.openxmlformats.org/officeDocument/2006/relationships/hyperlink" Target="https://maps.google.com/?q=4.668222,-74.099861" TargetMode="External"/><Relationship Id="rId5222" Type="http://schemas.openxmlformats.org/officeDocument/2006/relationships/hyperlink" Target="https://commons.wikimedia.org/wiki/File:Una_Planta_%C3%9Anica.jpg" TargetMode="External"/><Relationship Id="rId395" Type="http://schemas.openxmlformats.org/officeDocument/2006/relationships/hyperlink" Target="https://commons.wikimedia.org/wiki/File:Atardecer_Boyaca.jpg" TargetMode="External"/><Relationship Id="rId2196" Type="http://schemas.openxmlformats.org/officeDocument/2006/relationships/hyperlink" Target="https://upload.wikimedia.org/wikipedia/commons/f/f5/Flor_de_Rosa_rubiginosa_%28L%29.jpg" TargetMode="External"/><Relationship Id="rId5223" Type="http://schemas.openxmlformats.org/officeDocument/2006/relationships/hyperlink" Target="https://upload.wikimedia.org/wikipedia/commons/9/99/Una_Roca.jpg" TargetMode="External"/><Relationship Id="rId394" Type="http://schemas.openxmlformats.org/officeDocument/2006/relationships/hyperlink" Target="https://upload.wikimedia.org/wikipedia/commons/8/8f/Atardecer_Boyaca.jpg" TargetMode="External"/><Relationship Id="rId2197" Type="http://schemas.openxmlformats.org/officeDocument/2006/relationships/hyperlink" Target="https://commons.wikimedia.org/wiki/File:Flor_de_Rosa_rubiginosa_(L).jpg" TargetMode="External"/><Relationship Id="rId5220" Type="http://schemas.openxmlformats.org/officeDocument/2006/relationships/hyperlink" Target="https://commons.wikimedia.org/wiki/File:Un_rincon_del_alma.jpg" TargetMode="External"/><Relationship Id="rId393" Type="http://schemas.openxmlformats.org/officeDocument/2006/relationships/hyperlink" Target="https://commons.wikimedia.org/wiki/File:Atardecer_Bogot%C3%A0.jpg" TargetMode="External"/><Relationship Id="rId2198" Type="http://schemas.openxmlformats.org/officeDocument/2006/relationships/hyperlink" Target="https://maps.google.com/?q=4.667750,-74.099944" TargetMode="External"/><Relationship Id="rId5221" Type="http://schemas.openxmlformats.org/officeDocument/2006/relationships/hyperlink" Target="https://upload.wikimedia.org/wikipedia/commons/e/e8/Una_Planta_%C3%9Anica.jpg" TargetMode="External"/><Relationship Id="rId2199" Type="http://schemas.openxmlformats.org/officeDocument/2006/relationships/hyperlink" Target="https://upload.wikimedia.org/wikipedia/commons/5/56/Flor_de_algodon.jpg" TargetMode="External"/><Relationship Id="rId5226" Type="http://schemas.openxmlformats.org/officeDocument/2006/relationships/hyperlink" Target="https://upload.wikimedia.org/wikipedia/commons/4/42/Una_abeja_en_el_rosal.jpg" TargetMode="External"/><Relationship Id="rId399" Type="http://schemas.openxmlformats.org/officeDocument/2006/relationships/hyperlink" Target="https://commons.wikimedia.org/wiki/File:Atardecer_Guajiro_-_1.jpg" TargetMode="External"/><Relationship Id="rId5227" Type="http://schemas.openxmlformats.org/officeDocument/2006/relationships/hyperlink" Target="https://commons.wikimedia.org/wiki/File:Una_abeja_en_el_rosal.jpg" TargetMode="External"/><Relationship Id="rId398" Type="http://schemas.openxmlformats.org/officeDocument/2006/relationships/hyperlink" Target="https://upload.wikimedia.org/wikipedia/commons/3/36/Atardecer_Guajiro_-_1.jpg" TargetMode="External"/><Relationship Id="rId5224" Type="http://schemas.openxmlformats.org/officeDocument/2006/relationships/hyperlink" Target="https://commons.wikimedia.org/wiki/File:Una_Roca.jpg" TargetMode="External"/><Relationship Id="rId397" Type="http://schemas.openxmlformats.org/officeDocument/2006/relationships/hyperlink" Target="https://commons.wikimedia.org/wiki/File:Atardecer_Cartagenaa.jpg" TargetMode="External"/><Relationship Id="rId5225" Type="http://schemas.openxmlformats.org/officeDocument/2006/relationships/hyperlink" Target="https://maps.google.com/?q=4.668609,-74.097384" TargetMode="External"/><Relationship Id="rId1730" Type="http://schemas.openxmlformats.org/officeDocument/2006/relationships/hyperlink" Target="https://upload.wikimedia.org/wikipedia/commons/1/13/Descanso_en_compa%C3%B1%C3%ADa.jpg" TargetMode="External"/><Relationship Id="rId1731" Type="http://schemas.openxmlformats.org/officeDocument/2006/relationships/hyperlink" Target="https://commons.wikimedia.org/wiki/File:Descanso_en_compa%C3%B1%C3%ADa.jpg" TargetMode="External"/><Relationship Id="rId1732" Type="http://schemas.openxmlformats.org/officeDocument/2006/relationships/hyperlink" Target="https://upload.wikimedia.org/wikipedia/commons/7/78/Descenso_salino_-_El_infierno_frio.jpg" TargetMode="External"/><Relationship Id="rId1733" Type="http://schemas.openxmlformats.org/officeDocument/2006/relationships/hyperlink" Target="https://commons.wikimedia.org/wiki/File:Descenso_salino_-_El_infierno_frio.jpg" TargetMode="External"/><Relationship Id="rId1734" Type="http://schemas.openxmlformats.org/officeDocument/2006/relationships/hyperlink" Target="https://upload.wikimedia.org/wikipedia/commons/b/bb/Desierto_Estrellado.jpg" TargetMode="External"/><Relationship Id="rId1735" Type="http://schemas.openxmlformats.org/officeDocument/2006/relationships/hyperlink" Target="https://commons.wikimedia.org/wiki/File:Desierto_Estrellado.jpg" TargetMode="External"/><Relationship Id="rId1736" Type="http://schemas.openxmlformats.org/officeDocument/2006/relationships/hyperlink" Target="https://upload.wikimedia.org/wikipedia/commons/6/6b/Desierto_de_La_Tatacoa_%28Tatacoa_Desert%29.jpg" TargetMode="External"/><Relationship Id="rId1737" Type="http://schemas.openxmlformats.org/officeDocument/2006/relationships/hyperlink" Target="https://commons.wikimedia.org/wiki/File:Desierto_de_La_Tatacoa_(Tatacoa_Desert).jpg" TargetMode="External"/><Relationship Id="rId1738" Type="http://schemas.openxmlformats.org/officeDocument/2006/relationships/hyperlink" Target="https://upload.wikimedia.org/wikipedia/commons/c/cf/Desierto_de_la_tatacoa_rojo.jpg" TargetMode="External"/><Relationship Id="rId1739" Type="http://schemas.openxmlformats.org/officeDocument/2006/relationships/hyperlink" Target="https://commons.wikimedia.org/wiki/File:Desierto_de_la_tatacoa_rojo.jpg" TargetMode="External"/><Relationship Id="rId1720" Type="http://schemas.openxmlformats.org/officeDocument/2006/relationships/hyperlink" Target="https://upload.wikimedia.org/wikipedia/commons/1/1a/DSCN6658-Mejorado-NR.jpg" TargetMode="External"/><Relationship Id="rId1721" Type="http://schemas.openxmlformats.org/officeDocument/2006/relationships/hyperlink" Target="https://commons.wikimedia.org/wiki/File:DSCN6658-Mejorado-NR.jpg" TargetMode="External"/><Relationship Id="rId1722" Type="http://schemas.openxmlformats.org/officeDocument/2006/relationships/hyperlink" Target="https://upload.wikimedia.org/wikipedia/commons/6/6e/Densidad_del_bosque_en_las_laderas_de_Sutatausa.jpg" TargetMode="External"/><Relationship Id="rId1723" Type="http://schemas.openxmlformats.org/officeDocument/2006/relationships/hyperlink" Target="https://commons.wikimedia.org/wiki/File:Densidad_del_bosque_en_las_laderas_de_Sutatausa.jpg" TargetMode="External"/><Relationship Id="rId1724" Type="http://schemas.openxmlformats.org/officeDocument/2006/relationships/hyperlink" Target="https://maps.google.com/?q=1.615202,-76.102569" TargetMode="External"/><Relationship Id="rId1725" Type="http://schemas.openxmlformats.org/officeDocument/2006/relationships/hyperlink" Target="https://upload.wikimedia.org/wikipedia/commons/d/da/Desayunando_de_cabeza_-_PNN_Cueva_de_los_Guacharos_%28PRIMER_PLANO%29.jpg" TargetMode="External"/><Relationship Id="rId1726" Type="http://schemas.openxmlformats.org/officeDocument/2006/relationships/hyperlink" Target="https://commons.wikimedia.org/wiki/File:Desayunando_de_cabeza_-_PNN_Cueva_de_los_Guacharos_(PRIMER_PLANO).jpg" TargetMode="External"/><Relationship Id="rId1727" Type="http://schemas.openxmlformats.org/officeDocument/2006/relationships/hyperlink" Target="https://upload.wikimedia.org/wikipedia/commons/c/c9/Desayunando_tarde_-_PNN_Chingaza.jpg" TargetMode="External"/><Relationship Id="rId1728" Type="http://schemas.openxmlformats.org/officeDocument/2006/relationships/hyperlink" Target="https://commons.wikimedia.org/wiki/File:Desayunando_tarde_-_PNN_Chingaza.jpg" TargetMode="External"/><Relationship Id="rId1729" Type="http://schemas.openxmlformats.org/officeDocument/2006/relationships/hyperlink" Target="https://maps.google.com/?q=11.306367,-74.065745" TargetMode="External"/><Relationship Id="rId1752" Type="http://schemas.openxmlformats.org/officeDocument/2006/relationships/hyperlink" Target="https://upload.wikimedia.org/wikipedia/commons/7/76/Detalle_abstracto_de_c%C3%A1rcavas_grises_en_la_Tatacoa.jpg" TargetMode="External"/><Relationship Id="rId1753" Type="http://schemas.openxmlformats.org/officeDocument/2006/relationships/hyperlink" Target="https://commons.wikimedia.org/wiki/File:Detalle_abstracto_de_c%C3%A1rcavas_grises_en_la_Tatacoa.jpg" TargetMode="External"/><Relationship Id="rId1754" Type="http://schemas.openxmlformats.org/officeDocument/2006/relationships/hyperlink" Target="https://upload.wikimedia.org/wikipedia/commons/5/51/Detalle_de_hoja_seca_sobre_la_superficie_de_la_roca_en_Sutatausa.jpg" TargetMode="External"/><Relationship Id="rId1755" Type="http://schemas.openxmlformats.org/officeDocument/2006/relationships/hyperlink" Target="https://commons.wikimedia.org/wiki/File:Detalle_de_hoja_seca_sobre_la_superficie_de_la_roca_en_Sutatausa.jpg" TargetMode="External"/><Relationship Id="rId1756" Type="http://schemas.openxmlformats.org/officeDocument/2006/relationships/hyperlink" Target="https://maps.google.com/?q=4.575004,-74.293933" TargetMode="External"/><Relationship Id="rId1757" Type="http://schemas.openxmlformats.org/officeDocument/2006/relationships/hyperlink" Target="https://upload.wikimedia.org/wikipedia/commons/c/cb/Detalle_de_la_cresta_y_ca%C3%ADda_del_Salto_del_Tequendama.jpg" TargetMode="External"/><Relationship Id="rId1758" Type="http://schemas.openxmlformats.org/officeDocument/2006/relationships/hyperlink" Target="https://commons.wikimedia.org/wiki/File:Detalle_de_la_cresta_y_ca%C3%ADda_del_Salto_del_Tequendama.jpg" TargetMode="External"/><Relationship Id="rId1759" Type="http://schemas.openxmlformats.org/officeDocument/2006/relationships/hyperlink" Target="https://upload.wikimedia.org/wikipedia/commons/e/e4/Detalle_del_Agua_y_sus_Plantas.jpg" TargetMode="External"/><Relationship Id="rId1750" Type="http://schemas.openxmlformats.org/officeDocument/2006/relationships/hyperlink" Target="https://upload.wikimedia.org/wikipedia/commons/e/e4/Destello_de_esmeralda.jpg" TargetMode="External"/><Relationship Id="rId1751" Type="http://schemas.openxmlformats.org/officeDocument/2006/relationships/hyperlink" Target="https://commons.wikimedia.org/wiki/File:Destello_de_esmeralda.jpg" TargetMode="External"/><Relationship Id="rId1741" Type="http://schemas.openxmlformats.org/officeDocument/2006/relationships/hyperlink" Target="https://commons.wikimedia.org/wiki/File:Desierto_la_Tatacoa.jpg" TargetMode="External"/><Relationship Id="rId1742" Type="http://schemas.openxmlformats.org/officeDocument/2006/relationships/hyperlink" Target="https://upload.wikimedia.org/wikipedia/commons/e/e8/Desierto_la_Tatacoa_%282%29.jpg" TargetMode="External"/><Relationship Id="rId1743" Type="http://schemas.openxmlformats.org/officeDocument/2006/relationships/hyperlink" Target="https://commons.wikimedia.org/wiki/File:Desierto_la_Tatacoa_(2).jpg" TargetMode="External"/><Relationship Id="rId1744" Type="http://schemas.openxmlformats.org/officeDocument/2006/relationships/hyperlink" Target="https://upload.wikimedia.org/wikipedia/commons/f/fe/Desierto_la_Tatacoa_%283%29.jpg" TargetMode="External"/><Relationship Id="rId1745" Type="http://schemas.openxmlformats.org/officeDocument/2006/relationships/hyperlink" Target="https://commons.wikimedia.org/wiki/File:Desierto_la_Tatacoa_(3).jpg" TargetMode="External"/><Relationship Id="rId1746" Type="http://schemas.openxmlformats.org/officeDocument/2006/relationships/hyperlink" Target="https://upload.wikimedia.org/wikipedia/commons/b/b6/Desplazamiento_de_garza_real_sobre_el_espejo_de_agua_del_r%C3%ADo.jpg" TargetMode="External"/><Relationship Id="rId1747" Type="http://schemas.openxmlformats.org/officeDocument/2006/relationships/hyperlink" Target="https://commons.wikimedia.org/wiki/File:Desplazamiento_de_garza_real_sobre_el_espejo_de_agua_del_r%C3%ADo.jpg" TargetMode="External"/><Relationship Id="rId1748" Type="http://schemas.openxmlformats.org/officeDocument/2006/relationships/hyperlink" Target="https://upload.wikimedia.org/wikipedia/commons/e/e2/Destello_Dorado_entre_las_Ramas.jpg" TargetMode="External"/><Relationship Id="rId1749" Type="http://schemas.openxmlformats.org/officeDocument/2006/relationships/hyperlink" Target="https://commons.wikimedia.org/wiki/File:Destello_Dorado_entre_las_Ramas.jpg" TargetMode="External"/><Relationship Id="rId1740" Type="http://schemas.openxmlformats.org/officeDocument/2006/relationships/hyperlink" Target="https://upload.wikimedia.org/wikipedia/commons/e/ea/Desierto_la_Tatacoa.jpg" TargetMode="External"/><Relationship Id="rId5291" Type="http://schemas.openxmlformats.org/officeDocument/2006/relationships/hyperlink" Target="https://commons.wikimedia.org/wiki/File:Valle_del_Cocora_junio_2025_15.jpg" TargetMode="External"/><Relationship Id="rId5292" Type="http://schemas.openxmlformats.org/officeDocument/2006/relationships/hyperlink" Target="https://maps.google.com/?q=4.666700,-75.500000" TargetMode="External"/><Relationship Id="rId5290" Type="http://schemas.openxmlformats.org/officeDocument/2006/relationships/hyperlink" Target="https://upload.wikimedia.org/wikipedia/commons/8/84/Valle_del_Cocora_junio_2025_15.jpg" TargetMode="External"/><Relationship Id="rId5295" Type="http://schemas.openxmlformats.org/officeDocument/2006/relationships/hyperlink" Target="https://maps.google.com/?q=4.666700,-75.500000" TargetMode="External"/><Relationship Id="rId5296" Type="http://schemas.openxmlformats.org/officeDocument/2006/relationships/hyperlink" Target="https://upload.wikimedia.org/wikipedia/commons/5/57/Valle_del_Cocora_junio_2025_19.jpg" TargetMode="External"/><Relationship Id="rId5293" Type="http://schemas.openxmlformats.org/officeDocument/2006/relationships/hyperlink" Target="https://upload.wikimedia.org/wikipedia/commons/a/ab/Valle_del_Cocora_junio_2025_18.jpg" TargetMode="External"/><Relationship Id="rId5294" Type="http://schemas.openxmlformats.org/officeDocument/2006/relationships/hyperlink" Target="https://commons.wikimedia.org/wiki/File:Valle_del_Cocora_junio_2025_18.jpg" TargetMode="External"/><Relationship Id="rId5299" Type="http://schemas.openxmlformats.org/officeDocument/2006/relationships/hyperlink" Target="https://upload.wikimedia.org/wikipedia/commons/d/d0/Valle_del_Cocora_junio_2025_21.jpg" TargetMode="External"/><Relationship Id="rId5297" Type="http://schemas.openxmlformats.org/officeDocument/2006/relationships/hyperlink" Target="https://commons.wikimedia.org/wiki/File:Valle_del_Cocora_junio_2025_19.jpg" TargetMode="External"/><Relationship Id="rId5298" Type="http://schemas.openxmlformats.org/officeDocument/2006/relationships/hyperlink" Target="https://maps.google.com/?q=4.666700,-75.500000" TargetMode="External"/><Relationship Id="rId5280" Type="http://schemas.openxmlformats.org/officeDocument/2006/relationships/hyperlink" Target="https://maps.google.com/?q=4.666700,-75.500000" TargetMode="External"/><Relationship Id="rId5281" Type="http://schemas.openxmlformats.org/officeDocument/2006/relationships/hyperlink" Target="https://upload.wikimedia.org/wikipedia/commons/0/0b/Valle_del_Cocora_junio_2025_10.jpg" TargetMode="External"/><Relationship Id="rId5284" Type="http://schemas.openxmlformats.org/officeDocument/2006/relationships/hyperlink" Target="https://upload.wikimedia.org/wikipedia/commons/c/cb/Valle_del_Cocora_junio_2025_13.jpg" TargetMode="External"/><Relationship Id="rId5285" Type="http://schemas.openxmlformats.org/officeDocument/2006/relationships/hyperlink" Target="https://commons.wikimedia.org/wiki/File:Valle_del_Cocora_junio_2025_13.jpg" TargetMode="External"/><Relationship Id="rId5282" Type="http://schemas.openxmlformats.org/officeDocument/2006/relationships/hyperlink" Target="https://commons.wikimedia.org/wiki/File:Valle_del_Cocora_junio_2025_10.jpg" TargetMode="External"/><Relationship Id="rId5283" Type="http://schemas.openxmlformats.org/officeDocument/2006/relationships/hyperlink" Target="https://maps.google.com/?q=4.666700,-75.500000" TargetMode="External"/><Relationship Id="rId5288" Type="http://schemas.openxmlformats.org/officeDocument/2006/relationships/hyperlink" Target="https://commons.wikimedia.org/wiki/File:Valle_del_Cocora_junio_2025_14.jpg" TargetMode="External"/><Relationship Id="rId5289" Type="http://schemas.openxmlformats.org/officeDocument/2006/relationships/hyperlink" Target="https://maps.google.com/?q=4.666700,-75.500000" TargetMode="External"/><Relationship Id="rId5286" Type="http://schemas.openxmlformats.org/officeDocument/2006/relationships/hyperlink" Target="https://maps.google.com/?q=4.666700,-75.500000" TargetMode="External"/><Relationship Id="rId5287" Type="http://schemas.openxmlformats.org/officeDocument/2006/relationships/hyperlink" Target="https://upload.wikimedia.org/wikipedia/commons/6/6c/Valle_del_Cocora_junio_2025_14.jpg" TargetMode="External"/><Relationship Id="rId1710" Type="http://schemas.openxmlformats.org/officeDocument/2006/relationships/hyperlink" Target="https://commons.wikimedia.org/wiki/File:Dendrochilum_orchid_se.jpg" TargetMode="External"/><Relationship Id="rId1711" Type="http://schemas.openxmlformats.org/officeDocument/2006/relationships/hyperlink" Target="https://maps.google.com/?q=4.581600,-7.417210" TargetMode="External"/><Relationship Id="rId1712" Type="http://schemas.openxmlformats.org/officeDocument/2006/relationships/hyperlink" Target="https://upload.wikimedia.org/wikipedia/commons/d/dd/DETALLE_HOJAS_DE_BANANO.jpg" TargetMode="External"/><Relationship Id="rId1713" Type="http://schemas.openxmlformats.org/officeDocument/2006/relationships/hyperlink" Target="https://commons.wikimedia.org/wiki/File:DETALLE_HOJAS_DE_BANANO.jpg" TargetMode="External"/><Relationship Id="rId1714" Type="http://schemas.openxmlformats.org/officeDocument/2006/relationships/hyperlink" Target="https://upload.wikimedia.org/wikipedia/commons/e/e1/DSC00245-Mejorado-NR.png" TargetMode="External"/><Relationship Id="rId1715" Type="http://schemas.openxmlformats.org/officeDocument/2006/relationships/hyperlink" Target="https://commons.wikimedia.org/wiki/File:DSC00245-Mejorado-NR.png" TargetMode="External"/><Relationship Id="rId1716" Type="http://schemas.openxmlformats.org/officeDocument/2006/relationships/hyperlink" Target="https://upload.wikimedia.org/wikipedia/commons/3/3b/DSC03062-Mejorado-NR.png" TargetMode="External"/><Relationship Id="rId1717" Type="http://schemas.openxmlformats.org/officeDocument/2006/relationships/hyperlink" Target="https://commons.wikimedia.org/wiki/File:DSC03062-Mejorado-NR.png" TargetMode="External"/><Relationship Id="rId1718" Type="http://schemas.openxmlformats.org/officeDocument/2006/relationships/hyperlink" Target="https://upload.wikimedia.org/wikipedia/commons/e/e0/DSC08020-Mejorado-NR-2.jpg" TargetMode="External"/><Relationship Id="rId1719" Type="http://schemas.openxmlformats.org/officeDocument/2006/relationships/hyperlink" Target="https://commons.wikimedia.org/wiki/File:DSC08020-Mejorado-NR-2.jpg" TargetMode="External"/><Relationship Id="rId1700" Type="http://schemas.openxmlformats.org/officeDocument/2006/relationships/hyperlink" Target="https://maps.google.com/?q=5.862240,-74.870470" TargetMode="External"/><Relationship Id="rId1701" Type="http://schemas.openxmlformats.org/officeDocument/2006/relationships/hyperlink" Target="https://upload.wikimedia.org/wikipedia/commons/9/9f/Dendrobates_truncatus_2026.jpg" TargetMode="External"/><Relationship Id="rId1702" Type="http://schemas.openxmlformats.org/officeDocument/2006/relationships/hyperlink" Target="https://commons.wikimedia.org/wiki/File:Dendrobates_truncatus_2026.jpg" TargetMode="External"/><Relationship Id="rId1703" Type="http://schemas.openxmlformats.org/officeDocument/2006/relationships/hyperlink" Target="https://upload.wikimedia.org/wikipedia/commons/6/62/Dendrobates_truncatus_27-05-2026.jpg" TargetMode="External"/><Relationship Id="rId1704" Type="http://schemas.openxmlformats.org/officeDocument/2006/relationships/hyperlink" Target="https://commons.wikimedia.org/wiki/File:Dendrobates_truncatus_27-05-2026.jpg" TargetMode="External"/><Relationship Id="rId1705" Type="http://schemas.openxmlformats.org/officeDocument/2006/relationships/hyperlink" Target="https://maps.google.com/?q=4.983754,-74.268623" TargetMode="External"/><Relationship Id="rId1706" Type="http://schemas.openxmlformats.org/officeDocument/2006/relationships/hyperlink" Target="https://upload.wikimedia.org/wikipedia/commons/c/c2/Dendrochilum_orchid.jpg" TargetMode="External"/><Relationship Id="rId1707" Type="http://schemas.openxmlformats.org/officeDocument/2006/relationships/hyperlink" Target="https://commons.wikimedia.org/wiki/File:Dendrochilum_orchid.jpg" TargetMode="External"/><Relationship Id="rId1708" Type="http://schemas.openxmlformats.org/officeDocument/2006/relationships/hyperlink" Target="https://maps.google.com/?q=4.984224,-74.278261" TargetMode="External"/><Relationship Id="rId1709" Type="http://schemas.openxmlformats.org/officeDocument/2006/relationships/hyperlink" Target="https://upload.wikimedia.org/wikipedia/commons/3/33/Dendrochilum_orchid_se.jpg" TargetMode="External"/><Relationship Id="rId40" Type="http://schemas.openxmlformats.org/officeDocument/2006/relationships/hyperlink" Target="https://commons.wikimedia.org/wiki/File:Abeja_melipona_cafetera.jpg" TargetMode="External"/><Relationship Id="rId3513" Type="http://schemas.openxmlformats.org/officeDocument/2006/relationships/hyperlink" Target="https://commons.wikimedia.org/wiki/File:Mu%C3%A9rdago.jpg" TargetMode="External"/><Relationship Id="rId4844" Type="http://schemas.openxmlformats.org/officeDocument/2006/relationships/hyperlink" Target="https://commons.wikimedia.org/wiki/File:Sinfon%C3%ADa_verde_y_bruma_densa_en_las_laderas_de_Sumapaz.jpg" TargetMode="External"/><Relationship Id="rId3512" Type="http://schemas.openxmlformats.org/officeDocument/2006/relationships/hyperlink" Target="https://upload.wikimedia.org/wikipedia/commons/4/4e/Mu%C3%A9rdago.jpg" TargetMode="External"/><Relationship Id="rId4843" Type="http://schemas.openxmlformats.org/officeDocument/2006/relationships/hyperlink" Target="https://upload.wikimedia.org/wikipedia/commons/b/bf/Sinfon%C3%ADa_verde_y_bruma_densa_en_las_laderas_de_Sumapaz.jpg" TargetMode="External"/><Relationship Id="rId42" Type="http://schemas.openxmlformats.org/officeDocument/2006/relationships/hyperlink" Target="https://upload.wikimedia.org/wikipedia/commons/0/0b/Abeja_polinizando_una_flor_de_Excremis_sp.jpg" TargetMode="External"/><Relationship Id="rId3515" Type="http://schemas.openxmlformats.org/officeDocument/2006/relationships/hyperlink" Target="https://upload.wikimedia.org/wikipedia/commons/8/89/Myiozetetes_-_Barrancabermeja%2C_Santander%2C_Colombia_-_31_Dec_2025_-_Diferoch.jpg" TargetMode="External"/><Relationship Id="rId4846" Type="http://schemas.openxmlformats.org/officeDocument/2006/relationships/hyperlink" Target="https://upload.wikimedia.org/wikipedia/commons/6/68/Sinsonte_tropical_%28Mimus_gilvus%29_alimentandoce_en_Quipile_Cundimamarca.jpg" TargetMode="External"/><Relationship Id="rId41" Type="http://schemas.openxmlformats.org/officeDocument/2006/relationships/hyperlink" Target="https://maps.google.com/?q=4.872412,-74.084590" TargetMode="External"/><Relationship Id="rId3514" Type="http://schemas.openxmlformats.org/officeDocument/2006/relationships/hyperlink" Target="https://maps.google.com/?q=7.085062,-73.864098" TargetMode="External"/><Relationship Id="rId4845" Type="http://schemas.openxmlformats.org/officeDocument/2006/relationships/hyperlink" Target="https://maps.google.com/?q=4.743499,-74.523037" TargetMode="External"/><Relationship Id="rId44" Type="http://schemas.openxmlformats.org/officeDocument/2006/relationships/hyperlink" Target="https://maps.google.com/?q=4.874161,-74.085107" TargetMode="External"/><Relationship Id="rId3517" Type="http://schemas.openxmlformats.org/officeDocument/2006/relationships/hyperlink" Target="https://maps.google.com/?q=7.085007,-73.864173" TargetMode="External"/><Relationship Id="rId4848" Type="http://schemas.openxmlformats.org/officeDocument/2006/relationships/hyperlink" Target="https://maps.google.com/?q=4.874161,-74.085107" TargetMode="External"/><Relationship Id="rId43" Type="http://schemas.openxmlformats.org/officeDocument/2006/relationships/hyperlink" Target="https://commons.wikimedia.org/wiki/File:Abeja_polinizando_una_flor_de_Excremis_sp.jpg" TargetMode="External"/><Relationship Id="rId3516" Type="http://schemas.openxmlformats.org/officeDocument/2006/relationships/hyperlink" Target="https://commons.wikimedia.org/wiki/File:Myiozetetes_-_Barrancabermeja,_Santander,_Colombia_-_31_Dec_2025_-_Diferoch.jpg" TargetMode="External"/><Relationship Id="rId4847" Type="http://schemas.openxmlformats.org/officeDocument/2006/relationships/hyperlink" Target="https://commons.wikimedia.org/wiki/File:Sinsonte_tropical_(Mimus_gilvus)_alimentandoce_en_Quipile_Cundimamarca.jpg" TargetMode="External"/><Relationship Id="rId46" Type="http://schemas.openxmlformats.org/officeDocument/2006/relationships/hyperlink" Target="https://commons.wikimedia.org/wiki/File:Abeja_sobre_flor_de_Praxelis.jpg" TargetMode="External"/><Relationship Id="rId3519" Type="http://schemas.openxmlformats.org/officeDocument/2006/relationships/hyperlink" Target="https://commons.wikimedia.org/wiki/File:Myiozetetes_cayanensis_hellmayri_-_Barrancabermeja,_Santander,_Colombia_-_16_Nov_2025_-_Diferoch.jpg" TargetMode="External"/><Relationship Id="rId45" Type="http://schemas.openxmlformats.org/officeDocument/2006/relationships/hyperlink" Target="https://upload.wikimedia.org/wikipedia/commons/0/0c/Abeja_sobre_flor_de_Praxelis.jpg" TargetMode="External"/><Relationship Id="rId3518" Type="http://schemas.openxmlformats.org/officeDocument/2006/relationships/hyperlink" Target="https://upload.wikimedia.org/wikipedia/commons/2/2e/Myiozetetes_cayanensis_hellmayri_-_Barrancabermeja%2C_Santander%2C_Colombia_-_16_Nov_2025_-_Diferoch.jpg" TargetMode="External"/><Relationship Id="rId4849" Type="http://schemas.openxmlformats.org/officeDocument/2006/relationships/hyperlink" Target="https://upload.wikimedia.org/wikipedia/commons/3/37/Sirfido_cubierto_de_polen.jpg" TargetMode="External"/><Relationship Id="rId48" Type="http://schemas.openxmlformats.org/officeDocument/2006/relationships/hyperlink" Target="https://upload.wikimedia.org/wikipedia/commons/7/77/Abeja_sobre_flor_de_Praxelis_sp.jpg" TargetMode="External"/><Relationship Id="rId47" Type="http://schemas.openxmlformats.org/officeDocument/2006/relationships/hyperlink" Target="https://maps.google.com/?q=4.874161,-74.085107" TargetMode="External"/><Relationship Id="rId49" Type="http://schemas.openxmlformats.org/officeDocument/2006/relationships/hyperlink" Target="https://commons.wikimedia.org/wiki/File:Abeja_sobre_flor_de_Praxelis_sp.jpg" TargetMode="External"/><Relationship Id="rId4840" Type="http://schemas.openxmlformats.org/officeDocument/2006/relationships/hyperlink" Target="https://maps.google.com/?q=4.667750,-74.099944" TargetMode="External"/><Relationship Id="rId3511" Type="http://schemas.openxmlformats.org/officeDocument/2006/relationships/hyperlink" Target="https://commons.wikimedia.org/wiki/File:Musgo_negro.jpg" TargetMode="External"/><Relationship Id="rId4842" Type="http://schemas.openxmlformats.org/officeDocument/2006/relationships/hyperlink" Target="https://commons.wikimedia.org/wiki/File:Simulaci%C3%B3n_de_superp%C3%A1ramo_en_Jard%C3%ADn_Bot%C3%A1nico_de_Bogot%C3%A1.jpg" TargetMode="External"/><Relationship Id="rId3510" Type="http://schemas.openxmlformats.org/officeDocument/2006/relationships/hyperlink" Target="https://upload.wikimedia.org/wikipedia/commons/b/b9/Musgo_negro.jpg" TargetMode="External"/><Relationship Id="rId4841" Type="http://schemas.openxmlformats.org/officeDocument/2006/relationships/hyperlink" Target="https://upload.wikimedia.org/wikipedia/commons/8/89/Simulaci%C3%B3n_de_superp%C3%A1ramo_en_Jard%C3%ADn_Bot%C3%A1nico_de_Bogot%C3%A1.jpg" TargetMode="External"/><Relationship Id="rId3502" Type="http://schemas.openxmlformats.org/officeDocument/2006/relationships/hyperlink" Target="https://commons.wikimedia.org/wiki/File:Mundo_Fung%C3%AD.jpg" TargetMode="External"/><Relationship Id="rId4833" Type="http://schemas.openxmlformats.org/officeDocument/2006/relationships/hyperlink" Target="https://commons.wikimedia.org/wiki/File:Simbiosis_01.jpg" TargetMode="External"/><Relationship Id="rId3501" Type="http://schemas.openxmlformats.org/officeDocument/2006/relationships/hyperlink" Target="https://upload.wikimedia.org/wikipedia/commons/6/67/Mundo_Fung%C3%AD.jpg" TargetMode="External"/><Relationship Id="rId4832" Type="http://schemas.openxmlformats.org/officeDocument/2006/relationships/hyperlink" Target="https://upload.wikimedia.org/wikipedia/commons/b/b4/Simbiosis_01.jpg" TargetMode="External"/><Relationship Id="rId31" Type="http://schemas.openxmlformats.org/officeDocument/2006/relationships/hyperlink" Target="https://commons.wikimedia.org/wiki/File:Abeja_Halictidae_sobre_flor.jpg" TargetMode="External"/><Relationship Id="rId3504" Type="http://schemas.openxmlformats.org/officeDocument/2006/relationships/hyperlink" Target="https://upload.wikimedia.org/wikipedia/commons/1/13/Musgo_del_P%C3%A1ramo.jpg" TargetMode="External"/><Relationship Id="rId4835" Type="http://schemas.openxmlformats.org/officeDocument/2006/relationships/hyperlink" Target="https://commons.wikimedia.org/wiki/File:Simbiosis_02.jpg" TargetMode="External"/><Relationship Id="rId30" Type="http://schemas.openxmlformats.org/officeDocument/2006/relationships/hyperlink" Target="https://upload.wikimedia.org/wikipedia/commons/6/6c/Abeja_Halictidae_sobre_flor.jpg" TargetMode="External"/><Relationship Id="rId3503" Type="http://schemas.openxmlformats.org/officeDocument/2006/relationships/hyperlink" Target="https://maps.google.com/?q=4.561828,-73.989778" TargetMode="External"/><Relationship Id="rId4834" Type="http://schemas.openxmlformats.org/officeDocument/2006/relationships/hyperlink" Target="https://upload.wikimedia.org/wikipedia/commons/8/85/Simbiosis_02.jpg" TargetMode="External"/><Relationship Id="rId33" Type="http://schemas.openxmlformats.org/officeDocument/2006/relationships/hyperlink" Target="https://upload.wikimedia.org/wikipedia/commons/3/33/Abeja_Thygater_sp.jpg" TargetMode="External"/><Relationship Id="rId3506" Type="http://schemas.openxmlformats.org/officeDocument/2006/relationships/hyperlink" Target="https://maps.google.com/?q=4.873000,-74.349586" TargetMode="External"/><Relationship Id="rId4837" Type="http://schemas.openxmlformats.org/officeDocument/2006/relationships/hyperlink" Target="https://commons.wikimedia.org/wiki/File:Simbiosis_03.jpg" TargetMode="External"/><Relationship Id="rId32" Type="http://schemas.openxmlformats.org/officeDocument/2006/relationships/hyperlink" Target="https://maps.google.com/?q=4.741302,-73.909282" TargetMode="External"/><Relationship Id="rId3505" Type="http://schemas.openxmlformats.org/officeDocument/2006/relationships/hyperlink" Target="https://commons.wikimedia.org/wiki/File:Musgo_del_P%C3%A1ramo.jpg" TargetMode="External"/><Relationship Id="rId4836" Type="http://schemas.openxmlformats.org/officeDocument/2006/relationships/hyperlink" Target="https://upload.wikimedia.org/wikipedia/commons/a/a8/Simbiosis_03.jpg" TargetMode="External"/><Relationship Id="rId35" Type="http://schemas.openxmlformats.org/officeDocument/2006/relationships/hyperlink" Target="https://maps.google.com/?q=4.334470,-75.847580" TargetMode="External"/><Relationship Id="rId3508" Type="http://schemas.openxmlformats.org/officeDocument/2006/relationships/hyperlink" Target="https://commons.wikimedia.org/wiki/File:Musgo_en_espiral.jpg" TargetMode="External"/><Relationship Id="rId4839" Type="http://schemas.openxmlformats.org/officeDocument/2006/relationships/hyperlink" Target="https://commons.wikimedia.org/wiki/File:Simbiosis_04.jpg" TargetMode="External"/><Relationship Id="rId34" Type="http://schemas.openxmlformats.org/officeDocument/2006/relationships/hyperlink" Target="https://commons.wikimedia.org/wiki/File:Abeja_Thygater_sp.jpg" TargetMode="External"/><Relationship Id="rId3507" Type="http://schemas.openxmlformats.org/officeDocument/2006/relationships/hyperlink" Target="https://upload.wikimedia.org/wikipedia/commons/4/4a/Musgo_en_espiral.jpg" TargetMode="External"/><Relationship Id="rId4838" Type="http://schemas.openxmlformats.org/officeDocument/2006/relationships/hyperlink" Target="https://upload.wikimedia.org/wikipedia/commons/8/86/Simbiosis_04.jpg" TargetMode="External"/><Relationship Id="rId3509" Type="http://schemas.openxmlformats.org/officeDocument/2006/relationships/hyperlink" Target="https://maps.google.com/?q=4.868100,-74.344575" TargetMode="External"/><Relationship Id="rId37" Type="http://schemas.openxmlformats.org/officeDocument/2006/relationships/hyperlink" Target="https://commons.wikimedia.org/wiki/File:Abeja_melipona_(57935).jpg" TargetMode="External"/><Relationship Id="rId36" Type="http://schemas.openxmlformats.org/officeDocument/2006/relationships/hyperlink" Target="https://upload.wikimedia.org/wikipedia/commons/b/b3/Abeja_melipona_%2857935%29.jpg" TargetMode="External"/><Relationship Id="rId39" Type="http://schemas.openxmlformats.org/officeDocument/2006/relationships/hyperlink" Target="https://upload.wikimedia.org/wikipedia/commons/f/fe/Abeja_melipona_cafetera.jpg" TargetMode="External"/><Relationship Id="rId38" Type="http://schemas.openxmlformats.org/officeDocument/2006/relationships/hyperlink" Target="https://maps.google.com/?q=4.332538,-75.819356" TargetMode="External"/><Relationship Id="rId3500" Type="http://schemas.openxmlformats.org/officeDocument/2006/relationships/hyperlink" Target="https://commons.wikimedia.org/wiki/File:Muerte_en_Guatape.jpg" TargetMode="External"/><Relationship Id="rId4831" Type="http://schemas.openxmlformats.org/officeDocument/2006/relationships/hyperlink" Target="https://commons.wikimedia.org/wiki/File:Silueta_de_ni%C3%B1os_en_la_playa._Junio_de_2026.jpg" TargetMode="External"/><Relationship Id="rId4830" Type="http://schemas.openxmlformats.org/officeDocument/2006/relationships/hyperlink" Target="https://upload.wikimedia.org/wikipedia/commons/8/88/Silueta_de_ni%C3%B1os_en_la_playa._Junio_de_2026.jpg" TargetMode="External"/><Relationship Id="rId2203" Type="http://schemas.openxmlformats.org/officeDocument/2006/relationships/hyperlink" Target="https://maps.google.com/?q=4.667750,-74.099944" TargetMode="External"/><Relationship Id="rId3535" Type="http://schemas.openxmlformats.org/officeDocument/2006/relationships/hyperlink" Target="https://commons.wikimedia.org/wiki/File:Naturaleza_santandereana.jpg" TargetMode="External"/><Relationship Id="rId4866" Type="http://schemas.openxmlformats.org/officeDocument/2006/relationships/hyperlink" Target="https://upload.wikimedia.org/wikipedia/commons/9/9e/Snowy_Egret_%28Egretta_thula%29_feeding_on_a_lobster_in_Lago_Sochagota%2C_Paipa%2C_Boyac%C3%A1%2C_Colombia.jpg" TargetMode="External"/><Relationship Id="rId2204" Type="http://schemas.openxmlformats.org/officeDocument/2006/relationships/hyperlink" Target="https://upload.wikimedia.org/wikipedia/commons/b/be/Flor_de_la_Oreja_de_Elefante.jpg" TargetMode="External"/><Relationship Id="rId3534" Type="http://schemas.openxmlformats.org/officeDocument/2006/relationships/hyperlink" Target="https://upload.wikimedia.org/wikipedia/commons/b/bb/Naturaleza_santandereana.jpg" TargetMode="External"/><Relationship Id="rId4865" Type="http://schemas.openxmlformats.org/officeDocument/2006/relationships/hyperlink" Target="https://commons.wikimedia.org/wiki/File:Snow-capped_peaks_of_the_Sierra_Nevada_de_Santa_Marta_viewed_from_Cuchilla_de_San_Lorenzo.jpg" TargetMode="External"/><Relationship Id="rId20" Type="http://schemas.openxmlformats.org/officeDocument/2006/relationships/hyperlink" Target="https://commons.wikimedia.org/wiki/File:A_male_caring_for_the_next_generation.jpg" TargetMode="External"/><Relationship Id="rId2205" Type="http://schemas.openxmlformats.org/officeDocument/2006/relationships/hyperlink" Target="https://commons.wikimedia.org/wiki/File:Flor_de_la_Oreja_de_Elefante.jpg" TargetMode="External"/><Relationship Id="rId3537" Type="http://schemas.openxmlformats.org/officeDocument/2006/relationships/hyperlink" Target="https://commons.wikimedia.org/wiki/File:Nature_carved_this_masterpiece_%F0%9F%AA%A8_Palomino,_La_Guajira.jpg" TargetMode="External"/><Relationship Id="rId4868" Type="http://schemas.openxmlformats.org/officeDocument/2006/relationships/hyperlink" Target="https://upload.wikimedia.org/wikipedia/commons/4/4a/Sogamoso%2C_2026.jpg" TargetMode="External"/><Relationship Id="rId2206" Type="http://schemas.openxmlformats.org/officeDocument/2006/relationships/hyperlink" Target="https://maps.google.com/?q=4.669437,-74.097702" TargetMode="External"/><Relationship Id="rId3536" Type="http://schemas.openxmlformats.org/officeDocument/2006/relationships/hyperlink" Target="https://upload.wikimedia.org/wikipedia/commons/6/64/Nature_carved_this_masterpiece_%F0%9F%AA%A8_Palomino%2C_La_Guajira.jpg" TargetMode="External"/><Relationship Id="rId4867" Type="http://schemas.openxmlformats.org/officeDocument/2006/relationships/hyperlink" Target="https://commons.wikimedia.org/wiki/File:Snowy_Egret_(Egretta_thula)_feeding_on_a_lobster_in_Lago_Sochagota,_Paipa,_Boyac%C3%A1,_Colombia.jpg" TargetMode="External"/><Relationship Id="rId22" Type="http://schemas.openxmlformats.org/officeDocument/2006/relationships/hyperlink" Target="https://upload.wikimedia.org/wikipedia/commons/b/bb/A_story_of_the_victims_of_Colombia%27s_armed_conflict.jpg" TargetMode="External"/><Relationship Id="rId2207" Type="http://schemas.openxmlformats.org/officeDocument/2006/relationships/hyperlink" Target="https://upload.wikimedia.org/wikipedia/commons/7/7d/Flor_de_la_familia_Melastomataceae.png" TargetMode="External"/><Relationship Id="rId3539" Type="http://schemas.openxmlformats.org/officeDocument/2006/relationships/hyperlink" Target="https://commons.wikimedia.org/wiki/File:Necocl%C3%AD,_Antioquia._2025_05_30.jpg" TargetMode="External"/><Relationship Id="rId21" Type="http://schemas.openxmlformats.org/officeDocument/2006/relationships/hyperlink" Target="https://maps.google.com/?q=7.189779,-76.447289" TargetMode="External"/><Relationship Id="rId2208" Type="http://schemas.openxmlformats.org/officeDocument/2006/relationships/hyperlink" Target="https://commons.wikimedia.org/wiki/File:Flor_de_la_familia_Melastomataceae.png" TargetMode="External"/><Relationship Id="rId3538" Type="http://schemas.openxmlformats.org/officeDocument/2006/relationships/hyperlink" Target="https://upload.wikimedia.org/wikipedia/commons/5/5e/Necocl%C3%AD%2C_Antioquia._2025_05_30.jpg" TargetMode="External"/><Relationship Id="rId4869" Type="http://schemas.openxmlformats.org/officeDocument/2006/relationships/hyperlink" Target="https://commons.wikimedia.org/wiki/File:Sogamoso,_2026.jpg" TargetMode="External"/><Relationship Id="rId24" Type="http://schemas.openxmlformats.org/officeDocument/2006/relationships/hyperlink" Target="https://upload.wikimedia.org/wikipedia/commons/f/ff/A_tropical_milipede%2C_family_Rhinocricidae%2C_Tayrona_National_Park%2C_2025.jpg" TargetMode="External"/><Relationship Id="rId2209" Type="http://schemas.openxmlformats.org/officeDocument/2006/relationships/hyperlink" Target="https://maps.google.com/?q=12.583333,-81.700000" TargetMode="External"/><Relationship Id="rId23" Type="http://schemas.openxmlformats.org/officeDocument/2006/relationships/hyperlink" Target="https://commons.wikimedia.org/wiki/File:A_story_of_the_victims_of_Colombia%27s_armed_conflict.jpg" TargetMode="External"/><Relationship Id="rId26" Type="http://schemas.openxmlformats.org/officeDocument/2006/relationships/hyperlink" Target="https://maps.google.com/?q=4.873370,-74.082910" TargetMode="External"/><Relationship Id="rId25" Type="http://schemas.openxmlformats.org/officeDocument/2006/relationships/hyperlink" Target="https://commons.wikimedia.org/wiki/File:A_tropical_milipede,_family_Rhinocricidae,_Tayrona_National_Park,_2025.jpg" TargetMode="External"/><Relationship Id="rId28" Type="http://schemas.openxmlformats.org/officeDocument/2006/relationships/hyperlink" Target="https://commons.wikimedia.org/wiki/File:Abeja,_Halictidae_alimentandose.jpg" TargetMode="External"/><Relationship Id="rId4860" Type="http://schemas.openxmlformats.org/officeDocument/2006/relationships/hyperlink" Target="https://upload.wikimedia.org/wikipedia/commons/1/14/Small_yellow_wildflower_%28Asteraceae%29_growing_on_sandy_soil_near_Villa_de_Leyva%2C_2026.jpg" TargetMode="External"/><Relationship Id="rId27" Type="http://schemas.openxmlformats.org/officeDocument/2006/relationships/hyperlink" Target="https://upload.wikimedia.org/wikipedia/commons/e/e6/Abeja%2C_Halictidae_alimentandose.jpg" TargetMode="External"/><Relationship Id="rId3531" Type="http://schemas.openxmlformats.org/officeDocument/2006/relationships/hyperlink" Target="https://commons.wikimedia.org/wiki/File:Natural_National_Park.jpg" TargetMode="External"/><Relationship Id="rId4862" Type="http://schemas.openxmlformats.org/officeDocument/2006/relationships/hyperlink" Target="https://upload.wikimedia.org/wikipedia/commons/e/e5/Snake_colombian.jpg" TargetMode="External"/><Relationship Id="rId29" Type="http://schemas.openxmlformats.org/officeDocument/2006/relationships/hyperlink" Target="https://maps.google.com/?q=4.873370,-74.082910" TargetMode="External"/><Relationship Id="rId2200" Type="http://schemas.openxmlformats.org/officeDocument/2006/relationships/hyperlink" Target="https://commons.wikimedia.org/wiki/File:Flor_de_algodon.jpg" TargetMode="External"/><Relationship Id="rId3530" Type="http://schemas.openxmlformats.org/officeDocument/2006/relationships/hyperlink" Target="https://upload.wikimedia.org/wikipedia/commons/d/d5/Natural_National_Park.jpg" TargetMode="External"/><Relationship Id="rId4861" Type="http://schemas.openxmlformats.org/officeDocument/2006/relationships/hyperlink" Target="https://commons.wikimedia.org/wiki/File:Small_yellow_wildflower_(Asteraceae)_growing_on_sandy_soil_near_Villa_de_Leyva,_2026.jpg" TargetMode="External"/><Relationship Id="rId2201" Type="http://schemas.openxmlformats.org/officeDocument/2006/relationships/hyperlink" Target="https://upload.wikimedia.org/wikipedia/commons/2/21/Flor_de_feijoa_19_de_marzo.jpg" TargetMode="External"/><Relationship Id="rId3533" Type="http://schemas.openxmlformats.org/officeDocument/2006/relationships/hyperlink" Target="https://commons.wikimedia.org/wiki/File:Naturaleza_rio_sinu.jpg" TargetMode="External"/><Relationship Id="rId4864" Type="http://schemas.openxmlformats.org/officeDocument/2006/relationships/hyperlink" Target="https://upload.wikimedia.org/wikipedia/commons/c/c2/Snow-capped_peaks_of_the_Sierra_Nevada_de_Santa_Marta_viewed_from_Cuchilla_de_San_Lorenzo.jpg" TargetMode="External"/><Relationship Id="rId2202" Type="http://schemas.openxmlformats.org/officeDocument/2006/relationships/hyperlink" Target="https://commons.wikimedia.org/wiki/File:Flor_de_feijoa_19_de_marzo.jpg" TargetMode="External"/><Relationship Id="rId3532" Type="http://schemas.openxmlformats.org/officeDocument/2006/relationships/hyperlink" Target="https://upload.wikimedia.org/wikipedia/commons/3/38/Naturaleza_rio_sinu.jpg" TargetMode="External"/><Relationship Id="rId4863" Type="http://schemas.openxmlformats.org/officeDocument/2006/relationships/hyperlink" Target="https://commons.wikimedia.org/wiki/File:Snake_colombian.jpg" TargetMode="External"/><Relationship Id="rId3524" Type="http://schemas.openxmlformats.org/officeDocument/2006/relationships/hyperlink" Target="https://commons.wikimedia.org/wiki/File:Myriophyllum_aquaticum_texture.jpg" TargetMode="External"/><Relationship Id="rId4855" Type="http://schemas.openxmlformats.org/officeDocument/2006/relationships/hyperlink" Target="https://upload.wikimedia.org/wikipedia/commons/7/73/Sisyrinchium_sp-Sara_Amado.jpg" TargetMode="External"/><Relationship Id="rId3523" Type="http://schemas.openxmlformats.org/officeDocument/2006/relationships/hyperlink" Target="https://upload.wikimedia.org/wikipedia/commons/c/cd/Myriophyllum_aquaticum_texture.jpg" TargetMode="External"/><Relationship Id="rId4854" Type="http://schemas.openxmlformats.org/officeDocument/2006/relationships/hyperlink" Target="https://commons.wikimedia.org/wiki/File:Sisal_blanco_(Asparagaceae).jpg" TargetMode="External"/><Relationship Id="rId3526" Type="http://schemas.openxmlformats.org/officeDocument/2006/relationships/hyperlink" Target="https://commons.wikimedia.org/wiki/File:M%C3%A1s_all%C3%A1_del_muro.jpg" TargetMode="External"/><Relationship Id="rId4857" Type="http://schemas.openxmlformats.org/officeDocument/2006/relationships/hyperlink" Target="https://maps.google.com/?q=5.070000,-75.440000" TargetMode="External"/><Relationship Id="rId3525" Type="http://schemas.openxmlformats.org/officeDocument/2006/relationships/hyperlink" Target="https://upload.wikimedia.org/wikipedia/commons/e/e4/M%C3%A1s_all%C3%A1_del_muro.jpg" TargetMode="External"/><Relationship Id="rId4856" Type="http://schemas.openxmlformats.org/officeDocument/2006/relationships/hyperlink" Target="https://commons.wikimedia.org/wiki/File:Sisyrinchium_sp-Sara_Amado.jpg" TargetMode="External"/><Relationship Id="rId11" Type="http://schemas.openxmlformats.org/officeDocument/2006/relationships/hyperlink" Target="https://upload.wikimedia.org/wikipedia/commons/3/31/%28Nymphaea_lotus%29_Nymphaeaceae.jpg" TargetMode="External"/><Relationship Id="rId3528" Type="http://schemas.openxmlformats.org/officeDocument/2006/relationships/hyperlink" Target="https://upload.wikimedia.org/wikipedia/commons/7/7b/M%C3%A1s_all%C3%A1_del_pueblo.jpg" TargetMode="External"/><Relationship Id="rId4859" Type="http://schemas.openxmlformats.org/officeDocument/2006/relationships/hyperlink" Target="https://commons.wikimedia.org/wiki/File:Slaty-crowned_antpitta_(Grallaricula_nana_occidentalis)_Caldas_3.jpg" TargetMode="External"/><Relationship Id="rId10" Type="http://schemas.openxmlformats.org/officeDocument/2006/relationships/hyperlink" Target="https://maps.google.com/?q=4.513160,-74.537920" TargetMode="External"/><Relationship Id="rId3527" Type="http://schemas.openxmlformats.org/officeDocument/2006/relationships/hyperlink" Target="https://maps.google.com/?q=8.070789,-74.788883" TargetMode="External"/><Relationship Id="rId4858" Type="http://schemas.openxmlformats.org/officeDocument/2006/relationships/hyperlink" Target="https://upload.wikimedia.org/wikipedia/commons/9/9c/Slaty-crowned_antpitta_%28Grallaricula_nana_occidentalis%29_Caldas_3.jpg" TargetMode="External"/><Relationship Id="rId13" Type="http://schemas.openxmlformats.org/officeDocument/2006/relationships/hyperlink" Target="https://upload.wikimedia.org/wikipedia/commons/f/f5/3_mosqueteros.jpg" TargetMode="External"/><Relationship Id="rId12" Type="http://schemas.openxmlformats.org/officeDocument/2006/relationships/hyperlink" Target="https://commons.wikimedia.org/wiki/File:(Nymphaea_lotus)_Nymphaeaceae.jpg" TargetMode="External"/><Relationship Id="rId3529" Type="http://schemas.openxmlformats.org/officeDocument/2006/relationships/hyperlink" Target="https://commons.wikimedia.org/wiki/File:M%C3%A1s_all%C3%A1_del_pueblo.jpg" TargetMode="External"/><Relationship Id="rId15" Type="http://schemas.openxmlformats.org/officeDocument/2006/relationships/hyperlink" Target="https://maps.google.com/?q=8.072847,-74.785606" TargetMode="External"/><Relationship Id="rId14" Type="http://schemas.openxmlformats.org/officeDocument/2006/relationships/hyperlink" Target="https://commons.wikimedia.org/wiki/File:3_mosqueteros.jpg" TargetMode="External"/><Relationship Id="rId17" Type="http://schemas.openxmlformats.org/officeDocument/2006/relationships/hyperlink" Target="https://commons.wikimedia.org/wiki/File:A_la_sombra_en_Nech%C3%AD.jpg" TargetMode="External"/><Relationship Id="rId16" Type="http://schemas.openxmlformats.org/officeDocument/2006/relationships/hyperlink" Target="https://upload.wikimedia.org/wikipedia/commons/8/81/A_la_sombra_en_Nech%C3%AD.jpg" TargetMode="External"/><Relationship Id="rId19" Type="http://schemas.openxmlformats.org/officeDocument/2006/relationships/hyperlink" Target="https://upload.wikimedia.org/wikipedia/commons/6/60/A_male_caring_for_the_next_generation.jpg" TargetMode="External"/><Relationship Id="rId3520" Type="http://schemas.openxmlformats.org/officeDocument/2006/relationships/hyperlink" Target="https://maps.google.com/?q=7.085063,-73.864098" TargetMode="External"/><Relationship Id="rId4851" Type="http://schemas.openxmlformats.org/officeDocument/2006/relationships/hyperlink" Target="https://upload.wikimedia.org/wikipedia/commons/6/6d/Siriri_en_su_nido.jpg" TargetMode="External"/><Relationship Id="rId18" Type="http://schemas.openxmlformats.org/officeDocument/2006/relationships/hyperlink" Target="https://maps.google.com/?q=4.708471,-75.648438" TargetMode="External"/><Relationship Id="rId4850" Type="http://schemas.openxmlformats.org/officeDocument/2006/relationships/hyperlink" Target="https://commons.wikimedia.org/wiki/File:Sirfido_cubierto_de_polen.jpg" TargetMode="External"/><Relationship Id="rId3522" Type="http://schemas.openxmlformats.org/officeDocument/2006/relationships/hyperlink" Target="https://commons.wikimedia.org/wiki/File:Myiozetetes_cayanensis_hellmayri_-_Barrancabermeja,_Santander,_Colombia_-_31_Dec_2025_-_Diferoch.jpg" TargetMode="External"/><Relationship Id="rId4853" Type="http://schemas.openxmlformats.org/officeDocument/2006/relationships/hyperlink" Target="https://upload.wikimedia.org/wikipedia/commons/8/81/Sisal_blanco_%28Asparagaceae%29.jpg" TargetMode="External"/><Relationship Id="rId3521" Type="http://schemas.openxmlformats.org/officeDocument/2006/relationships/hyperlink" Target="https://upload.wikimedia.org/wikipedia/commons/2/22/Myiozetetes_cayanensis_hellmayri_-_Barrancabermeja%2C_Santander%2C_Colombia_-_31_Dec_2025_-_Diferoch.jpg" TargetMode="External"/><Relationship Id="rId4852" Type="http://schemas.openxmlformats.org/officeDocument/2006/relationships/hyperlink" Target="https://commons.wikimedia.org/wiki/File:Siriri_en_su_nido.jpg" TargetMode="External"/><Relationship Id="rId84" Type="http://schemas.openxmlformats.org/officeDocument/2006/relationships/hyperlink" Target="https://maps.google.com/?q=5.624638,-77.419563" TargetMode="External"/><Relationship Id="rId1774" Type="http://schemas.openxmlformats.org/officeDocument/2006/relationships/hyperlink" Target="https://commons.wikimedia.org/wiki/File:Didelphis_marsupialis_-_Barrancabermeja,_Santander,_Colombia_-_2_Jun_2025_-_2.jpg" TargetMode="External"/><Relationship Id="rId4800" Type="http://schemas.openxmlformats.org/officeDocument/2006/relationships/hyperlink" Target="https://commons.wikimedia.org/wiki/File:Serpiente_caracolera_Sna_cipriano.jpg" TargetMode="External"/><Relationship Id="rId83" Type="http://schemas.openxmlformats.org/officeDocument/2006/relationships/hyperlink" Target="https://commons.wikimedia.org/wiki/File:Actitis_macularius_-_Cimitarra,_Santander,_Colombia_-_30_Sep_2025_-_Diferoch.jpg" TargetMode="External"/><Relationship Id="rId1775" Type="http://schemas.openxmlformats.org/officeDocument/2006/relationships/hyperlink" Target="https://maps.google.com/?q=7.084798,-73.863785" TargetMode="External"/><Relationship Id="rId86" Type="http://schemas.openxmlformats.org/officeDocument/2006/relationships/hyperlink" Target="https://commons.wikimedia.org/wiki/File:Actitis_macularius_-_Nuqu%C3%AD,_Choc%C3%B3,_Colombia_-_23_Oct_2025_-_Diferoch.jpg" TargetMode="External"/><Relationship Id="rId1776" Type="http://schemas.openxmlformats.org/officeDocument/2006/relationships/hyperlink" Target="https://upload.wikimedia.org/wikipedia/commons/d/d5/Didelphis_marsupialis_-_Barrancabermeja%2C_Santander%2C_Colombia_-_2_Jun_2025_-_3.jpg" TargetMode="External"/><Relationship Id="rId4802" Type="http://schemas.openxmlformats.org/officeDocument/2006/relationships/hyperlink" Target="https://commons.wikimedia.org/wiki/File:Serran%C3%ADa_la_Lindosa.jpg" TargetMode="External"/><Relationship Id="rId85" Type="http://schemas.openxmlformats.org/officeDocument/2006/relationships/hyperlink" Target="https://upload.wikimedia.org/wikipedia/commons/9/90/Actitis_macularius_-_Nuqu%C3%AD%2C_Choc%C3%B3%2C_Colombia_-_23_Oct_2025_-_Diferoch.jpg" TargetMode="External"/><Relationship Id="rId1777" Type="http://schemas.openxmlformats.org/officeDocument/2006/relationships/hyperlink" Target="https://commons.wikimedia.org/wiki/File:Didelphis_marsupialis_-_Barrancabermeja,_Santander,_Colombia_-_2_Jun_2025_-_3.jpg" TargetMode="External"/><Relationship Id="rId4801" Type="http://schemas.openxmlformats.org/officeDocument/2006/relationships/hyperlink" Target="https://upload.wikimedia.org/wikipedia/commons/1/1f/Serran%C3%ADa_la_Lindosa.jpg" TargetMode="External"/><Relationship Id="rId88" Type="http://schemas.openxmlformats.org/officeDocument/2006/relationships/hyperlink" Target="https://upload.wikimedia.org/wikipedia/commons/6/6d/Aechmea_fasciata_%28Lindl.%29_Baker.png" TargetMode="External"/><Relationship Id="rId1778" Type="http://schemas.openxmlformats.org/officeDocument/2006/relationships/hyperlink" Target="https://upload.wikimedia.org/wikipedia/commons/8/85/Dimorfismo_sexual_en_Sporophila_luctuosa_en_vegetaci%C3%B3n_natural.jpg" TargetMode="External"/><Relationship Id="rId4804" Type="http://schemas.openxmlformats.org/officeDocument/2006/relationships/hyperlink" Target="https://commons.wikimedia.org/wiki/File:Shield_Lichen_of_the_Sierra_(Parmotrema),_near_Minca_cloud_forest,_2025.jpg" TargetMode="External"/><Relationship Id="rId87" Type="http://schemas.openxmlformats.org/officeDocument/2006/relationships/hyperlink" Target="https://maps.google.com/?q=4.667750,-74.099944" TargetMode="External"/><Relationship Id="rId1779" Type="http://schemas.openxmlformats.org/officeDocument/2006/relationships/hyperlink" Target="https://commons.wikimedia.org/wiki/File:Dimorfismo_sexual_en_Sporophila_luctuosa_en_vegetaci%C3%B3n_natural.jpg" TargetMode="External"/><Relationship Id="rId4803" Type="http://schemas.openxmlformats.org/officeDocument/2006/relationships/hyperlink" Target="https://upload.wikimedia.org/wikipedia/commons/3/31/Shield_Lichen_of_the_Sierra_%28Parmotrema%29%2C_near_Minca_cloud_forest%2C_2025.jpg" TargetMode="External"/><Relationship Id="rId4806" Type="http://schemas.openxmlformats.org/officeDocument/2006/relationships/hyperlink" Target="https://commons.wikimedia.org/wiki/File:Sierra_Nevada_De_Santa_Marta.jpg" TargetMode="External"/><Relationship Id="rId89" Type="http://schemas.openxmlformats.org/officeDocument/2006/relationships/hyperlink" Target="https://commons.wikimedia.org/wiki/File:Aechmea_fasciata_(Lindl.)_Baker.png" TargetMode="External"/><Relationship Id="rId4805" Type="http://schemas.openxmlformats.org/officeDocument/2006/relationships/hyperlink" Target="https://upload.wikimedia.org/wikipedia/commons/b/b6/Sierra_Nevada_De_Santa_Marta.jpg" TargetMode="External"/><Relationship Id="rId4808" Type="http://schemas.openxmlformats.org/officeDocument/2006/relationships/hyperlink" Target="https://commons.wikimedia.org/wiki/File:Sierra_de_La_Macarena.jpg" TargetMode="External"/><Relationship Id="rId4807" Type="http://schemas.openxmlformats.org/officeDocument/2006/relationships/hyperlink" Target="https://upload.wikimedia.org/wikipedia/commons/a/a7/Sierra_de_La_Macarena.jpg" TargetMode="External"/><Relationship Id="rId4809" Type="http://schemas.openxmlformats.org/officeDocument/2006/relationships/hyperlink" Target="https://upload.wikimedia.org/wikipedia/commons/2/2d/Sierra_de_la_macarena.jpg" TargetMode="External"/><Relationship Id="rId80" Type="http://schemas.openxmlformats.org/officeDocument/2006/relationships/hyperlink" Target="https://commons.wikimedia.org/wiki/File:Acr%C3%B3batas_del_r%C3%ADo_Magdalena.jpg" TargetMode="External"/><Relationship Id="rId82" Type="http://schemas.openxmlformats.org/officeDocument/2006/relationships/hyperlink" Target="https://upload.wikimedia.org/wikipedia/commons/4/46/Actitis_macularius_-_Cimitarra%2C_Santander%2C_Colombia_-_30_Sep_2025_-_Diferoch.jpg" TargetMode="External"/><Relationship Id="rId81" Type="http://schemas.openxmlformats.org/officeDocument/2006/relationships/hyperlink" Target="https://maps.google.com/?q=6.717535,-74.134963" TargetMode="External"/><Relationship Id="rId1770" Type="http://schemas.openxmlformats.org/officeDocument/2006/relationships/hyperlink" Target="https://upload.wikimedia.org/wikipedia/commons/5/59/Didelphis_marsupialis_-_Barrancabermeja%2C_Santander%2C_Colombia_-_2_Jun_2025_-_1.jpg" TargetMode="External"/><Relationship Id="rId1771" Type="http://schemas.openxmlformats.org/officeDocument/2006/relationships/hyperlink" Target="https://commons.wikimedia.org/wiki/File:Didelphis_marsupialis_-_Barrancabermeja,_Santander,_Colombia_-_2_Jun_2025_-_1.jpg" TargetMode="External"/><Relationship Id="rId1772" Type="http://schemas.openxmlformats.org/officeDocument/2006/relationships/hyperlink" Target="https://maps.google.com/?q=7.084865,-73.863877" TargetMode="External"/><Relationship Id="rId1773" Type="http://schemas.openxmlformats.org/officeDocument/2006/relationships/hyperlink" Target="https://upload.wikimedia.org/wikipedia/commons/6/68/Didelphis_marsupialis_-_Barrancabermeja%2C_Santander%2C_Colombia_-_2_Jun_2025_-_2.jpg" TargetMode="External"/><Relationship Id="rId73" Type="http://schemas.openxmlformats.org/officeDocument/2006/relationships/hyperlink" Target="https://upload.wikimedia.org/wikipedia/commons/1/1a/Acanto_-_oreja_de_oso_%28Acanthus_mollis%29.jpg" TargetMode="External"/><Relationship Id="rId1763" Type="http://schemas.openxmlformats.org/officeDocument/2006/relationships/hyperlink" Target="https://commons.wikimedia.org/wiki/File:Detr%C3%A1s_de_los_%C3%A1rboles.jpg" TargetMode="External"/><Relationship Id="rId72" Type="http://schemas.openxmlformats.org/officeDocument/2006/relationships/hyperlink" Target="https://commons.wikimedia.org/wiki/File:Acantilados_y_bosque_de_niebla_en_el_ca%C3%B1%C3%B3n_del_Tequendama.jpg" TargetMode="External"/><Relationship Id="rId1764" Type="http://schemas.openxmlformats.org/officeDocument/2006/relationships/hyperlink" Target="https://upload.wikimedia.org/wikipedia/commons/b/be/Dia_hermoso_en_el_Salto_del_Tequendama.jpg" TargetMode="External"/><Relationship Id="rId75" Type="http://schemas.openxmlformats.org/officeDocument/2006/relationships/hyperlink" Target="https://upload.wikimedia.org/wikipedia/commons/2/2f/Achira_amarilla_%28Canna_indica%29.jpg" TargetMode="External"/><Relationship Id="rId1765" Type="http://schemas.openxmlformats.org/officeDocument/2006/relationships/hyperlink" Target="https://commons.wikimedia.org/wiki/File:Dia_hermoso_en_el_Salto_del_Tequendama.jpg" TargetMode="External"/><Relationship Id="rId74" Type="http://schemas.openxmlformats.org/officeDocument/2006/relationships/hyperlink" Target="https://commons.wikimedia.org/wiki/File:Acanto_-_oreja_de_oso_(Acanthus_mollis).jpg" TargetMode="External"/><Relationship Id="rId1766" Type="http://schemas.openxmlformats.org/officeDocument/2006/relationships/hyperlink" Target="https://maps.google.com/?q=3.561100,-76.556900" TargetMode="External"/><Relationship Id="rId77" Type="http://schemas.openxmlformats.org/officeDocument/2006/relationships/hyperlink" Target="https://upload.wikimedia.org/wikipedia/commons/a/ab/Acromyrmex_ant.jpg" TargetMode="External"/><Relationship Id="rId1767" Type="http://schemas.openxmlformats.org/officeDocument/2006/relationships/hyperlink" Target="https://upload.wikimedia.org/wikipedia/commons/2/2a/Diamante_pechigamuza_-_Heliodoxa_rubinoides.jpg" TargetMode="External"/><Relationship Id="rId76" Type="http://schemas.openxmlformats.org/officeDocument/2006/relationships/hyperlink" Target="https://commons.wikimedia.org/wiki/File:Achira_amarilla_(Canna_indica).jpg" TargetMode="External"/><Relationship Id="rId1768" Type="http://schemas.openxmlformats.org/officeDocument/2006/relationships/hyperlink" Target="https://commons.wikimedia.org/wiki/File:Diamante_pechigamuza_-_Heliodoxa_rubinoides.jpg" TargetMode="External"/><Relationship Id="rId79" Type="http://schemas.openxmlformats.org/officeDocument/2006/relationships/hyperlink" Target="https://upload.wikimedia.org/wikipedia/commons/8/8d/Acr%C3%B3batas_del_r%C3%ADo_Magdalena.jpg" TargetMode="External"/><Relationship Id="rId1769" Type="http://schemas.openxmlformats.org/officeDocument/2006/relationships/hyperlink" Target="https://maps.google.com/?q=7.084880,-73.863915" TargetMode="External"/><Relationship Id="rId78" Type="http://schemas.openxmlformats.org/officeDocument/2006/relationships/hyperlink" Target="https://commons.wikimedia.org/wiki/File:Acromyrmex_ant.jpg" TargetMode="External"/><Relationship Id="rId71" Type="http://schemas.openxmlformats.org/officeDocument/2006/relationships/hyperlink" Target="https://upload.wikimedia.org/wikipedia/commons/e/e2/Acantilados_y_bosque_de_niebla_en_el_ca%C3%B1%C3%B3n_del_Tequendama.jpg" TargetMode="External"/><Relationship Id="rId70" Type="http://schemas.openxmlformats.org/officeDocument/2006/relationships/hyperlink" Target="https://maps.google.com/?q=4.580683,-74.297505" TargetMode="External"/><Relationship Id="rId1760" Type="http://schemas.openxmlformats.org/officeDocument/2006/relationships/hyperlink" Target="https://commons.wikimedia.org/wiki/File:Detalle_del_Agua_y_sus_Plantas.jpg" TargetMode="External"/><Relationship Id="rId1761" Type="http://schemas.openxmlformats.org/officeDocument/2006/relationships/hyperlink" Target="https://maps.google.com/?q=8.072878,-74.785600" TargetMode="External"/><Relationship Id="rId1762" Type="http://schemas.openxmlformats.org/officeDocument/2006/relationships/hyperlink" Target="https://upload.wikimedia.org/wikipedia/commons/f/f1/Detr%C3%A1s_de_los_%C3%A1rboles.jpg" TargetMode="External"/><Relationship Id="rId62" Type="http://schemas.openxmlformats.org/officeDocument/2006/relationships/hyperlink" Target="https://commons.wikimedia.org/wiki/File:Abracris_flavolineata_-_Barrancabermeja,_Santander,_Colombia_-_29_Jun_2026_-_Diferoch.jpg" TargetMode="External"/><Relationship Id="rId1796" Type="http://schemas.openxmlformats.org/officeDocument/2006/relationships/hyperlink" Target="https://upload.wikimedia.org/wikipedia/commons/8/86/Donde_el_r%C3%ADo_se_encuentra_con_el_mar.jpg" TargetMode="External"/><Relationship Id="rId4822" Type="http://schemas.openxmlformats.org/officeDocument/2006/relationships/hyperlink" Target="https://upload.wikimedia.org/wikipedia/commons/8/89/Silfo_Coliverde.jpg" TargetMode="External"/><Relationship Id="rId61" Type="http://schemas.openxmlformats.org/officeDocument/2006/relationships/hyperlink" Target="https://upload.wikimedia.org/wikipedia/commons/6/66/Abracris_flavolineata_-_Barrancabermeja%2C_Santander%2C_Colombia_-_29_Jun_2026_-_Diferoch.jpg" TargetMode="External"/><Relationship Id="rId1797" Type="http://schemas.openxmlformats.org/officeDocument/2006/relationships/hyperlink" Target="https://commons.wikimedia.org/wiki/File:Donde_el_r%C3%ADo_se_encuentra_con_el_mar.jpg" TargetMode="External"/><Relationship Id="rId4821" Type="http://schemas.openxmlformats.org/officeDocument/2006/relationships/hyperlink" Target="https://commons.wikimedia.org/wiki/File:Siete_cueros_rastrero_-_Spanish_Shawl_(Heterocentron_elegans).jpg" TargetMode="External"/><Relationship Id="rId64" Type="http://schemas.openxmlformats.org/officeDocument/2006/relationships/hyperlink" Target="https://upload.wikimedia.org/wikipedia/commons/c/c8/Abrazo_pedemontano_de_manonegra.jpg" TargetMode="External"/><Relationship Id="rId1798" Type="http://schemas.openxmlformats.org/officeDocument/2006/relationships/hyperlink" Target="https://upload.wikimedia.org/wikipedia/commons/1/1e/Donde_nace_el_silencio.jpg" TargetMode="External"/><Relationship Id="rId4824" Type="http://schemas.openxmlformats.org/officeDocument/2006/relationships/hyperlink" Target="https://maps.google.com/?q=3.561100,-76.556900" TargetMode="External"/><Relationship Id="rId63" Type="http://schemas.openxmlformats.org/officeDocument/2006/relationships/hyperlink" Target="https://maps.google.com/?q=1.660750,-75.600525" TargetMode="External"/><Relationship Id="rId1799" Type="http://schemas.openxmlformats.org/officeDocument/2006/relationships/hyperlink" Target="https://commons.wikimedia.org/wiki/File:Donde_nace_el_silencio.jpg" TargetMode="External"/><Relationship Id="rId4823" Type="http://schemas.openxmlformats.org/officeDocument/2006/relationships/hyperlink" Target="https://commons.wikimedia.org/wiki/File:Silfo_Coliverde.jpg" TargetMode="External"/><Relationship Id="rId66" Type="http://schemas.openxmlformats.org/officeDocument/2006/relationships/hyperlink" Target="https://upload.wikimedia.org/wikipedia/commons/9/90/Abutil%C3%B3n_o_farolito_japon%C3%A9s_%28Callianthe_picta%29.jpg" TargetMode="External"/><Relationship Id="rId4826" Type="http://schemas.openxmlformats.org/officeDocument/2006/relationships/hyperlink" Target="https://commons.wikimedia.org/wiki/File:Silfo_Coliverde_-_Aglaiocercus_kingii.jpg" TargetMode="External"/><Relationship Id="rId65" Type="http://schemas.openxmlformats.org/officeDocument/2006/relationships/hyperlink" Target="https://commons.wikimedia.org/wiki/File:Abrazo_pedemontano_de_manonegra.jpg" TargetMode="External"/><Relationship Id="rId4825" Type="http://schemas.openxmlformats.org/officeDocument/2006/relationships/hyperlink" Target="https://upload.wikimedia.org/wikipedia/commons/c/ce/Silfo_Coliverde_-_Aglaiocercus_kingii.jpg" TargetMode="External"/><Relationship Id="rId68" Type="http://schemas.openxmlformats.org/officeDocument/2006/relationships/hyperlink" Target="https://upload.wikimedia.org/wikipedia/commons/f/fc/Acantilado_de_los_Farallones_de_Sutatausa_con_vista_al_valle.jpg" TargetMode="External"/><Relationship Id="rId4828" Type="http://schemas.openxmlformats.org/officeDocument/2006/relationships/hyperlink" Target="https://commons.wikimedia.org/wiki/File:Silfo_coliverde_(Aglaiocercus_Kingii).jpg" TargetMode="External"/><Relationship Id="rId67" Type="http://schemas.openxmlformats.org/officeDocument/2006/relationships/hyperlink" Target="https://commons.wikimedia.org/wiki/File:Abutil%C3%B3n_o_farolito_japon%C3%A9s_(Callianthe_picta).jpg" TargetMode="External"/><Relationship Id="rId4827" Type="http://schemas.openxmlformats.org/officeDocument/2006/relationships/hyperlink" Target="https://upload.wikimedia.org/wikipedia/commons/d/d9/Silfo_coliverde_%28Aglaiocercus_Kingii%29.jpg" TargetMode="External"/><Relationship Id="rId4829" Type="http://schemas.openxmlformats.org/officeDocument/2006/relationships/hyperlink" Target="https://maps.google.com/?q=11.554472,-72.909081" TargetMode="External"/><Relationship Id="rId60" Type="http://schemas.openxmlformats.org/officeDocument/2006/relationships/hyperlink" Target="https://maps.google.com/?q=7.084860,-73.863838" TargetMode="External"/><Relationship Id="rId69" Type="http://schemas.openxmlformats.org/officeDocument/2006/relationships/hyperlink" Target="https://commons.wikimedia.org/wiki/File:Acantilado_de_los_Farallones_de_Sutatausa_con_vista_al_valle.jpg" TargetMode="External"/><Relationship Id="rId1790" Type="http://schemas.openxmlformats.org/officeDocument/2006/relationships/hyperlink" Target="https://commons.wikimedia.org/wiki/File:Divisando_el_lago.jpg" TargetMode="External"/><Relationship Id="rId1791" Type="http://schemas.openxmlformats.org/officeDocument/2006/relationships/hyperlink" Target="https://upload.wikimedia.org/wikipedia/commons/0/05/Divisando_el_mar_desde_Santa_Marta_%28Colombia%29.jpg" TargetMode="External"/><Relationship Id="rId1792" Type="http://schemas.openxmlformats.org/officeDocument/2006/relationships/hyperlink" Target="https://commons.wikimedia.org/wiki/File:Divisando_el_mar_desde_Santa_Marta_(Colombia).jpg" TargetMode="External"/><Relationship Id="rId1793" Type="http://schemas.openxmlformats.org/officeDocument/2006/relationships/hyperlink" Target="https://upload.wikimedia.org/wikipedia/commons/8/84/Dobleshuila_07.jpg" TargetMode="External"/><Relationship Id="rId1794" Type="http://schemas.openxmlformats.org/officeDocument/2006/relationships/hyperlink" Target="https://commons.wikimedia.org/wiki/File:Dobleshuila_07.jpg" TargetMode="External"/><Relationship Id="rId4820" Type="http://schemas.openxmlformats.org/officeDocument/2006/relationships/hyperlink" Target="https://upload.wikimedia.org/wikipedia/commons/4/41/Siete_cueros_rastrero_-_Spanish_Shawl_%28Heterocentron_elegans%29.jpg" TargetMode="External"/><Relationship Id="rId1795" Type="http://schemas.openxmlformats.org/officeDocument/2006/relationships/hyperlink" Target="https://maps.google.com/?q=11.046700,-74.844200" TargetMode="External"/><Relationship Id="rId51" Type="http://schemas.openxmlformats.org/officeDocument/2006/relationships/hyperlink" Target="https://commons.wikimedia.org/wiki/File:Abejas_angelitas_trabajadoras.jpg" TargetMode="External"/><Relationship Id="rId1785" Type="http://schemas.openxmlformats.org/officeDocument/2006/relationships/hyperlink" Target="https://commons.wikimedia.org/wiki/File:Diptera_-_Bogot%C3%A1_D._C.,_Colombia_-_23_Aug_2025_-_Diferoch_-_2.jpg" TargetMode="External"/><Relationship Id="rId4811" Type="http://schemas.openxmlformats.org/officeDocument/2006/relationships/hyperlink" Target="https://upload.wikimedia.org/wikipedia/commons/4/4c/Siete_Cueros_%28Meriania_nobilis%29_in_the_mountains_of_Medell%C3%ADn%2C_2025.jpg" TargetMode="External"/><Relationship Id="rId50" Type="http://schemas.openxmlformats.org/officeDocument/2006/relationships/hyperlink" Target="https://upload.wikimedia.org/wikipedia/commons/f/fa/Abejas_angelitas_trabajadoras.jpg" TargetMode="External"/><Relationship Id="rId1786" Type="http://schemas.openxmlformats.org/officeDocument/2006/relationships/hyperlink" Target="https://maps.google.com/?q=4.599790,-74.063430" TargetMode="External"/><Relationship Id="rId4810" Type="http://schemas.openxmlformats.org/officeDocument/2006/relationships/hyperlink" Target="https://commons.wikimedia.org/wiki/File:Sierra_de_la_macarena.jpg" TargetMode="External"/><Relationship Id="rId53" Type="http://schemas.openxmlformats.org/officeDocument/2006/relationships/hyperlink" Target="https://upload.wikimedia.org/wikipedia/commons/4/49/Abejas_meliponas_angelitas.jpg" TargetMode="External"/><Relationship Id="rId1787" Type="http://schemas.openxmlformats.org/officeDocument/2006/relationships/hyperlink" Target="https://upload.wikimedia.org/wikipedia/commons/7/74/Diptera_-_Bogot%C3%A1_D._C.%2C_Colombia_-_23_Aug_2025_-_Diferoch_-_3.jpg" TargetMode="External"/><Relationship Id="rId4813" Type="http://schemas.openxmlformats.org/officeDocument/2006/relationships/hyperlink" Target="https://maps.google.com/?q=4.972361,-74.310922" TargetMode="External"/><Relationship Id="rId52" Type="http://schemas.openxmlformats.org/officeDocument/2006/relationships/hyperlink" Target="https://maps.google.com/?q=4.335498,-75.832438" TargetMode="External"/><Relationship Id="rId1788" Type="http://schemas.openxmlformats.org/officeDocument/2006/relationships/hyperlink" Target="https://commons.wikimedia.org/wiki/File:Diptera_-_Bogot%C3%A1_D._C.,_Colombia_-_23_Aug_2025_-_Diferoch_-_3.jpg" TargetMode="External"/><Relationship Id="rId4812" Type="http://schemas.openxmlformats.org/officeDocument/2006/relationships/hyperlink" Target="https://commons.wikimedia.org/wiki/File:Siete_Cueros_(Meriania_nobilis)_in_the_mountains_of_Medell%C3%ADn,_2025.jpg" TargetMode="External"/><Relationship Id="rId55" Type="http://schemas.openxmlformats.org/officeDocument/2006/relationships/hyperlink" Target="https://upload.wikimedia.org/wikipedia/commons/e/e2/Abejas_sobre_flores_de_chia.jpg" TargetMode="External"/><Relationship Id="rId1789" Type="http://schemas.openxmlformats.org/officeDocument/2006/relationships/hyperlink" Target="https://upload.wikimedia.org/wikipedia/commons/6/64/Divisando_el_lago.jpg" TargetMode="External"/><Relationship Id="rId4815" Type="http://schemas.openxmlformats.org/officeDocument/2006/relationships/hyperlink" Target="https://commons.wikimedia.org/wiki/File:Siete_cueros_(Andesanthus_lepidotus).jpg" TargetMode="External"/><Relationship Id="rId54" Type="http://schemas.openxmlformats.org/officeDocument/2006/relationships/hyperlink" Target="https://commons.wikimedia.org/wiki/File:Abejas_meliponas_angelitas.jpg" TargetMode="External"/><Relationship Id="rId4814" Type="http://schemas.openxmlformats.org/officeDocument/2006/relationships/hyperlink" Target="https://upload.wikimedia.org/wikipedia/commons/d/d3/Siete_cueros_%28Andesanthus_lepidotus%29.jpg" TargetMode="External"/><Relationship Id="rId57" Type="http://schemas.openxmlformats.org/officeDocument/2006/relationships/hyperlink" Target="https://maps.google.com/?q=4.728480,-73.919332" TargetMode="External"/><Relationship Id="rId4817" Type="http://schemas.openxmlformats.org/officeDocument/2006/relationships/hyperlink" Target="https://commons.wikimedia.org/wiki/File:Siete_cueros_(Melastomataceae).jpg" TargetMode="External"/><Relationship Id="rId56" Type="http://schemas.openxmlformats.org/officeDocument/2006/relationships/hyperlink" Target="https://commons.wikimedia.org/wiki/File:Abejas_sobre_flores_de_chia.jpg" TargetMode="External"/><Relationship Id="rId4816" Type="http://schemas.openxmlformats.org/officeDocument/2006/relationships/hyperlink" Target="https://upload.wikimedia.org/wikipedia/commons/4/47/Siete_cueros_%28Melastomataceae%29.jpg" TargetMode="External"/><Relationship Id="rId4819" Type="http://schemas.openxmlformats.org/officeDocument/2006/relationships/hyperlink" Target="https://commons.wikimedia.org/wiki/File:SIRIRI.jpg" TargetMode="External"/><Relationship Id="rId4818" Type="http://schemas.openxmlformats.org/officeDocument/2006/relationships/hyperlink" Target="https://upload.wikimedia.org/wikipedia/commons/1/17/SIRIRI.jpg" TargetMode="External"/><Relationship Id="rId59" Type="http://schemas.openxmlformats.org/officeDocument/2006/relationships/hyperlink" Target="https://commons.wikimedia.org/wiki/File:Abejorro_Bombus_sp.jpg" TargetMode="External"/><Relationship Id="rId58" Type="http://schemas.openxmlformats.org/officeDocument/2006/relationships/hyperlink" Target="https://upload.wikimedia.org/wikipedia/commons/8/8f/Abejorro_Bombus_sp.jpg" TargetMode="External"/><Relationship Id="rId1780" Type="http://schemas.openxmlformats.org/officeDocument/2006/relationships/hyperlink" Target="https://maps.google.com/?q=4.601548,-74.066155" TargetMode="External"/><Relationship Id="rId1781" Type="http://schemas.openxmlformats.org/officeDocument/2006/relationships/hyperlink" Target="https://upload.wikimedia.org/wikipedia/commons/c/c4/Diptera_-_Bogot%C3%A1_D._C.%2C_Colombia_-_23_Aug_2025_-_Diferoch_-_1.jpg" TargetMode="External"/><Relationship Id="rId1782" Type="http://schemas.openxmlformats.org/officeDocument/2006/relationships/hyperlink" Target="https://commons.wikimedia.org/wiki/File:Diptera_-_Bogot%C3%A1_D._C.,_Colombia_-_23_Aug_2025_-_Diferoch_-_1.jpg" TargetMode="External"/><Relationship Id="rId1783" Type="http://schemas.openxmlformats.org/officeDocument/2006/relationships/hyperlink" Target="https://maps.google.com/?q=4.600512,-74.063240" TargetMode="External"/><Relationship Id="rId1784" Type="http://schemas.openxmlformats.org/officeDocument/2006/relationships/hyperlink" Target="https://upload.wikimedia.org/wikipedia/commons/a/ae/Diptera_-_Bogot%C3%A1_D._C.%2C_Colombia_-_23_Aug_2025_-_Diferoch_-_2.jpg" TargetMode="External"/><Relationship Id="rId2269" Type="http://schemas.openxmlformats.org/officeDocument/2006/relationships/hyperlink" Target="https://commons.wikimedia.org/wiki/File:Flowering_shrub_on_an_arid_eroded_hillside_near_Villa_de_Leyva,_Colombia.jpg" TargetMode="External"/><Relationship Id="rId349" Type="http://schemas.openxmlformats.org/officeDocument/2006/relationships/hyperlink" Target="https://upload.wikimedia.org/wikipedia/commons/c/ca/Aristolochia_gigantea_%22Calico_flower%22_Close-up.jpg" TargetMode="External"/><Relationship Id="rId348" Type="http://schemas.openxmlformats.org/officeDocument/2006/relationships/hyperlink" Target="https://commons.wikimedia.org/wiki/File:Aristolochia_gigantea_%22Calico_flower%22.jpg" TargetMode="External"/><Relationship Id="rId347" Type="http://schemas.openxmlformats.org/officeDocument/2006/relationships/hyperlink" Target="https://upload.wikimedia.org/wikipedia/commons/4/4c/Aristolochia_gigantea_%22Calico_flower%22.jpg" TargetMode="External"/><Relationship Id="rId346" Type="http://schemas.openxmlformats.org/officeDocument/2006/relationships/hyperlink" Target="https://commons.wikimedia.org/wiki/File:Aristolochia_en_flor.jpg" TargetMode="External"/><Relationship Id="rId3591" Type="http://schemas.openxmlformats.org/officeDocument/2006/relationships/hyperlink" Target="https://commons.wikimedia.org/wiki/File:Ninfas_de_chinche._Familia_Coreidae.jpg" TargetMode="External"/><Relationship Id="rId2260" Type="http://schemas.openxmlformats.org/officeDocument/2006/relationships/hyperlink" Target="https://commons.wikimedia.org/wiki/File:Flores_de_frailejon.jpg" TargetMode="External"/><Relationship Id="rId3590" Type="http://schemas.openxmlformats.org/officeDocument/2006/relationships/hyperlink" Target="https://upload.wikimedia.org/wikipedia/commons/2/23/Ninfas_de_chinche._Familia_Coreidae.jpg" TargetMode="External"/><Relationship Id="rId341" Type="http://schemas.openxmlformats.org/officeDocument/2006/relationships/hyperlink" Target="https://commons.wikimedia.org/wiki/File:Argiope_Argentata_spider_with_its_prey_(Ara%C3%B1a_Argiope_Argentata_con_su_presa).jpg" TargetMode="External"/><Relationship Id="rId2261" Type="http://schemas.openxmlformats.org/officeDocument/2006/relationships/hyperlink" Target="https://maps.google.com/?q=4.563622,-73.990211" TargetMode="External"/><Relationship Id="rId3593" Type="http://schemas.openxmlformats.org/officeDocument/2006/relationships/hyperlink" Target="https://upload.wikimedia.org/wikipedia/commons/4/4b/Ni%C3%B1os_en_la_playa_de_Rioacha_al_atardecer_junio_2026.jpg" TargetMode="External"/><Relationship Id="rId340" Type="http://schemas.openxmlformats.org/officeDocument/2006/relationships/hyperlink" Target="https://upload.wikimedia.org/wikipedia/commons/a/ac/Argiope_Argentata_spider_with_its_prey_%28Ara%C3%B1a_Argiope_Argentata_con_su_presa%29.jpg" TargetMode="External"/><Relationship Id="rId2262" Type="http://schemas.openxmlformats.org/officeDocument/2006/relationships/hyperlink" Target="https://upload.wikimedia.org/wikipedia/commons/5/54/Flores_de_grandiflora.jpg" TargetMode="External"/><Relationship Id="rId3592" Type="http://schemas.openxmlformats.org/officeDocument/2006/relationships/hyperlink" Target="https://maps.google.com/?q=11.554478,-72.909094" TargetMode="External"/><Relationship Id="rId2263" Type="http://schemas.openxmlformats.org/officeDocument/2006/relationships/hyperlink" Target="https://commons.wikimedia.org/wiki/File:Flores_de_grandiflora.jpg" TargetMode="External"/><Relationship Id="rId3595" Type="http://schemas.openxmlformats.org/officeDocument/2006/relationships/hyperlink" Target="https://maps.google.com/?q=6.243493,-75.554199" TargetMode="External"/><Relationship Id="rId2264" Type="http://schemas.openxmlformats.org/officeDocument/2006/relationships/hyperlink" Target="https://upload.wikimedia.org/wikipedia/commons/6/6f/Flores_para_mis_amigas.jpg" TargetMode="External"/><Relationship Id="rId3594" Type="http://schemas.openxmlformats.org/officeDocument/2006/relationships/hyperlink" Target="https://commons.wikimedia.org/wiki/File:Ni%C3%B1os_en_la_playa_de_Rioacha_al_atardecer_junio_2026.jpg" TargetMode="External"/><Relationship Id="rId345" Type="http://schemas.openxmlformats.org/officeDocument/2006/relationships/hyperlink" Target="https://upload.wikimedia.org/wikipedia/commons/5/50/Aristolochia_en_flor.jpg" TargetMode="External"/><Relationship Id="rId2265" Type="http://schemas.openxmlformats.org/officeDocument/2006/relationships/hyperlink" Target="https://commons.wikimedia.org/wiki/File:Flores_para_mis_amigas.jpg" TargetMode="External"/><Relationship Id="rId3597" Type="http://schemas.openxmlformats.org/officeDocument/2006/relationships/hyperlink" Target="https://commons.wikimedia.org/wiki/File:No_apto_para_ba%C3%B1arse.jpg" TargetMode="External"/><Relationship Id="rId344" Type="http://schemas.openxmlformats.org/officeDocument/2006/relationships/hyperlink" Target="https://maps.google.com/?q=4.667722,-74.100206" TargetMode="External"/><Relationship Id="rId2266" Type="http://schemas.openxmlformats.org/officeDocument/2006/relationships/hyperlink" Target="https://upload.wikimedia.org/wikipedia/commons/4/4f/Flower_of_Prickly_Pear_Cactus_%28Opuntia%29%2C_near_Villa_de_Leyva%2C_2026.jpg" TargetMode="External"/><Relationship Id="rId3596" Type="http://schemas.openxmlformats.org/officeDocument/2006/relationships/hyperlink" Target="https://upload.wikimedia.org/wikipedia/commons/0/07/No_apto_para_ba%C3%B1arse.jpg" TargetMode="External"/><Relationship Id="rId343" Type="http://schemas.openxmlformats.org/officeDocument/2006/relationships/hyperlink" Target="https://commons.wikimedia.org/wiki/File:Arid_rock_face_with_Spanish_moss_(Tillandsia_usneoides)_near_Villa_de_Leyva,_2026.jpg" TargetMode="External"/><Relationship Id="rId2267" Type="http://schemas.openxmlformats.org/officeDocument/2006/relationships/hyperlink" Target="https://commons.wikimedia.org/wiki/File:Flower_of_Prickly_Pear_Cactus_(Opuntia),_near_Villa_de_Leyva,_2026.jpg" TargetMode="External"/><Relationship Id="rId3599" Type="http://schemas.openxmlformats.org/officeDocument/2006/relationships/hyperlink" Target="https://commons.wikimedia.org/wiki/File:Noche_con_paisaje.jpg" TargetMode="External"/><Relationship Id="rId342" Type="http://schemas.openxmlformats.org/officeDocument/2006/relationships/hyperlink" Target="https://upload.wikimedia.org/wikipedia/commons/0/0f/Arid_rock_face_with_Spanish_moss_%28Tillandsia_usneoides%29_near_Villa_de_Leyva%2C_2026.jpg" TargetMode="External"/><Relationship Id="rId2268" Type="http://schemas.openxmlformats.org/officeDocument/2006/relationships/hyperlink" Target="https://upload.wikimedia.org/wikipedia/commons/0/03/Flowering_shrub_on_an_arid_eroded_hillside_near_Villa_de_Leyva%2C_Colombia.jpg" TargetMode="External"/><Relationship Id="rId3598" Type="http://schemas.openxmlformats.org/officeDocument/2006/relationships/hyperlink" Target="https://upload.wikimedia.org/wikipedia/commons/9/93/Noche_con_paisaje.jpg" TargetMode="External"/><Relationship Id="rId2258" Type="http://schemas.openxmlformats.org/officeDocument/2006/relationships/hyperlink" Target="https://commons.wikimedia.org/wiki/File:Flores_amarrilas.jpg" TargetMode="External"/><Relationship Id="rId2259" Type="http://schemas.openxmlformats.org/officeDocument/2006/relationships/hyperlink" Target="https://upload.wikimedia.org/wikipedia/commons/e/eb/Flores_de_frailejon.jpg" TargetMode="External"/><Relationship Id="rId3589" Type="http://schemas.openxmlformats.org/officeDocument/2006/relationships/hyperlink" Target="https://maps.google.com/?q=4.871020,-74.085761" TargetMode="External"/><Relationship Id="rId338" Type="http://schemas.openxmlformats.org/officeDocument/2006/relationships/hyperlink" Target="https://upload.wikimedia.org/wikipedia/commons/0/03/Aretillos_20260529_093138.jpg" TargetMode="External"/><Relationship Id="rId337" Type="http://schemas.openxmlformats.org/officeDocument/2006/relationships/hyperlink" Target="https://commons.wikimedia.org/wiki/File:Ardea_cocoi_-_Cimitarra,_Santander,_Colombia_-_30_Sep_2025_-_Diferoch_-_2.jpg" TargetMode="External"/><Relationship Id="rId336" Type="http://schemas.openxmlformats.org/officeDocument/2006/relationships/hyperlink" Target="https://upload.wikimedia.org/wikipedia/commons/0/06/Ardea_cocoi_-_Cimitarra%2C_Santander%2C_Colombia_-_30_Sep_2025_-_Diferoch_-_2.jpg" TargetMode="External"/><Relationship Id="rId335" Type="http://schemas.openxmlformats.org/officeDocument/2006/relationships/hyperlink" Target="https://maps.google.com/?q=6.735480,-74.121475" TargetMode="External"/><Relationship Id="rId3580" Type="http://schemas.openxmlformats.org/officeDocument/2006/relationships/hyperlink" Target="https://maps.google.com/?q=6.449751,-72.354976" TargetMode="External"/><Relationship Id="rId339" Type="http://schemas.openxmlformats.org/officeDocument/2006/relationships/hyperlink" Target="https://commons.wikimedia.org/wiki/File:Aretillos_20260529_093138.jpg" TargetMode="External"/><Relationship Id="rId330" Type="http://schemas.openxmlformats.org/officeDocument/2006/relationships/hyperlink" Target="https://upload.wikimedia.org/wikipedia/commons/2/26/Ardea_alba_egretta_-_Nuqu%C3%AD%2C_Choc%C3%B3%2C_Colombia_-_24_Oct_2025_-_Diferoch.jpg" TargetMode="External"/><Relationship Id="rId2250" Type="http://schemas.openxmlformats.org/officeDocument/2006/relationships/hyperlink" Target="https://commons.wikimedia.org/wiki/File:Flora_Colombiana_Comfama.jpg" TargetMode="External"/><Relationship Id="rId3582" Type="http://schemas.openxmlformats.org/officeDocument/2006/relationships/hyperlink" Target="https://commons.wikimedia.org/wiki/File:Nieve_en_las_monta%C3%B1as.jpg" TargetMode="External"/><Relationship Id="rId2251" Type="http://schemas.openxmlformats.org/officeDocument/2006/relationships/hyperlink" Target="https://upload.wikimedia.org/wikipedia/commons/8/8c/Floraci%C3%B3n_de_pendientes_de_la_Reina_-_Aljaba_%28Fuchsia_magellanica%29.jpg" TargetMode="External"/><Relationship Id="rId3581" Type="http://schemas.openxmlformats.org/officeDocument/2006/relationships/hyperlink" Target="https://upload.wikimedia.org/wikipedia/commons/9/93/Nieve_en_las_monta%C3%B1as.jpg" TargetMode="External"/><Relationship Id="rId2252" Type="http://schemas.openxmlformats.org/officeDocument/2006/relationships/hyperlink" Target="https://commons.wikimedia.org/wiki/File:Floraci%C3%B3n_de_pendientes_de_la_Reina_-_Aljaba_(Fuchsia_magellanica).jpg" TargetMode="External"/><Relationship Id="rId3584" Type="http://schemas.openxmlformats.org/officeDocument/2006/relationships/hyperlink" Target="https://upload.wikimedia.org/wikipedia/commons/3/38/Niflheim%2CVereda_Santuario%2C_Carmen_de_Carupa%2C_Cundinamarca.jpg" TargetMode="External"/><Relationship Id="rId2253" Type="http://schemas.openxmlformats.org/officeDocument/2006/relationships/hyperlink" Target="https://upload.wikimedia.org/wikipedia/commons/3/32/Flores_amarillas_de_jard%C3%ADn.jpg" TargetMode="External"/><Relationship Id="rId3583" Type="http://schemas.openxmlformats.org/officeDocument/2006/relationships/hyperlink" Target="https://maps.google.com/?q=5.384834,-73.859492" TargetMode="External"/><Relationship Id="rId334" Type="http://schemas.openxmlformats.org/officeDocument/2006/relationships/hyperlink" Target="https://commons.wikimedia.org/wiki/File:Ardea_cocoi_-_Cimitarra,_Santander,_Colombia_-_30_Sep_2025_-_Diferoch_-_1.jpg" TargetMode="External"/><Relationship Id="rId2254" Type="http://schemas.openxmlformats.org/officeDocument/2006/relationships/hyperlink" Target="https://commons.wikimedia.org/wiki/File:Flores_amarillas_de_jard%C3%ADn.jpg" TargetMode="External"/><Relationship Id="rId3586" Type="http://schemas.openxmlformats.org/officeDocument/2006/relationships/hyperlink" Target="https://maps.google.com/?q=3.561100,-76.556900" TargetMode="External"/><Relationship Id="rId333" Type="http://schemas.openxmlformats.org/officeDocument/2006/relationships/hyperlink" Target="https://upload.wikimedia.org/wikipedia/commons/a/a7/Ardea_cocoi_-_Cimitarra%2C_Santander%2C_Colombia_-_30_Sep_2025_-_Diferoch_-_1.jpg" TargetMode="External"/><Relationship Id="rId2255" Type="http://schemas.openxmlformats.org/officeDocument/2006/relationships/hyperlink" Target="https://upload.wikimedia.org/wikipedia/commons/6/64/Flores_amarillas_y_mariposa.jpg" TargetMode="External"/><Relationship Id="rId3585" Type="http://schemas.openxmlformats.org/officeDocument/2006/relationships/hyperlink" Target="https://commons.wikimedia.org/wiki/File:Niflheim,Vereda_Santuario,_Carmen_de_Carupa,_Cundinamarca.jpg" TargetMode="External"/><Relationship Id="rId332" Type="http://schemas.openxmlformats.org/officeDocument/2006/relationships/hyperlink" Target="https://maps.google.com/?q=6.740643,-74.113625" TargetMode="External"/><Relationship Id="rId2256" Type="http://schemas.openxmlformats.org/officeDocument/2006/relationships/hyperlink" Target="https://commons.wikimedia.org/wiki/File:Flores_amarillas_y_mariposa.jpg" TargetMode="External"/><Relationship Id="rId3588" Type="http://schemas.openxmlformats.org/officeDocument/2006/relationships/hyperlink" Target="https://commons.wikimedia.org/wiki/File:Ninfa_Coronada_-_Thalurania_colombica.jpg" TargetMode="External"/><Relationship Id="rId331" Type="http://schemas.openxmlformats.org/officeDocument/2006/relationships/hyperlink" Target="https://commons.wikimedia.org/wiki/File:Ardea_alba_egretta_-_Nuqu%C3%AD,_Choc%C3%B3,_Colombia_-_24_Oct_2025_-_Diferoch.jpg" TargetMode="External"/><Relationship Id="rId2257" Type="http://schemas.openxmlformats.org/officeDocument/2006/relationships/hyperlink" Target="https://upload.wikimedia.org/wikipedia/commons/d/db/Flores_amarrilas.jpg" TargetMode="External"/><Relationship Id="rId3587" Type="http://schemas.openxmlformats.org/officeDocument/2006/relationships/hyperlink" Target="https://upload.wikimedia.org/wikipedia/commons/1/12/Ninfa_Coronada_-_Thalurania_colombica.jpg" TargetMode="External"/><Relationship Id="rId5318" Type="http://schemas.openxmlformats.org/officeDocument/2006/relationships/hyperlink" Target="https://commons.wikimedia.org/wiki/File:Valle_del_C%C3%B3cora_15_abril_2025_2.jpg" TargetMode="External"/><Relationship Id="rId5319" Type="http://schemas.openxmlformats.org/officeDocument/2006/relationships/hyperlink" Target="https://upload.wikimedia.org/wikipedia/commons/7/70/Valle_del_Magdalena.jpg" TargetMode="External"/><Relationship Id="rId5316" Type="http://schemas.openxmlformats.org/officeDocument/2006/relationships/hyperlink" Target="https://commons.wikimedia.org/wiki/File:Valle_del_C%C3%B3cora,_Quindio_-_Colombia.jpg" TargetMode="External"/><Relationship Id="rId5317" Type="http://schemas.openxmlformats.org/officeDocument/2006/relationships/hyperlink" Target="https://upload.wikimedia.org/wikipedia/commons/f/ff/Valle_del_C%C3%B3cora_15_abril_2025_2.jpg" TargetMode="External"/><Relationship Id="rId370" Type="http://schemas.openxmlformats.org/officeDocument/2006/relationships/hyperlink" Target="https://upload.wikimedia.org/wikipedia/commons/6/64/Aristoloquia8.jpg" TargetMode="External"/><Relationship Id="rId369" Type="http://schemas.openxmlformats.org/officeDocument/2006/relationships/hyperlink" Target="https://maps.google.com/?q=4.667750,-74.099944" TargetMode="External"/><Relationship Id="rId368" Type="http://schemas.openxmlformats.org/officeDocument/2006/relationships/hyperlink" Target="https://commons.wikimedia.org/wiki/File:Aristoloquia7.jpg" TargetMode="External"/><Relationship Id="rId2280" Type="http://schemas.openxmlformats.org/officeDocument/2006/relationships/hyperlink" Target="https://maps.google.com/?q=3.237904,-75.118426" TargetMode="External"/><Relationship Id="rId2281" Type="http://schemas.openxmlformats.org/officeDocument/2006/relationships/hyperlink" Target="https://upload.wikimedia.org/wikipedia/commons/b/b2/Formaciones_rocosas_del_desierto_gris_de_la_Tatacoa.jpg" TargetMode="External"/><Relationship Id="rId2282" Type="http://schemas.openxmlformats.org/officeDocument/2006/relationships/hyperlink" Target="https://commons.wikimedia.org/wiki/File:Formaciones_rocosas_del_desierto_gris_de_la_Tatacoa.jpg" TargetMode="External"/><Relationship Id="rId363" Type="http://schemas.openxmlformats.org/officeDocument/2006/relationships/hyperlink" Target="https://maps.google.com/?q=4.667750,-74.099944" TargetMode="External"/><Relationship Id="rId2283" Type="http://schemas.openxmlformats.org/officeDocument/2006/relationships/hyperlink" Target="https://maps.google.com/?q=5.216618,-73.846286" TargetMode="External"/><Relationship Id="rId5310" Type="http://schemas.openxmlformats.org/officeDocument/2006/relationships/hyperlink" Target="https://upload.wikimedia.org/wikipedia/commons/9/9f/Valle_del_Cocora_junio_2025_26.jpg" TargetMode="External"/><Relationship Id="rId362" Type="http://schemas.openxmlformats.org/officeDocument/2006/relationships/hyperlink" Target="https://commons.wikimedia.org/wiki/File:Aristoloquia5.jpg" TargetMode="External"/><Relationship Id="rId2284" Type="http://schemas.openxmlformats.org/officeDocument/2006/relationships/hyperlink" Target="https://upload.wikimedia.org/wikipedia/commons/7/7c/Formaci%C3%B3n_geol%C3%B3gica_de_los_Farallones_de_Sutatausa_bajo_cielo_tormentoso.jpg" TargetMode="External"/><Relationship Id="rId5311" Type="http://schemas.openxmlformats.org/officeDocument/2006/relationships/hyperlink" Target="https://commons.wikimedia.org/wiki/File:Valle_del_Cocora_junio_2025_26.jpg" TargetMode="External"/><Relationship Id="rId361" Type="http://schemas.openxmlformats.org/officeDocument/2006/relationships/hyperlink" Target="https://upload.wikimedia.org/wikipedia/commons/3/30/Aristoloquia5.jpg" TargetMode="External"/><Relationship Id="rId2285" Type="http://schemas.openxmlformats.org/officeDocument/2006/relationships/hyperlink" Target="https://commons.wikimedia.org/wiki/File:Formaci%C3%B3n_geol%C3%B3gica_de_los_Farallones_de_Sutatausa_bajo_cielo_tormentoso.jpg" TargetMode="External"/><Relationship Id="rId360" Type="http://schemas.openxmlformats.org/officeDocument/2006/relationships/hyperlink" Target="https://maps.google.com/?q=4.667750,-74.099944" TargetMode="External"/><Relationship Id="rId2286" Type="http://schemas.openxmlformats.org/officeDocument/2006/relationships/hyperlink" Target="https://upload.wikimedia.org/wikipedia/commons/3/39/Formaci%C3%B3n_rocosa%2C_sendero_Ritacuba_Blanco%2C_Parque_Nacional_Natural_El_Cocuy.jpg" TargetMode="External"/><Relationship Id="rId367" Type="http://schemas.openxmlformats.org/officeDocument/2006/relationships/hyperlink" Target="https://upload.wikimedia.org/wikipedia/commons/0/01/Aristoloquia7.jpg" TargetMode="External"/><Relationship Id="rId2287" Type="http://schemas.openxmlformats.org/officeDocument/2006/relationships/hyperlink" Target="https://commons.wikimedia.org/wiki/File:Formaci%C3%B3n_rocosa,_sendero_Ritacuba_Blanco,_Parque_Nacional_Natural_El_Cocuy.jpg" TargetMode="External"/><Relationship Id="rId5314" Type="http://schemas.openxmlformats.org/officeDocument/2006/relationships/hyperlink" Target="https://commons.wikimedia.org/wiki/File:Valle_del_Cocora_junio_2025_30.jpg" TargetMode="External"/><Relationship Id="rId366" Type="http://schemas.openxmlformats.org/officeDocument/2006/relationships/hyperlink" Target="https://maps.google.com/?q=4.667750,-74.099944" TargetMode="External"/><Relationship Id="rId2288" Type="http://schemas.openxmlformats.org/officeDocument/2006/relationships/hyperlink" Target="https://upload.wikimedia.org/wikipedia/commons/b/bd/Foto_de_un_hongo._Reserva_Natural_Guataqu%C3%AD_de_Potos%C3%AD.jpg" TargetMode="External"/><Relationship Id="rId5315" Type="http://schemas.openxmlformats.org/officeDocument/2006/relationships/hyperlink" Target="https://upload.wikimedia.org/wikipedia/commons/e/e1/Valle_del_C%C3%B3cora%2C_Quindio_-_Colombia.jpg" TargetMode="External"/><Relationship Id="rId365" Type="http://schemas.openxmlformats.org/officeDocument/2006/relationships/hyperlink" Target="https://commons.wikimedia.org/wiki/File:Aristoloquia6.jpg" TargetMode="External"/><Relationship Id="rId2289" Type="http://schemas.openxmlformats.org/officeDocument/2006/relationships/hyperlink" Target="https://commons.wikimedia.org/wiki/File:Foto_de_un_hongo._Reserva_Natural_Guataqu%C3%AD_de_Potos%C3%AD.jpg" TargetMode="External"/><Relationship Id="rId5312" Type="http://schemas.openxmlformats.org/officeDocument/2006/relationships/hyperlink" Target="https://maps.google.com/?q=4.666700,-75.500000" TargetMode="External"/><Relationship Id="rId364" Type="http://schemas.openxmlformats.org/officeDocument/2006/relationships/hyperlink" Target="https://upload.wikimedia.org/wikipedia/commons/0/0c/Aristoloquia6.jpg" TargetMode="External"/><Relationship Id="rId5313" Type="http://schemas.openxmlformats.org/officeDocument/2006/relationships/hyperlink" Target="https://upload.wikimedia.org/wikipedia/commons/0/08/Valle_del_Cocora_junio_2025_30.jpg" TargetMode="External"/><Relationship Id="rId95" Type="http://schemas.openxmlformats.org/officeDocument/2006/relationships/hyperlink" Target="https://maps.google.com/?q=4.546453,-73.320351" TargetMode="External"/><Relationship Id="rId5307" Type="http://schemas.openxmlformats.org/officeDocument/2006/relationships/hyperlink" Target="https://upload.wikimedia.org/wikipedia/commons/a/a6/Valle_del_Cocora.jpg" TargetMode="External"/><Relationship Id="rId94" Type="http://schemas.openxmlformats.org/officeDocument/2006/relationships/hyperlink" Target="https://commons.wikimedia.org/wiki/File:Agesander_ruficornis._Acrididae.jpg" TargetMode="External"/><Relationship Id="rId5308" Type="http://schemas.openxmlformats.org/officeDocument/2006/relationships/hyperlink" Target="https://commons.wikimedia.org/wiki/File:Valle_del_Cocora.jpg" TargetMode="External"/><Relationship Id="rId97" Type="http://schemas.openxmlformats.org/officeDocument/2006/relationships/hyperlink" Target="https://commons.wikimedia.org/wiki/File:Agriacris_sp._observado_en_Medina,_COL.jpg" TargetMode="External"/><Relationship Id="rId5305" Type="http://schemas.openxmlformats.org/officeDocument/2006/relationships/hyperlink" Target="https://commons.wikimedia.org/wiki/File:Valle_del_cocora_15_de_abril_de_2025.jpg" TargetMode="External"/><Relationship Id="rId96" Type="http://schemas.openxmlformats.org/officeDocument/2006/relationships/hyperlink" Target="https://upload.wikimedia.org/wikipedia/commons/6/6e/Agriacris_sp._observado_en_Medina%2C_COL.jpg" TargetMode="External"/><Relationship Id="rId5306" Type="http://schemas.openxmlformats.org/officeDocument/2006/relationships/hyperlink" Target="https://maps.google.com/?q=4.642023,-75.588938" TargetMode="External"/><Relationship Id="rId99" Type="http://schemas.openxmlformats.org/officeDocument/2006/relationships/hyperlink" Target="https://upload.wikimedia.org/wikipedia/commons/0/01/Agriacris_sp._observado_en_Medina%2C_Colombia.jpg" TargetMode="External"/><Relationship Id="rId98" Type="http://schemas.openxmlformats.org/officeDocument/2006/relationships/hyperlink" Target="https://maps.google.com/?q=4.546453,-73.320351" TargetMode="External"/><Relationship Id="rId5309" Type="http://schemas.openxmlformats.org/officeDocument/2006/relationships/hyperlink" Target="https://maps.google.com/?q=4.666700,-75.500000" TargetMode="External"/><Relationship Id="rId91" Type="http://schemas.openxmlformats.org/officeDocument/2006/relationships/hyperlink" Target="https://commons.wikimedia.org/wiki/File:Agave_(Asparagaceae).jpg" TargetMode="External"/><Relationship Id="rId90" Type="http://schemas.openxmlformats.org/officeDocument/2006/relationships/hyperlink" Target="https://upload.wikimedia.org/wikipedia/commons/f/f7/Agave_%28Asparagaceae%29.jpg" TargetMode="External"/><Relationship Id="rId93" Type="http://schemas.openxmlformats.org/officeDocument/2006/relationships/hyperlink" Target="https://upload.wikimedia.org/wikipedia/commons/0/03/Agesander_ruficornis._Acrididae.jpg" TargetMode="External"/><Relationship Id="rId92" Type="http://schemas.openxmlformats.org/officeDocument/2006/relationships/hyperlink" Target="https://maps.google.com/?q=4.872513,-74.083813" TargetMode="External"/><Relationship Id="rId359" Type="http://schemas.openxmlformats.org/officeDocument/2006/relationships/hyperlink" Target="https://commons.wikimedia.org/wiki/File:Aristoloquia3.jpg" TargetMode="External"/><Relationship Id="rId358" Type="http://schemas.openxmlformats.org/officeDocument/2006/relationships/hyperlink" Target="https://upload.wikimedia.org/wikipedia/commons/0/06/Aristoloquia3.jpg" TargetMode="External"/><Relationship Id="rId357" Type="http://schemas.openxmlformats.org/officeDocument/2006/relationships/hyperlink" Target="https://maps.google.com/?q=4.667750,-74.099944" TargetMode="External"/><Relationship Id="rId2270" Type="http://schemas.openxmlformats.org/officeDocument/2006/relationships/hyperlink" Target="https://maps.google.com/?q=4.736347,-75.643272" TargetMode="External"/><Relationship Id="rId2271" Type="http://schemas.openxmlformats.org/officeDocument/2006/relationships/hyperlink" Target="https://upload.wikimedia.org/wikipedia/commons/7/78/Flowery_plant.jpg" TargetMode="External"/><Relationship Id="rId352" Type="http://schemas.openxmlformats.org/officeDocument/2006/relationships/hyperlink" Target="https://upload.wikimedia.org/wikipedia/commons/2/2e/Aristoloquia1.jpg" TargetMode="External"/><Relationship Id="rId2272" Type="http://schemas.openxmlformats.org/officeDocument/2006/relationships/hyperlink" Target="https://commons.wikimedia.org/wiki/File:Flowery_plant.jpg" TargetMode="External"/><Relationship Id="rId351" Type="http://schemas.openxmlformats.org/officeDocument/2006/relationships/hyperlink" Target="https://maps.google.com/?q=4.667750,-74.099944" TargetMode="External"/><Relationship Id="rId2273" Type="http://schemas.openxmlformats.org/officeDocument/2006/relationships/hyperlink" Target="https://maps.google.com/?q=5.072919,-75.285392" TargetMode="External"/><Relationship Id="rId5300" Type="http://schemas.openxmlformats.org/officeDocument/2006/relationships/hyperlink" Target="https://commons.wikimedia.org/wiki/File:Valle_del_Cocora_junio_2025_21.jpg" TargetMode="External"/><Relationship Id="rId350" Type="http://schemas.openxmlformats.org/officeDocument/2006/relationships/hyperlink" Target="https://commons.wikimedia.org/wiki/File:Aristolochia_gigantea_%22Calico_flower%22_Close-up.jpg" TargetMode="External"/><Relationship Id="rId2274" Type="http://schemas.openxmlformats.org/officeDocument/2006/relationships/hyperlink" Target="https://upload.wikimedia.org/wikipedia/commons/8/80/Fog_in_the_Colombian_mountains.jpg" TargetMode="External"/><Relationship Id="rId2275" Type="http://schemas.openxmlformats.org/officeDocument/2006/relationships/hyperlink" Target="https://commons.wikimedia.org/wiki/File:Fog_in_the_Colombian_mountains.jpg" TargetMode="External"/><Relationship Id="rId356" Type="http://schemas.openxmlformats.org/officeDocument/2006/relationships/hyperlink" Target="https://commons.wikimedia.org/wiki/File:Aristoloquia2.jpg" TargetMode="External"/><Relationship Id="rId2276" Type="http://schemas.openxmlformats.org/officeDocument/2006/relationships/hyperlink" Target="https://upload.wikimedia.org/wikipedia/commons/d/d5/Fork-tailed_Flycatcher_%28Tyrannus_savana%29_perched_on_an_electric_cable_at_Nuqu%C3%AD_Beach%2C_Choc%C3%B3%2C_Colombia.jpg" TargetMode="External"/><Relationship Id="rId5303" Type="http://schemas.openxmlformats.org/officeDocument/2006/relationships/hyperlink" Target="https://commons.wikimedia.org/wiki/File:Valle_del_Cocora_junio_2025_25.jpg" TargetMode="External"/><Relationship Id="rId355" Type="http://schemas.openxmlformats.org/officeDocument/2006/relationships/hyperlink" Target="https://upload.wikimedia.org/wikipedia/commons/e/ed/Aristoloquia2.jpg" TargetMode="External"/><Relationship Id="rId2277" Type="http://schemas.openxmlformats.org/officeDocument/2006/relationships/hyperlink" Target="https://commons.wikimedia.org/wiki/File:Fork-tailed_Flycatcher_(Tyrannus_savana)_perched_on_an_electric_cable_at_Nuqu%C3%AD_Beach,_Choc%C3%B3,_Colombia.jpg" TargetMode="External"/><Relationship Id="rId5304" Type="http://schemas.openxmlformats.org/officeDocument/2006/relationships/hyperlink" Target="https://upload.wikimedia.org/wikipedia/commons/0/09/Valle_del_cocora_15_de_abril_de_2025.jpg" TargetMode="External"/><Relationship Id="rId354" Type="http://schemas.openxmlformats.org/officeDocument/2006/relationships/hyperlink" Target="https://maps.google.com/?q=4.667750,-74.099944" TargetMode="External"/><Relationship Id="rId2278" Type="http://schemas.openxmlformats.org/officeDocument/2006/relationships/hyperlink" Target="https://upload.wikimedia.org/wikipedia/commons/4/47/Formaciones_de_arcilla_gris_en_Los_Hoyos.jpg" TargetMode="External"/><Relationship Id="rId5301" Type="http://schemas.openxmlformats.org/officeDocument/2006/relationships/hyperlink" Target="https://maps.google.com/?q=4.666700,-75.500000" TargetMode="External"/><Relationship Id="rId353" Type="http://schemas.openxmlformats.org/officeDocument/2006/relationships/hyperlink" Target="https://commons.wikimedia.org/wiki/File:Aristoloquia1.jpg" TargetMode="External"/><Relationship Id="rId2279" Type="http://schemas.openxmlformats.org/officeDocument/2006/relationships/hyperlink" Target="https://commons.wikimedia.org/wiki/File:Formaciones_de_arcilla_gris_en_Los_Hoyos.jpg" TargetMode="External"/><Relationship Id="rId5302" Type="http://schemas.openxmlformats.org/officeDocument/2006/relationships/hyperlink" Target="https://upload.wikimedia.org/wikipedia/commons/8/8a/Valle_del_Cocora_junio_2025_25.jpg" TargetMode="External"/><Relationship Id="rId2225" Type="http://schemas.openxmlformats.org/officeDocument/2006/relationships/hyperlink" Target="https://upload.wikimedia.org/wikipedia/commons/9/94/Flor_de_un_d%C3%ADa%2C_Colombia.jpg" TargetMode="External"/><Relationship Id="rId3557" Type="http://schemas.openxmlformats.org/officeDocument/2006/relationships/hyperlink" Target="https://maps.google.com/?q=5.065406,-75.502313" TargetMode="External"/><Relationship Id="rId4888" Type="http://schemas.openxmlformats.org/officeDocument/2006/relationships/hyperlink" Target="https://commons.wikimedia.org/wiki/File:Soy_la_rana_de_cristal-_marzo_2026.jpg" TargetMode="External"/><Relationship Id="rId2226" Type="http://schemas.openxmlformats.org/officeDocument/2006/relationships/hyperlink" Target="https://commons.wikimedia.org/wiki/File:Flor_de_un_d%C3%ADa,_Colombia.jpg" TargetMode="External"/><Relationship Id="rId3556" Type="http://schemas.openxmlformats.org/officeDocument/2006/relationships/hyperlink" Target="https://commons.wikimedia.org/wiki/File:Nevada_en_la_cordillera_Central.jpg" TargetMode="External"/><Relationship Id="rId4887" Type="http://schemas.openxmlformats.org/officeDocument/2006/relationships/hyperlink" Target="https://upload.wikimedia.org/wikipedia/commons/0/02/Soy_la_rana_de_cristal-_marzo_2026.jpg" TargetMode="External"/><Relationship Id="rId2227" Type="http://schemas.openxmlformats.org/officeDocument/2006/relationships/hyperlink" Target="https://upload.wikimedia.org/wikipedia/commons/2/24/Flor_de_un_d%C3%ADa-Colombia.jpg" TargetMode="External"/><Relationship Id="rId3559" Type="http://schemas.openxmlformats.org/officeDocument/2006/relationships/hyperlink" Target="https://commons.wikimedia.org/wiki/File:Nevado_del_Ruiz_a_la_altura_de_Manizales.jpg" TargetMode="External"/><Relationship Id="rId2228" Type="http://schemas.openxmlformats.org/officeDocument/2006/relationships/hyperlink" Target="https://commons.wikimedia.org/wiki/File:Flor_de_un_d%C3%ADa-Colombia.jpg" TargetMode="External"/><Relationship Id="rId3558" Type="http://schemas.openxmlformats.org/officeDocument/2006/relationships/hyperlink" Target="https://upload.wikimedia.org/wikipedia/commons/5/5d/Nevado_del_Ruiz_a_la_altura_de_Manizales.jpg" TargetMode="External"/><Relationship Id="rId4889" Type="http://schemas.openxmlformats.org/officeDocument/2006/relationships/hyperlink" Target="https://upload.wikimedia.org/wikipedia/commons/9/9c/Spathoglottis_mayo_de_2026.jpg" TargetMode="External"/><Relationship Id="rId2229" Type="http://schemas.openxmlformats.org/officeDocument/2006/relationships/hyperlink" Target="https://upload.wikimedia.org/wikipedia/commons/4/4a/Flor_de_un_d%C3%ADa%3B_Colombia.jpg" TargetMode="External"/><Relationship Id="rId305" Type="http://schemas.openxmlformats.org/officeDocument/2006/relationships/hyperlink" Target="https://upload.wikimedia.org/wikipedia/commons/4/48/Ara%C3%B1a_tigre%2C_Guaviare%2C_Colombia.jpg" TargetMode="External"/><Relationship Id="rId304" Type="http://schemas.openxmlformats.org/officeDocument/2006/relationships/hyperlink" Target="https://maps.google.com/?q=2.569947,-72.697547" TargetMode="External"/><Relationship Id="rId303" Type="http://schemas.openxmlformats.org/officeDocument/2006/relationships/hyperlink" Target="https://commons.wikimedia.org/wiki/File:Ara%C3%B1a_tejedora_del_huerto.jpg" TargetMode="External"/><Relationship Id="rId302" Type="http://schemas.openxmlformats.org/officeDocument/2006/relationships/hyperlink" Target="https://upload.wikimedia.org/wikipedia/commons/f/f3/Ara%C3%B1a_tejedora_del_huerto.jpg" TargetMode="External"/><Relationship Id="rId309" Type="http://schemas.openxmlformats.org/officeDocument/2006/relationships/hyperlink" Target="https://upload.wikimedia.org/wikipedia/commons/d/dd/Arbol_Ciudad_de_piedra_Guaviares.jpg" TargetMode="External"/><Relationship Id="rId308" Type="http://schemas.openxmlformats.org/officeDocument/2006/relationships/hyperlink" Target="https://commons.wikimedia.org/wiki/File:Ara%C3%B1a_verde_en_un_amanecer.png" TargetMode="External"/><Relationship Id="rId307" Type="http://schemas.openxmlformats.org/officeDocument/2006/relationships/hyperlink" Target="https://upload.wikimedia.org/wikipedia/commons/9/90/Ara%C3%B1a_verde_en_un_amanecer.png" TargetMode="External"/><Relationship Id="rId306" Type="http://schemas.openxmlformats.org/officeDocument/2006/relationships/hyperlink" Target="https://commons.wikimedia.org/wiki/File:Ara%C3%B1a_tigre,_Guaviare,_Colombia.jpg" TargetMode="External"/><Relationship Id="rId4880" Type="http://schemas.openxmlformats.org/officeDocument/2006/relationships/hyperlink" Target="https://maps.google.com/?q=5.375900,7.453509" TargetMode="External"/><Relationship Id="rId3551" Type="http://schemas.openxmlformats.org/officeDocument/2006/relationships/hyperlink" Target="https://commons.wikimedia.org/wiki/File:Nephrolepis_cordifolia_Jard%C3%ADn_Botanico_Bogot%C3%A1.jpg" TargetMode="External"/><Relationship Id="rId4882" Type="http://schemas.openxmlformats.org/officeDocument/2006/relationships/hyperlink" Target="https://commons.wikimedia.org/wiki/File:Solanum_quitoense_-_flor_de_lulo_o_naranjilla.jpg" TargetMode="External"/><Relationship Id="rId2220" Type="http://schemas.openxmlformats.org/officeDocument/2006/relationships/hyperlink" Target="https://upload.wikimedia.org/wikipedia/commons/6/6a/Flor_de_p%C3%A9talos_p%C3%BArpuras.jpg" TargetMode="External"/><Relationship Id="rId3550" Type="http://schemas.openxmlformats.org/officeDocument/2006/relationships/hyperlink" Target="https://upload.wikimedia.org/wikipedia/commons/b/b7/Nephrolepis_cordifolia_Jard%C3%ADn_Botanico_Bogot%C3%A1.jpg" TargetMode="External"/><Relationship Id="rId4881" Type="http://schemas.openxmlformats.org/officeDocument/2006/relationships/hyperlink" Target="https://upload.wikimedia.org/wikipedia/commons/e/e9/Solanum_quitoense_-_flor_de_lulo_o_naranjilla.jpg" TargetMode="External"/><Relationship Id="rId301" Type="http://schemas.openxmlformats.org/officeDocument/2006/relationships/hyperlink" Target="https://maps.google.com/?q=4.969301,-74.321680" TargetMode="External"/><Relationship Id="rId2221" Type="http://schemas.openxmlformats.org/officeDocument/2006/relationships/hyperlink" Target="https://commons.wikimedia.org/wiki/File:Flor_de_p%C3%A9talos_p%C3%BArpuras.jpg" TargetMode="External"/><Relationship Id="rId3553" Type="http://schemas.openxmlformats.org/officeDocument/2006/relationships/hyperlink" Target="https://upload.wikimedia.org/wikipedia/commons/0/00/Neusa_desde_las_alturas.jpg" TargetMode="External"/><Relationship Id="rId4884" Type="http://schemas.openxmlformats.org/officeDocument/2006/relationships/hyperlink" Target="https://commons.wikimedia.org/wiki/File:Sons%C3%B3n_con_una_35mm.jpg" TargetMode="External"/><Relationship Id="rId300" Type="http://schemas.openxmlformats.org/officeDocument/2006/relationships/hyperlink" Target="https://commons.wikimedia.org/wiki/File:Ara%C3%B1a_patona.jpg" TargetMode="External"/><Relationship Id="rId2222" Type="http://schemas.openxmlformats.org/officeDocument/2006/relationships/hyperlink" Target="https://maps.google.com/?q=6.373144,-72.338189" TargetMode="External"/><Relationship Id="rId3552" Type="http://schemas.openxmlformats.org/officeDocument/2006/relationships/hyperlink" Target="https://maps.google.com/?q=5.131750,-73.996147" TargetMode="External"/><Relationship Id="rId4883" Type="http://schemas.openxmlformats.org/officeDocument/2006/relationships/hyperlink" Target="https://upload.wikimedia.org/wikipedia/commons/7/78/Sons%C3%B3n_con_una_35mm.jpg" TargetMode="External"/><Relationship Id="rId2223" Type="http://schemas.openxmlformats.org/officeDocument/2006/relationships/hyperlink" Target="https://upload.wikimedia.org/wikipedia/commons/4/4a/Flor_de_tuno.jpg" TargetMode="External"/><Relationship Id="rId3555" Type="http://schemas.openxmlformats.org/officeDocument/2006/relationships/hyperlink" Target="https://upload.wikimedia.org/wikipedia/commons/1/1d/Nevada_en_la_cordillera_Central.jpg" TargetMode="External"/><Relationship Id="rId4886" Type="http://schemas.openxmlformats.org/officeDocument/2006/relationships/hyperlink" Target="https://commons.wikimedia.org/wiki/File:Soros_polypodiaceae_JBB.jpg" TargetMode="External"/><Relationship Id="rId2224" Type="http://schemas.openxmlformats.org/officeDocument/2006/relationships/hyperlink" Target="https://commons.wikimedia.org/wiki/File:Flor_de_tuno.jpg" TargetMode="External"/><Relationship Id="rId3554" Type="http://schemas.openxmlformats.org/officeDocument/2006/relationships/hyperlink" Target="https://commons.wikimedia.org/wiki/File:Neusa_desde_las_alturas.jpg" TargetMode="External"/><Relationship Id="rId4885" Type="http://schemas.openxmlformats.org/officeDocument/2006/relationships/hyperlink" Target="https://upload.wikimedia.org/wikipedia/commons/8/85/Soros_polypodiaceae_JBB.jpg" TargetMode="External"/><Relationship Id="rId2214" Type="http://schemas.openxmlformats.org/officeDocument/2006/relationships/hyperlink" Target="https://maps.google.com/?q=5.029910,-74.282561" TargetMode="External"/><Relationship Id="rId3546" Type="http://schemas.openxmlformats.org/officeDocument/2006/relationships/hyperlink" Target="https://commons.wikimedia.org/wiki/File:Neoregelia-Bromeliaceae.jpg" TargetMode="External"/><Relationship Id="rId4877" Type="http://schemas.openxmlformats.org/officeDocument/2006/relationships/hyperlink" Target="https://maps.google.com/?q=5.571678,-74.897103" TargetMode="External"/><Relationship Id="rId2215" Type="http://schemas.openxmlformats.org/officeDocument/2006/relationships/hyperlink" Target="https://upload.wikimedia.org/wikipedia/commons/7/70/Flor_de_nen%C3%BAfar_tropical_%28familia_Nymphaeaceae%29.jpg" TargetMode="External"/><Relationship Id="rId3545" Type="http://schemas.openxmlformats.org/officeDocument/2006/relationships/hyperlink" Target="https://upload.wikimedia.org/wikipedia/commons/3/36/Neoregelia-Bromeliaceae.jpg" TargetMode="External"/><Relationship Id="rId4876" Type="http://schemas.openxmlformats.org/officeDocument/2006/relationships/hyperlink" Target="https://commons.wikimedia.org/wiki/File:Sol_del_Caldas.jpg" TargetMode="External"/><Relationship Id="rId2216" Type="http://schemas.openxmlformats.org/officeDocument/2006/relationships/hyperlink" Target="https://commons.wikimedia.org/wiki/File:Flor_de_nen%C3%BAfar_tropical_(familia_Nymphaeaceae).jpg" TargetMode="External"/><Relationship Id="rId3548" Type="http://schemas.openxmlformats.org/officeDocument/2006/relationships/hyperlink" Target="https://upload.wikimedia.org/wikipedia/commons/3/36/Neoregelia-Bromeliaceae_mayo_de_2026.jpg" TargetMode="External"/><Relationship Id="rId4879" Type="http://schemas.openxmlformats.org/officeDocument/2006/relationships/hyperlink" Target="https://commons.wikimedia.org/wiki/File:Sol_sobre_Nubes.jpg" TargetMode="External"/><Relationship Id="rId2217" Type="http://schemas.openxmlformats.org/officeDocument/2006/relationships/hyperlink" Target="https://maps.google.com/?q=4.857047,-74.347328" TargetMode="External"/><Relationship Id="rId3547" Type="http://schemas.openxmlformats.org/officeDocument/2006/relationships/hyperlink" Target="https://maps.google.com/?q=4.667750,-74.099944" TargetMode="External"/><Relationship Id="rId4878" Type="http://schemas.openxmlformats.org/officeDocument/2006/relationships/hyperlink" Target="https://upload.wikimedia.org/wikipedia/commons/f/f9/Sol_sobre_Nubes.jpg" TargetMode="External"/><Relationship Id="rId2218" Type="http://schemas.openxmlformats.org/officeDocument/2006/relationships/hyperlink" Target="https://upload.wikimedia.org/wikipedia/commons/c/ce/Flor_de_pelo_de_%C3%A1ngel_en_la_reserva_Moravia.jpg" TargetMode="External"/><Relationship Id="rId2219" Type="http://schemas.openxmlformats.org/officeDocument/2006/relationships/hyperlink" Target="https://commons.wikimedia.org/wiki/File:Flor_de_pelo_de_%C3%A1ngel_en_la_reserva_Moravia.jpg" TargetMode="External"/><Relationship Id="rId3549" Type="http://schemas.openxmlformats.org/officeDocument/2006/relationships/hyperlink" Target="https://commons.wikimedia.org/wiki/File:Neoregelia-Bromeliaceae_mayo_de_2026.jpg" TargetMode="External"/><Relationship Id="rId3540" Type="http://schemas.openxmlformats.org/officeDocument/2006/relationships/hyperlink" Target="https://upload.wikimedia.org/wikipedia/commons/e/e8/Nen%C3%BAfar_Laguna_de_Ubaque.jpg" TargetMode="External"/><Relationship Id="rId4871" Type="http://schemas.openxmlformats.org/officeDocument/2006/relationships/hyperlink" Target="https://commons.wikimedia.org/wiki/File:Sogamoso,_Boyac%C3%A1,_2026.jpg" TargetMode="External"/><Relationship Id="rId4870" Type="http://schemas.openxmlformats.org/officeDocument/2006/relationships/hyperlink" Target="https://upload.wikimedia.org/wikipedia/commons/7/70/Sogamoso%2C_Boyac%C3%A1%2C_2026.jpg" TargetMode="External"/><Relationship Id="rId2210" Type="http://schemas.openxmlformats.org/officeDocument/2006/relationships/hyperlink" Target="https://upload.wikimedia.org/wikipedia/commons/d/d4/Flor_de_la_pasi%C3%B3n%2C_Colombia.jpg" TargetMode="External"/><Relationship Id="rId3542" Type="http://schemas.openxmlformats.org/officeDocument/2006/relationships/hyperlink" Target="https://upload.wikimedia.org/wikipedia/commons/9/9d/Nen%C3%BAfares_Amazonas_Colombia.jpg" TargetMode="External"/><Relationship Id="rId4873" Type="http://schemas.openxmlformats.org/officeDocument/2006/relationships/hyperlink" Target="https://commons.wikimedia.org/wiki/File:Soil_erosion_and_clay_layers_in_a_semi-arid_landscape_near_Villa_de_Leyva,_2026.jpg" TargetMode="External"/><Relationship Id="rId2211" Type="http://schemas.openxmlformats.org/officeDocument/2006/relationships/hyperlink" Target="https://commons.wikimedia.org/wiki/File:Flor_de_la_pasi%C3%B3n,_Colombia.jpg" TargetMode="External"/><Relationship Id="rId3541" Type="http://schemas.openxmlformats.org/officeDocument/2006/relationships/hyperlink" Target="https://commons.wikimedia.org/wiki/File:Nen%C3%BAfar_Laguna_de_Ubaque.jpg" TargetMode="External"/><Relationship Id="rId4872" Type="http://schemas.openxmlformats.org/officeDocument/2006/relationships/hyperlink" Target="https://upload.wikimedia.org/wikipedia/commons/0/0e/Soil_erosion_and_clay_layers_in_a_semi-arid_landscape_near_Villa_de_Leyva%2C_2026.jpg" TargetMode="External"/><Relationship Id="rId2212" Type="http://schemas.openxmlformats.org/officeDocument/2006/relationships/hyperlink" Target="https://upload.wikimedia.org/wikipedia/commons/4/44/Flor_de_la_reserva_naturla_de_guataqui_de_potosi.jpg" TargetMode="External"/><Relationship Id="rId3544" Type="http://schemas.openxmlformats.org/officeDocument/2006/relationships/hyperlink" Target="https://maps.google.com/?q=4.667750,-74.099940" TargetMode="External"/><Relationship Id="rId4875" Type="http://schemas.openxmlformats.org/officeDocument/2006/relationships/hyperlink" Target="https://upload.wikimedia.org/wikipedia/commons/1/1b/Sol_del_Caldas.jpg" TargetMode="External"/><Relationship Id="rId2213" Type="http://schemas.openxmlformats.org/officeDocument/2006/relationships/hyperlink" Target="https://commons.wikimedia.org/wiki/File:Flor_de_la_reserva_naturla_de_guataqui_de_potosi.jpg" TargetMode="External"/><Relationship Id="rId3543" Type="http://schemas.openxmlformats.org/officeDocument/2006/relationships/hyperlink" Target="https://commons.wikimedia.org/wiki/File:Nen%C3%BAfares_Amazonas_Colombia.jpg" TargetMode="External"/><Relationship Id="rId4874" Type="http://schemas.openxmlformats.org/officeDocument/2006/relationships/hyperlink" Target="https://maps.google.com/?q=5.571900,-74.896989" TargetMode="External"/><Relationship Id="rId2247" Type="http://schemas.openxmlformats.org/officeDocument/2006/relationships/hyperlink" Target="https://upload.wikimedia.org/wikipedia/commons/6/62/Flor_rosita.jpg" TargetMode="External"/><Relationship Id="rId3579" Type="http://schemas.openxmlformats.org/officeDocument/2006/relationships/hyperlink" Target="https://commons.wikimedia.org/wiki/File:Nieve_cocuy.jpg" TargetMode="External"/><Relationship Id="rId2248" Type="http://schemas.openxmlformats.org/officeDocument/2006/relationships/hyperlink" Target="https://commons.wikimedia.org/wiki/File:Flor_rosita.jpg" TargetMode="External"/><Relationship Id="rId3578" Type="http://schemas.openxmlformats.org/officeDocument/2006/relationships/hyperlink" Target="https://upload.wikimedia.org/wikipedia/commons/2/21/Nieve_cocuy.jpg" TargetMode="External"/><Relationship Id="rId2249" Type="http://schemas.openxmlformats.org/officeDocument/2006/relationships/hyperlink" Target="https://upload.wikimedia.org/wikipedia/commons/5/5e/Flora_Colombiana_Comfama.jpg" TargetMode="External"/><Relationship Id="rId327" Type="http://schemas.openxmlformats.org/officeDocument/2006/relationships/hyperlink" Target="https://upload.wikimedia.org/wikipedia/commons/7/7b/Arco%C3%ADris_en_Monserrate.jpg" TargetMode="External"/><Relationship Id="rId326" Type="http://schemas.openxmlformats.org/officeDocument/2006/relationships/hyperlink" Target="https://maps.google.com/?q=4.605830,-74.056390" TargetMode="External"/><Relationship Id="rId325" Type="http://schemas.openxmlformats.org/officeDocument/2006/relationships/hyperlink" Target="https://commons.wikimedia.org/wiki/File:Arcoiris_con_paisaje.jpg" TargetMode="External"/><Relationship Id="rId324" Type="http://schemas.openxmlformats.org/officeDocument/2006/relationships/hyperlink" Target="https://upload.wikimedia.org/wikipedia/commons/4/44/Arcoiris_con_paisaje.jpg" TargetMode="External"/><Relationship Id="rId329" Type="http://schemas.openxmlformats.org/officeDocument/2006/relationships/hyperlink" Target="https://maps.google.com/?q=5.705420,-77.269532" TargetMode="External"/><Relationship Id="rId328" Type="http://schemas.openxmlformats.org/officeDocument/2006/relationships/hyperlink" Target="https://commons.wikimedia.org/wiki/File:Arco%C3%ADris_en_Monserrate.jpg" TargetMode="External"/><Relationship Id="rId3571" Type="http://schemas.openxmlformats.org/officeDocument/2006/relationships/hyperlink" Target="https://upload.wikimedia.org/wikipedia/commons/7/7a/Nido_de_aves_urbano.jpg" TargetMode="External"/><Relationship Id="rId2240" Type="http://schemas.openxmlformats.org/officeDocument/2006/relationships/hyperlink" Target="https://upload.wikimedia.org/wikipedia/commons/8/85/Flor_macho_Ceiba_amarilla.jpg" TargetMode="External"/><Relationship Id="rId3570" Type="http://schemas.openxmlformats.org/officeDocument/2006/relationships/hyperlink" Target="https://maps.google.com/?q=10.425000,-75.540278" TargetMode="External"/><Relationship Id="rId2241" Type="http://schemas.openxmlformats.org/officeDocument/2006/relationships/hyperlink" Target="https://commons.wikimedia.org/wiki/File:Flor_macho_Ceiba_amarilla.jpg" TargetMode="External"/><Relationship Id="rId3573" Type="http://schemas.openxmlformats.org/officeDocument/2006/relationships/hyperlink" Target="https://upload.wikimedia.org/wikipedia/commons/c/cd/Nido_euphonia_piquigruesa.jpg" TargetMode="External"/><Relationship Id="rId2242" Type="http://schemas.openxmlformats.org/officeDocument/2006/relationships/hyperlink" Target="https://maps.google.com/?q=4.669437,-74.097702" TargetMode="External"/><Relationship Id="rId3572" Type="http://schemas.openxmlformats.org/officeDocument/2006/relationships/hyperlink" Target="https://commons.wikimedia.org/wiki/File:Nido_de_aves_urbano.jpg" TargetMode="External"/><Relationship Id="rId323" Type="http://schemas.openxmlformats.org/officeDocument/2006/relationships/hyperlink" Target="https://commons.wikimedia.org/wiki/File:Arcoiris,_Bogot%C3%A1,_Colombia.jpg" TargetMode="External"/><Relationship Id="rId2243" Type="http://schemas.openxmlformats.org/officeDocument/2006/relationships/hyperlink" Target="https://upload.wikimedia.org/wikipedia/commons/1/1d/Flor_morada_Aguile%C3%B1a_com%C3%BAn_%E2%80%93_G%C3%A9nero_Aquilegia_%E2%80%93_Familia_Ranunculaceae.png" TargetMode="External"/><Relationship Id="rId3575" Type="http://schemas.openxmlformats.org/officeDocument/2006/relationships/hyperlink" Target="https://upload.wikimedia.org/wikipedia/commons/e/e0/Nidos_de_arboles.jpg" TargetMode="External"/><Relationship Id="rId322" Type="http://schemas.openxmlformats.org/officeDocument/2006/relationships/hyperlink" Target="https://upload.wikimedia.org/wikipedia/commons/1/1b/Arcoiris%2C_Bogot%C3%A1%2C_Colombia.jpg" TargetMode="External"/><Relationship Id="rId2244" Type="http://schemas.openxmlformats.org/officeDocument/2006/relationships/hyperlink" Target="https://commons.wikimedia.org/wiki/File:Flor_morada_Aguile%C3%B1a_com%C3%BAn_%E2%80%93_G%C3%A9nero_Aquilegia_%E2%80%93_Familia_Ranunculaceae.png" TargetMode="External"/><Relationship Id="rId3574" Type="http://schemas.openxmlformats.org/officeDocument/2006/relationships/hyperlink" Target="https://commons.wikimedia.org/wiki/File:Nido_euphonia_piquigruesa.jpg" TargetMode="External"/><Relationship Id="rId321" Type="http://schemas.openxmlformats.org/officeDocument/2006/relationships/hyperlink" Target="https://commons.wikimedia.org/wiki/File:Arbusto_de_Photinia_(Rosaceae).jpg" TargetMode="External"/><Relationship Id="rId2245" Type="http://schemas.openxmlformats.org/officeDocument/2006/relationships/hyperlink" Target="https://upload.wikimedia.org/wikipedia/commons/f/f5/Flor_rosada_en_campo.jpg" TargetMode="External"/><Relationship Id="rId3577" Type="http://schemas.openxmlformats.org/officeDocument/2006/relationships/hyperlink" Target="https://maps.google.com/?q=6.449751,-72.354976" TargetMode="External"/><Relationship Id="rId320" Type="http://schemas.openxmlformats.org/officeDocument/2006/relationships/hyperlink" Target="https://upload.wikimedia.org/wikipedia/commons/6/66/Arbusto_de_Photinia_%28Rosaceae%29.jpg" TargetMode="External"/><Relationship Id="rId2246" Type="http://schemas.openxmlformats.org/officeDocument/2006/relationships/hyperlink" Target="https://commons.wikimedia.org/wiki/File:Flor_rosada_en_campo.jpg" TargetMode="External"/><Relationship Id="rId3576" Type="http://schemas.openxmlformats.org/officeDocument/2006/relationships/hyperlink" Target="https://commons.wikimedia.org/wiki/File:Nidos_de_arboles.jpg" TargetMode="External"/><Relationship Id="rId2236" Type="http://schemas.openxmlformats.org/officeDocument/2006/relationships/hyperlink" Target="https://commons.wikimedia.org/wiki/File:Flor_en_monserrate.jpg" TargetMode="External"/><Relationship Id="rId3568" Type="http://schemas.openxmlformats.org/officeDocument/2006/relationships/hyperlink" Target="https://upload.wikimedia.org/wikipedia/commons/9/95/Nido_de_Ramphomicron_microrhynchum.jpg" TargetMode="External"/><Relationship Id="rId4899" Type="http://schemas.openxmlformats.org/officeDocument/2006/relationships/hyperlink" Target="https://upload.wikimedia.org/wikipedia/commons/a/ac/Stachytarfeta_cayennensis3.jpg" TargetMode="External"/><Relationship Id="rId2237" Type="http://schemas.openxmlformats.org/officeDocument/2006/relationships/hyperlink" Target="https://upload.wikimedia.org/wikipedia/commons/9/93/Flor_junto_a_mariposa.jpg" TargetMode="External"/><Relationship Id="rId3567" Type="http://schemas.openxmlformats.org/officeDocument/2006/relationships/hyperlink" Target="https://commons.wikimedia.org/wiki/File:Nevado_del_Tolima_visto_desde_Salento.jpg" TargetMode="External"/><Relationship Id="rId4898" Type="http://schemas.openxmlformats.org/officeDocument/2006/relationships/hyperlink" Target="https://commons.wikimedia.org/wiki/File:Stachytarfeta_cayennensis2.jpg" TargetMode="External"/><Relationship Id="rId2238" Type="http://schemas.openxmlformats.org/officeDocument/2006/relationships/hyperlink" Target="https://commons.wikimedia.org/wiki/File:Flor_junto_a_mariposa.jpg" TargetMode="External"/><Relationship Id="rId2239" Type="http://schemas.openxmlformats.org/officeDocument/2006/relationships/hyperlink" Target="https://maps.google.com/?q=4.667750,-74.099944" TargetMode="External"/><Relationship Id="rId3569" Type="http://schemas.openxmlformats.org/officeDocument/2006/relationships/hyperlink" Target="https://commons.wikimedia.org/wiki/File:Nido_de_Ramphomicron_microrhynchum.jpg" TargetMode="External"/><Relationship Id="rId316" Type="http://schemas.openxmlformats.org/officeDocument/2006/relationships/hyperlink" Target="https://upload.wikimedia.org/wikipedia/commons/c/c2/Arboloco_bogotano_%28Polymnia_pyramidalis%29_-_h%C3%BAmedal_Santa_Mar%C3%ADa_del_Lago%2C_Bogot%C3%A1%2C_Colombia.jpg" TargetMode="External"/><Relationship Id="rId315" Type="http://schemas.openxmlformats.org/officeDocument/2006/relationships/hyperlink" Target="https://commons.wikimedia.org/wiki/File:Arbol_de_Mango_en_Cartagena.jpg" TargetMode="External"/><Relationship Id="rId314" Type="http://schemas.openxmlformats.org/officeDocument/2006/relationships/hyperlink" Target="https://upload.wikimedia.org/wikipedia/commons/7/75/Arbol_de_Mango_en_Cartagena.jpg" TargetMode="External"/><Relationship Id="rId313" Type="http://schemas.openxmlformats.org/officeDocument/2006/relationships/hyperlink" Target="https://maps.google.com/?q=10.406944,-75.465000" TargetMode="External"/><Relationship Id="rId319" Type="http://schemas.openxmlformats.org/officeDocument/2006/relationships/hyperlink" Target="https://commons.wikimedia.org/wiki/File:Arbusto_Volc%C3%A1n_en_Nuqu%C3%AD,_Choc%C3%B3_2025.jpg" TargetMode="External"/><Relationship Id="rId318" Type="http://schemas.openxmlformats.org/officeDocument/2006/relationships/hyperlink" Target="https://upload.wikimedia.org/wikipedia/commons/8/86/Arbusto_Volc%C3%A1n_en_Nuqu%C3%AD%2C_Choc%C3%B3_2025.jpg" TargetMode="External"/><Relationship Id="rId317" Type="http://schemas.openxmlformats.org/officeDocument/2006/relationships/hyperlink" Target="https://commons.wikimedia.org/wiki/File:Arboloco_bogotano_(Polymnia_pyramidalis)_-_h%C3%BAmedal_Santa_Mar%C3%ADa_del_Lago,_Bogot%C3%A1,_Colombia.jpg" TargetMode="External"/><Relationship Id="rId3560" Type="http://schemas.openxmlformats.org/officeDocument/2006/relationships/hyperlink" Target="https://maps.google.com/?q=4.637934,-74.452158" TargetMode="External"/><Relationship Id="rId4891" Type="http://schemas.openxmlformats.org/officeDocument/2006/relationships/hyperlink" Target="https://upload.wikimedia.org/wikipedia/commons/e/ec/Spider_in_the_Tayrona_National_park_%28Ara%C3%B1a_en_el_Parque_Nacional_Natural_Tayrona%29.jpg" TargetMode="External"/><Relationship Id="rId4890" Type="http://schemas.openxmlformats.org/officeDocument/2006/relationships/hyperlink" Target="https://commons.wikimedia.org/wiki/File:Spathoglottis_mayo_de_2026.jpg" TargetMode="External"/><Relationship Id="rId2230" Type="http://schemas.openxmlformats.org/officeDocument/2006/relationships/hyperlink" Target="https://commons.wikimedia.org/wiki/File:Flor_de_un_d%C3%ADa;_Colombia.jpg" TargetMode="External"/><Relationship Id="rId3562" Type="http://schemas.openxmlformats.org/officeDocument/2006/relationships/hyperlink" Target="https://commons.wikimedia.org/wiki/File:Nevado_del_Tolima_vista_en_atardecer.jpg" TargetMode="External"/><Relationship Id="rId4893" Type="http://schemas.openxmlformats.org/officeDocument/2006/relationships/hyperlink" Target="https://upload.wikimedia.org/wikipedia/commons/d/da/Squirrel_monkey_%28Saimiri_cassiquiarensis%29_in_a_forest_canopy_near_Puerto_L%C3%B3pez%2C_2025.jpg" TargetMode="External"/><Relationship Id="rId2231" Type="http://schemas.openxmlformats.org/officeDocument/2006/relationships/hyperlink" Target="https://upload.wikimedia.org/wikipedia/commons/8/8f/Flor_del_In%C3%ADrida_-_Schoenocephalium_teretifolium.jpg" TargetMode="External"/><Relationship Id="rId3561" Type="http://schemas.openxmlformats.org/officeDocument/2006/relationships/hyperlink" Target="https://upload.wikimedia.org/wikipedia/commons/4/43/Nevado_del_Tolima_vista_en_atardecer.jpg" TargetMode="External"/><Relationship Id="rId4892" Type="http://schemas.openxmlformats.org/officeDocument/2006/relationships/hyperlink" Target="https://commons.wikimedia.org/wiki/File:Spider_in_the_Tayrona_National_park_(Ara%C3%B1a_en_el_Parque_Nacional_Natural_Tayrona).jpg" TargetMode="External"/><Relationship Id="rId312" Type="http://schemas.openxmlformats.org/officeDocument/2006/relationships/hyperlink" Target="https://commons.wikimedia.org/wiki/File:Arbol_a_contraluz.jpg" TargetMode="External"/><Relationship Id="rId2232" Type="http://schemas.openxmlformats.org/officeDocument/2006/relationships/hyperlink" Target="https://commons.wikimedia.org/wiki/File:Flor_del_In%C3%ADrida_-_Schoenocephalium_teretifolium.jpg" TargetMode="External"/><Relationship Id="rId3564" Type="http://schemas.openxmlformats.org/officeDocument/2006/relationships/hyperlink" Target="https://upload.wikimedia.org/wikipedia/commons/9/9a/Nevado_del_Tolima_visto_desde_Fusagasug%C3%A1.jpg" TargetMode="External"/><Relationship Id="rId4895" Type="http://schemas.openxmlformats.org/officeDocument/2006/relationships/hyperlink" Target="https://upload.wikimedia.org/wikipedia/commons/3/3c/Stachytarfeta_cayennensis.jpg" TargetMode="External"/><Relationship Id="rId311" Type="http://schemas.openxmlformats.org/officeDocument/2006/relationships/hyperlink" Target="https://upload.wikimedia.org/wikipedia/commons/e/e7/Arbol_a_contraluz.jpg" TargetMode="External"/><Relationship Id="rId2233" Type="http://schemas.openxmlformats.org/officeDocument/2006/relationships/hyperlink" Target="https://upload.wikimedia.org/wikipedia/commons/3/3c/Flor_en_Manos_de_Luisa.jpg" TargetMode="External"/><Relationship Id="rId3563" Type="http://schemas.openxmlformats.org/officeDocument/2006/relationships/hyperlink" Target="https://maps.google.com/?q=4.360644,-74.335404" TargetMode="External"/><Relationship Id="rId4894" Type="http://schemas.openxmlformats.org/officeDocument/2006/relationships/hyperlink" Target="https://commons.wikimedia.org/wiki/File:Squirrel_monkey_(Saimiri_cassiquiarensis)_in_a_forest_canopy_near_Puerto_L%C3%B3pez,_2025.jpg" TargetMode="External"/><Relationship Id="rId310" Type="http://schemas.openxmlformats.org/officeDocument/2006/relationships/hyperlink" Target="https://commons.wikimedia.org/wiki/File:Arbol_Ciudad_de_piedra_Guaviares.jpg" TargetMode="External"/><Relationship Id="rId2234" Type="http://schemas.openxmlformats.org/officeDocument/2006/relationships/hyperlink" Target="https://commons.wikimedia.org/wiki/File:Flor_en_Manos_de_Luisa.jpg" TargetMode="External"/><Relationship Id="rId3566" Type="http://schemas.openxmlformats.org/officeDocument/2006/relationships/hyperlink" Target="https://upload.wikimedia.org/wikipedia/commons/b/b2/Nevado_del_Tolima_visto_desde_Salento.jpg" TargetMode="External"/><Relationship Id="rId4897" Type="http://schemas.openxmlformats.org/officeDocument/2006/relationships/hyperlink" Target="https://upload.wikimedia.org/wikipedia/commons/e/e5/Stachytarfeta_cayennensis2.jpg" TargetMode="External"/><Relationship Id="rId2235" Type="http://schemas.openxmlformats.org/officeDocument/2006/relationships/hyperlink" Target="https://upload.wikimedia.org/wikipedia/commons/5/52/Flor_en_monserrate.jpg" TargetMode="External"/><Relationship Id="rId3565" Type="http://schemas.openxmlformats.org/officeDocument/2006/relationships/hyperlink" Target="https://commons.wikimedia.org/wiki/File:Nevado_del_Tolima_visto_desde_Fusagasug%C3%A1.jpg" TargetMode="External"/><Relationship Id="rId4896" Type="http://schemas.openxmlformats.org/officeDocument/2006/relationships/hyperlink" Target="https://commons.wikimedia.org/wiki/File:Stachytarfeta_cayennensis.jpg" TargetMode="External"/><Relationship Id="rId4040" Type="http://schemas.openxmlformats.org/officeDocument/2006/relationships/hyperlink" Target="https://upload.wikimedia.org/wikipedia/commons/0/06/Parque_Nacional_Natural_Los_Nevados_y_Nevado_del_Ruiz_%2842530%29.jpg" TargetMode="External"/><Relationship Id="rId5372" Type="http://schemas.openxmlformats.org/officeDocument/2006/relationships/hyperlink" Target="https://upload.wikimedia.org/wikipedia/commons/5/53/Villavicencio%2CColombia.jpg" TargetMode="External"/><Relationship Id="rId5373" Type="http://schemas.openxmlformats.org/officeDocument/2006/relationships/hyperlink" Target="https://commons.wikimedia.org/wiki/File:Villavicencio,Colombia.jpg" TargetMode="External"/><Relationship Id="rId4042" Type="http://schemas.openxmlformats.org/officeDocument/2006/relationships/hyperlink" Target="https://upload.wikimedia.org/wikipedia/commons/0/09/Parque_Nacional_Natural_Los_Nevados_y_Nevado_del_Ruiz_%2844448%29.jpg" TargetMode="External"/><Relationship Id="rId5370" Type="http://schemas.openxmlformats.org/officeDocument/2006/relationships/hyperlink" Target="https://commons.wikimedia.org/wiki/File:Vigilancia_entre_el_follaje.jpg" TargetMode="External"/><Relationship Id="rId4041" Type="http://schemas.openxmlformats.org/officeDocument/2006/relationships/hyperlink" Target="https://commons.wikimedia.org/wiki/File:Parque_Nacional_Natural_Los_Nevados_y_Nevado_del_Ruiz_(42530).jpg" TargetMode="External"/><Relationship Id="rId5371" Type="http://schemas.openxmlformats.org/officeDocument/2006/relationships/hyperlink" Target="https://maps.google.com/?q=4.109503,-73.636719" TargetMode="External"/><Relationship Id="rId4044" Type="http://schemas.openxmlformats.org/officeDocument/2006/relationships/hyperlink" Target="https://upload.wikimedia.org/wikipedia/commons/b/b2/Parque_Nacional_Natural_Los_Nevados_y_Nevado_del_Ruiz_%2846538%29.jpg" TargetMode="External"/><Relationship Id="rId5376" Type="http://schemas.openxmlformats.org/officeDocument/2006/relationships/hyperlink" Target="https://maps.google.com/?q=4.109503,-73.636733" TargetMode="External"/><Relationship Id="rId4043" Type="http://schemas.openxmlformats.org/officeDocument/2006/relationships/hyperlink" Target="https://commons.wikimedia.org/wiki/File:Parque_Nacional_Natural_Los_Nevados_y_Nevado_del_Ruiz_(44448).jpg" TargetMode="External"/><Relationship Id="rId5377" Type="http://schemas.openxmlformats.org/officeDocument/2006/relationships/hyperlink" Target="https://upload.wikimedia.org/wikipedia/commons/a/ae/Villavicencio%2C_Colombia.jpg" TargetMode="External"/><Relationship Id="rId4046" Type="http://schemas.openxmlformats.org/officeDocument/2006/relationships/hyperlink" Target="https://upload.wikimedia.org/wikipedia/commons/5/59/Parque_Nacional_Natural_Los_Nevados_y_Nevado_del_Ruiz_%2847118%29.jpg" TargetMode="External"/><Relationship Id="rId5374" Type="http://schemas.openxmlformats.org/officeDocument/2006/relationships/hyperlink" Target="https://upload.wikimedia.org/wikipedia/commons/5/56/Villavicencio%2CColombia.png" TargetMode="External"/><Relationship Id="rId4045" Type="http://schemas.openxmlformats.org/officeDocument/2006/relationships/hyperlink" Target="https://commons.wikimedia.org/wiki/File:Parque_Nacional_Natural_Los_Nevados_y_Nevado_del_Ruiz_(46538).jpg" TargetMode="External"/><Relationship Id="rId5375" Type="http://schemas.openxmlformats.org/officeDocument/2006/relationships/hyperlink" Target="https://commons.wikimedia.org/wiki/File:Villavicencio,Colombia.png" TargetMode="External"/><Relationship Id="rId4048" Type="http://schemas.openxmlformats.org/officeDocument/2006/relationships/hyperlink" Target="https://upload.wikimedia.org/wikipedia/commons/7/77/Parque_Nacional_Natural_Los_Nevados_y_Nevado_del_Ruiz_%2847517%29.jpg" TargetMode="External"/><Relationship Id="rId4047" Type="http://schemas.openxmlformats.org/officeDocument/2006/relationships/hyperlink" Target="https://commons.wikimedia.org/wiki/File:Parque_Nacional_Natural_Los_Nevados_y_Nevado_del_Ruiz_(47118).jpg" TargetMode="External"/><Relationship Id="rId5378" Type="http://schemas.openxmlformats.org/officeDocument/2006/relationships/hyperlink" Target="https://commons.wikimedia.org/wiki/File:Villavicencio,_Colombia.jpg" TargetMode="External"/><Relationship Id="rId4049" Type="http://schemas.openxmlformats.org/officeDocument/2006/relationships/hyperlink" Target="https://commons.wikimedia.org/wiki/File:Parque_Nacional_Natural_Los_Nevados_y_Nevado_del_Ruiz_(47517).jpg" TargetMode="External"/><Relationship Id="rId5379" Type="http://schemas.openxmlformats.org/officeDocument/2006/relationships/hyperlink" Target="https://upload.wikimedia.org/wikipedia/commons/9/95/Vinca_Major_28_de_marzo_de_2025.jpg" TargetMode="External"/><Relationship Id="rId5361" Type="http://schemas.openxmlformats.org/officeDocument/2006/relationships/hyperlink" Target="https://upload.wikimedia.org/wikipedia/commons/3/3a/Vida_fluyendo_a_trav%C3%A9s_de_los_paramos.jpg" TargetMode="External"/><Relationship Id="rId5362" Type="http://schemas.openxmlformats.org/officeDocument/2006/relationships/hyperlink" Target="https://commons.wikimedia.org/wiki/File:Vida_fluyendo_a_trav%C3%A9s_de_los_paramos.jpg" TargetMode="External"/><Relationship Id="rId4031" Type="http://schemas.openxmlformats.org/officeDocument/2006/relationships/hyperlink" Target="https://commons.wikimedia.org/wiki/File:Parque_Nacional_Natural_Los_Nevados_y_Nevado_del_Ruiz_(29184).jpg" TargetMode="External"/><Relationship Id="rId4030" Type="http://schemas.openxmlformats.org/officeDocument/2006/relationships/hyperlink" Target="https://upload.wikimedia.org/wikipedia/commons/2/29/Parque_Nacional_Natural_Los_Nevados_y_Nevado_del_Ruiz_%2829184%29.jpg" TargetMode="External"/><Relationship Id="rId5360" Type="http://schemas.openxmlformats.org/officeDocument/2006/relationships/hyperlink" Target="https://maps.google.com/?q=2.128661,-76.429432" TargetMode="External"/><Relationship Id="rId297" Type="http://schemas.openxmlformats.org/officeDocument/2006/relationships/hyperlink" Target="https://upload.wikimedia.org/wikipedia/commons/4/4d/Ara%C3%B1a_en_vegetaci%C3%B3n.jpg" TargetMode="External"/><Relationship Id="rId4033" Type="http://schemas.openxmlformats.org/officeDocument/2006/relationships/hyperlink" Target="https://commons.wikimedia.org/wiki/File:Parque_Nacional_Natural_Los_Nevados_y_Nevado_del_Ruiz_(29342).jpg" TargetMode="External"/><Relationship Id="rId5365" Type="http://schemas.openxmlformats.org/officeDocument/2006/relationships/hyperlink" Target="https://upload.wikimedia.org/wikipedia/commons/9/96/View_from_the_Santa_marta_Airport.jpg" TargetMode="External"/><Relationship Id="rId296" Type="http://schemas.openxmlformats.org/officeDocument/2006/relationships/hyperlink" Target="https://commons.wikimedia.org/wiki/File:Ara%C3%B1a_cangrejo_de_las_flores.jpg" TargetMode="External"/><Relationship Id="rId4032" Type="http://schemas.openxmlformats.org/officeDocument/2006/relationships/hyperlink" Target="https://upload.wikimedia.org/wikipedia/commons/8/81/Parque_Nacional_Natural_Los_Nevados_y_Nevado_del_Ruiz_%2829342%29.jpg" TargetMode="External"/><Relationship Id="rId5366" Type="http://schemas.openxmlformats.org/officeDocument/2006/relationships/hyperlink" Target="https://commons.wikimedia.org/wiki/File:View_from_the_Santa_marta_Airport.jpg" TargetMode="External"/><Relationship Id="rId295" Type="http://schemas.openxmlformats.org/officeDocument/2006/relationships/hyperlink" Target="https://upload.wikimedia.org/wikipedia/commons/7/74/Ara%C3%B1a_cangrejo_de_las_flores.jpg" TargetMode="External"/><Relationship Id="rId4035" Type="http://schemas.openxmlformats.org/officeDocument/2006/relationships/hyperlink" Target="https://commons.wikimedia.org/wiki/File:Parque_Nacional_Natural_Los_Nevados_y_Nevado_del_Ruiz_(29395).jpg" TargetMode="External"/><Relationship Id="rId5363" Type="http://schemas.openxmlformats.org/officeDocument/2006/relationships/hyperlink" Target="https://upload.wikimedia.org/wikipedia/commons/f/fe/Vientres_del_Purac%C3%A9_-_PNN_Purac%C3%A9.jpg" TargetMode="External"/><Relationship Id="rId294" Type="http://schemas.openxmlformats.org/officeDocument/2006/relationships/hyperlink" Target="https://commons.wikimedia.org/wiki/File:Ara%C3%B1a_cangrejo.jpg" TargetMode="External"/><Relationship Id="rId4034" Type="http://schemas.openxmlformats.org/officeDocument/2006/relationships/hyperlink" Target="https://upload.wikimedia.org/wikipedia/commons/6/64/Parque_Nacional_Natural_Los_Nevados_y_Nevado_del_Ruiz_%2829395%29.jpg" TargetMode="External"/><Relationship Id="rId5364" Type="http://schemas.openxmlformats.org/officeDocument/2006/relationships/hyperlink" Target="https://commons.wikimedia.org/wiki/File:Vientres_del_Purac%C3%A9_-_PNN_Purac%C3%A9.jpg" TargetMode="External"/><Relationship Id="rId4037" Type="http://schemas.openxmlformats.org/officeDocument/2006/relationships/hyperlink" Target="https://commons.wikimedia.org/wiki/File:Parque_Nacional_Natural_Los_Nevados_y_Nevado_del_Ruiz_(30163).jpg" TargetMode="External"/><Relationship Id="rId5369" Type="http://schemas.openxmlformats.org/officeDocument/2006/relationships/hyperlink" Target="https://upload.wikimedia.org/wikipedia/commons/0/00/Vigilancia_entre_el_follaje.jpg" TargetMode="External"/><Relationship Id="rId4036" Type="http://schemas.openxmlformats.org/officeDocument/2006/relationships/hyperlink" Target="https://upload.wikimedia.org/wikipedia/commons/b/bd/Parque_Nacional_Natural_Los_Nevados_y_Nevado_del_Ruiz_%2830163%29.jpg" TargetMode="External"/><Relationship Id="rId299" Type="http://schemas.openxmlformats.org/officeDocument/2006/relationships/hyperlink" Target="https://upload.wikimedia.org/wikipedia/commons/a/a0/Ara%C3%B1a_patona.jpg" TargetMode="External"/><Relationship Id="rId4039" Type="http://schemas.openxmlformats.org/officeDocument/2006/relationships/hyperlink" Target="https://commons.wikimedia.org/wiki/File:Parque_Nacional_Natural_Los_Nevados_y_Nevado_del_Ruiz_(39072).jpg" TargetMode="External"/><Relationship Id="rId5367" Type="http://schemas.openxmlformats.org/officeDocument/2006/relationships/hyperlink" Target="https://upload.wikimedia.org/wikipedia/commons/3/3a/View_of_Valle_Del_Cauca.jpg" TargetMode="External"/><Relationship Id="rId298" Type="http://schemas.openxmlformats.org/officeDocument/2006/relationships/hyperlink" Target="https://commons.wikimedia.org/wiki/File:Ara%C3%B1a_en_vegetaci%C3%B3n.jpg" TargetMode="External"/><Relationship Id="rId4038" Type="http://schemas.openxmlformats.org/officeDocument/2006/relationships/hyperlink" Target="https://upload.wikimedia.org/wikipedia/commons/c/ca/Parque_Nacional_Natural_Los_Nevados_y_Nevado_del_Ruiz_%2839072%29.jpg" TargetMode="External"/><Relationship Id="rId5368" Type="http://schemas.openxmlformats.org/officeDocument/2006/relationships/hyperlink" Target="https://commons.wikimedia.org/wiki/File:View_of_Valle_Del_Cauca.jpg" TargetMode="External"/><Relationship Id="rId5390" Type="http://schemas.openxmlformats.org/officeDocument/2006/relationships/hyperlink" Target="https://upload.wikimedia.org/wikipedia/commons/8/8b/Vista_a_la_zona_principal_y_muelle_de_Capurgan%C3%A1_Colombia.jpg" TargetMode="External"/><Relationship Id="rId5391" Type="http://schemas.openxmlformats.org/officeDocument/2006/relationships/hyperlink" Target="https://commons.wikimedia.org/wiki/File:Vista_a_la_zona_principal_y_muelle_de_Capurgan%C3%A1_Colombia.jpg" TargetMode="External"/><Relationship Id="rId4060" Type="http://schemas.openxmlformats.org/officeDocument/2006/relationships/hyperlink" Target="https://upload.wikimedia.org/wikipedia/commons/d/d0/Parque_Nacional_Natural_Los_Nevados_y_Nevado_del_Ruiz_%2862299%29.jpg" TargetMode="External"/><Relationship Id="rId4062" Type="http://schemas.openxmlformats.org/officeDocument/2006/relationships/hyperlink" Target="https://upload.wikimedia.org/wikipedia/commons/e/e3/Parque_Nacional_Natural_Los_Nevados_y_Nevado_del_Ruiz_%2864087%29.jpg" TargetMode="External"/><Relationship Id="rId5394" Type="http://schemas.openxmlformats.org/officeDocument/2006/relationships/hyperlink" Target="https://upload.wikimedia.org/wikipedia/commons/6/67/Vista_al_embalse_de_Pe%C3%B1ol-Guatap%C3%A9_%28Antioquia%29.jpg" TargetMode="External"/><Relationship Id="rId4061" Type="http://schemas.openxmlformats.org/officeDocument/2006/relationships/hyperlink" Target="https://commons.wikimedia.org/wiki/File:Parque_Nacional_Natural_Los_Nevados_y_Nevado_del_Ruiz_(62299).jpg" TargetMode="External"/><Relationship Id="rId5395" Type="http://schemas.openxmlformats.org/officeDocument/2006/relationships/hyperlink" Target="https://commons.wikimedia.org/wiki/File:Vista_al_embalse_de_Pe%C3%B1ol-Guatap%C3%A9_(Antioquia).jpg" TargetMode="External"/><Relationship Id="rId4064" Type="http://schemas.openxmlformats.org/officeDocument/2006/relationships/hyperlink" Target="https://upload.wikimedia.org/wikipedia/commons/d/d3/Parque_Nacional_Natural_Los_Nevados_y_Nevado_del_Ruiz_%2866260%29.jpg" TargetMode="External"/><Relationship Id="rId5392" Type="http://schemas.openxmlformats.org/officeDocument/2006/relationships/hyperlink" Target="https://upload.wikimedia.org/wikipedia/commons/7/73/Vista_al_Rodadero_-_Santa_Marta_%28Colombia%29.jpg" TargetMode="External"/><Relationship Id="rId4063" Type="http://schemas.openxmlformats.org/officeDocument/2006/relationships/hyperlink" Target="https://commons.wikimedia.org/wiki/File:Parque_Nacional_Natural_Los_Nevados_y_Nevado_del_Ruiz_(64087).jpg" TargetMode="External"/><Relationship Id="rId5393" Type="http://schemas.openxmlformats.org/officeDocument/2006/relationships/hyperlink" Target="https://commons.wikimedia.org/wiki/File:Vista_al_Rodadero_-_Santa_Marta_(Colombia).jpg" TargetMode="External"/><Relationship Id="rId4066" Type="http://schemas.openxmlformats.org/officeDocument/2006/relationships/hyperlink" Target="https://upload.wikimedia.org/wikipedia/commons/a/ac/Parque_Nacional_Natural_Los_Nevados_y_Nevado_del_Ruiz_%2866560%29.jpg" TargetMode="External"/><Relationship Id="rId5398" Type="http://schemas.openxmlformats.org/officeDocument/2006/relationships/hyperlink" Target="https://upload.wikimedia.org/wikipedia/commons/2/22/Vista_al_morro_desde_el_malec%C3%B3n_de_Santa_Marta_%28Colombia%29.jpg" TargetMode="External"/><Relationship Id="rId4065" Type="http://schemas.openxmlformats.org/officeDocument/2006/relationships/hyperlink" Target="https://commons.wikimedia.org/wiki/File:Parque_Nacional_Natural_Los_Nevados_y_Nevado_del_Ruiz_(66260).jpg" TargetMode="External"/><Relationship Id="rId5399" Type="http://schemas.openxmlformats.org/officeDocument/2006/relationships/hyperlink" Target="https://commons.wikimedia.org/wiki/File:Vista_al_morro_desde_el_malec%C3%B3n_de_Santa_Marta_(Colombia).jpg" TargetMode="External"/><Relationship Id="rId4068" Type="http://schemas.openxmlformats.org/officeDocument/2006/relationships/hyperlink" Target="https://upload.wikimedia.org/wikipedia/commons/9/98/Parque_Nacional_Natural_Los_Nevados_y_Nevado_del_Ruiz_%2867158%29.jpg" TargetMode="External"/><Relationship Id="rId5396" Type="http://schemas.openxmlformats.org/officeDocument/2006/relationships/hyperlink" Target="https://upload.wikimedia.org/wikipedia/commons/4/4d/Vista_al_mar_desde_Santa_Marta_%28Colombia%29.jpg" TargetMode="External"/><Relationship Id="rId4067" Type="http://schemas.openxmlformats.org/officeDocument/2006/relationships/hyperlink" Target="https://commons.wikimedia.org/wiki/File:Parque_Nacional_Natural_Los_Nevados_y_Nevado_del_Ruiz_(66560).jpg" TargetMode="External"/><Relationship Id="rId5397" Type="http://schemas.openxmlformats.org/officeDocument/2006/relationships/hyperlink" Target="https://commons.wikimedia.org/wiki/File:Vista_al_mar_desde_Santa_Marta_(Colombia).jpg" TargetMode="External"/><Relationship Id="rId4069" Type="http://schemas.openxmlformats.org/officeDocument/2006/relationships/hyperlink" Target="https://commons.wikimedia.org/wiki/File:Parque_Nacional_Natural_Los_Nevados_y_Nevado_del_Ruiz_(67158).jpg" TargetMode="External"/><Relationship Id="rId5380" Type="http://schemas.openxmlformats.org/officeDocument/2006/relationships/hyperlink" Target="https://commons.wikimedia.org/wiki/File:Vinca_Major_28_de_marzo_de_2025.jpg" TargetMode="External"/><Relationship Id="rId4051" Type="http://schemas.openxmlformats.org/officeDocument/2006/relationships/hyperlink" Target="https://commons.wikimedia.org/wiki/File:Parque_Nacional_Natural_Los_Nevados_y_Nevado_del_Ruiz_(51704).jpg" TargetMode="External"/><Relationship Id="rId5383" Type="http://schemas.openxmlformats.org/officeDocument/2006/relationships/hyperlink" Target="https://upload.wikimedia.org/wikipedia/commons/b/b6/Vintage_tree.jpg" TargetMode="External"/><Relationship Id="rId4050" Type="http://schemas.openxmlformats.org/officeDocument/2006/relationships/hyperlink" Target="https://upload.wikimedia.org/wikipedia/commons/a/ac/Parque_Nacional_Natural_Los_Nevados_y_Nevado_del_Ruiz_%2851704%29.jpg" TargetMode="External"/><Relationship Id="rId5384" Type="http://schemas.openxmlformats.org/officeDocument/2006/relationships/hyperlink" Target="https://commons.wikimedia.org/wiki/File:Vintage_tree.jpg" TargetMode="External"/><Relationship Id="rId4053" Type="http://schemas.openxmlformats.org/officeDocument/2006/relationships/hyperlink" Target="https://commons.wikimedia.org/wiki/File:Parque_Nacional_Natural_Los_Nevados_y_Nevado_del_Ruiz_(51737).jpg" TargetMode="External"/><Relationship Id="rId5381" Type="http://schemas.openxmlformats.org/officeDocument/2006/relationships/hyperlink" Target="https://upload.wikimedia.org/wikipedia/commons/d/da/Vintage_Cactus.jpg" TargetMode="External"/><Relationship Id="rId4052" Type="http://schemas.openxmlformats.org/officeDocument/2006/relationships/hyperlink" Target="https://upload.wikimedia.org/wikipedia/commons/8/8c/Parque_Nacional_Natural_Los_Nevados_y_Nevado_del_Ruiz_%2851737%29.jpg" TargetMode="External"/><Relationship Id="rId5382" Type="http://schemas.openxmlformats.org/officeDocument/2006/relationships/hyperlink" Target="https://commons.wikimedia.org/wiki/File:Vintage_Cactus.jpg" TargetMode="External"/><Relationship Id="rId4055" Type="http://schemas.openxmlformats.org/officeDocument/2006/relationships/hyperlink" Target="https://commons.wikimedia.org/wiki/File:Parque_Nacional_Natural_Los_Nevados_y_Nevado_del_Ruiz_(51760).jpg" TargetMode="External"/><Relationship Id="rId5387" Type="http://schemas.openxmlformats.org/officeDocument/2006/relationships/hyperlink" Target="https://commons.wikimedia.org/wiki/File:Violet-tailed_sylph_(Aglaiocercus_coelestis)_male_Las_Tangaras.jpg" TargetMode="External"/><Relationship Id="rId4054" Type="http://schemas.openxmlformats.org/officeDocument/2006/relationships/hyperlink" Target="https://upload.wikimedia.org/wikipedia/commons/6/6c/Parque_Nacional_Natural_Los_Nevados_y_Nevado_del_Ruiz_%2851760%29.jpg" TargetMode="External"/><Relationship Id="rId5388" Type="http://schemas.openxmlformats.org/officeDocument/2006/relationships/hyperlink" Target="https://upload.wikimedia.org/wikipedia/commons/3/3a/Vista_a_la_bah%C3%ADa_de_Taganga_%28Magdalena%29.jpg" TargetMode="External"/><Relationship Id="rId4057" Type="http://schemas.openxmlformats.org/officeDocument/2006/relationships/hyperlink" Target="https://commons.wikimedia.org/wiki/File:Parque_Nacional_Natural_Los_Nevados_y_Nevado_del_Ruiz_(59525).jpg" TargetMode="External"/><Relationship Id="rId5385" Type="http://schemas.openxmlformats.org/officeDocument/2006/relationships/hyperlink" Target="https://maps.google.com/?q=5.850000,-76.180000" TargetMode="External"/><Relationship Id="rId4056" Type="http://schemas.openxmlformats.org/officeDocument/2006/relationships/hyperlink" Target="https://upload.wikimedia.org/wikipedia/commons/5/55/Parque_Nacional_Natural_Los_Nevados_y_Nevado_del_Ruiz_%2859525%29.jpg" TargetMode="External"/><Relationship Id="rId5386" Type="http://schemas.openxmlformats.org/officeDocument/2006/relationships/hyperlink" Target="https://upload.wikimedia.org/wikipedia/commons/9/98/Violet-tailed_sylph_%28Aglaiocercus_coelestis%29_male_Las_Tangaras.jpg" TargetMode="External"/><Relationship Id="rId4059" Type="http://schemas.openxmlformats.org/officeDocument/2006/relationships/hyperlink" Target="https://commons.wikimedia.org/wiki/File:Parque_Nacional_Natural_Los_Nevados_y_Nevado_del_Ruiz_(60853).jpg" TargetMode="External"/><Relationship Id="rId4058" Type="http://schemas.openxmlformats.org/officeDocument/2006/relationships/hyperlink" Target="https://upload.wikimedia.org/wikipedia/commons/5/56/Parque_Nacional_Natural_Los_Nevados_y_Nevado_del_Ruiz_%2860853%29.jpg" TargetMode="External"/><Relationship Id="rId5389" Type="http://schemas.openxmlformats.org/officeDocument/2006/relationships/hyperlink" Target="https://commons.wikimedia.org/wiki/File:Vista_a_la_bah%C3%ADa_de_Taganga_(Magdalena).jpg" TargetMode="External"/><Relationship Id="rId4008" Type="http://schemas.openxmlformats.org/officeDocument/2006/relationships/hyperlink" Target="https://upload.wikimedia.org/wikipedia/commons/a/ae/Parque_Jaime_duque.jpg" TargetMode="External"/><Relationship Id="rId4007" Type="http://schemas.openxmlformats.org/officeDocument/2006/relationships/hyperlink" Target="https://commons.wikimedia.org/wiki/File:Parque_Ecol%C3%B3gico_Matarredonda_4_-_23-May-2025.jpg" TargetMode="External"/><Relationship Id="rId5338" Type="http://schemas.openxmlformats.org/officeDocument/2006/relationships/hyperlink" Target="https://upload.wikimedia.org/wikipedia/commons/d/d3/Venas_blancas.jpg" TargetMode="External"/><Relationship Id="rId4009" Type="http://schemas.openxmlformats.org/officeDocument/2006/relationships/hyperlink" Target="https://commons.wikimedia.org/wiki/File:Parque_Jaime_duque.jpg" TargetMode="External"/><Relationship Id="rId5339" Type="http://schemas.openxmlformats.org/officeDocument/2006/relationships/hyperlink" Target="https://commons.wikimedia.org/wiki/File:Venas_blancas.jpg" TargetMode="External"/><Relationship Id="rId271" Type="http://schemas.openxmlformats.org/officeDocument/2006/relationships/hyperlink" Target="https://upload.wikimedia.org/wikipedia/commons/7/76/Apis_mellifera_sobre_flor.jpg" TargetMode="External"/><Relationship Id="rId270" Type="http://schemas.openxmlformats.org/officeDocument/2006/relationships/hyperlink" Target="https://maps.google.com/?q=4.871020,-74.085761" TargetMode="External"/><Relationship Id="rId269" Type="http://schemas.openxmlformats.org/officeDocument/2006/relationships/hyperlink" Target="https://commons.wikimedia.org/wiki/File:Apis_mellifera_in_flight_approaching_flower.jpg" TargetMode="External"/><Relationship Id="rId264" Type="http://schemas.openxmlformats.org/officeDocument/2006/relationships/hyperlink" Target="https://commons.wikimedia.org/wiki/File:Apis_mellifera_-_Bogot%C3%A1_D._C.,_Colombia_-_23_Aug_2025_-_Diferoch.jpg" TargetMode="External"/><Relationship Id="rId4000" Type="http://schemas.openxmlformats.org/officeDocument/2006/relationships/hyperlink" Target="https://upload.wikimedia.org/wikipedia/commons/0/01/Parque_Ecol%C3%B3gico_Matarredonda_2_-_23-May-2025.jpg" TargetMode="External"/><Relationship Id="rId5332" Type="http://schemas.openxmlformats.org/officeDocument/2006/relationships/hyperlink" Target="https://maps.google.com/?q=4.934704,-75.347230" TargetMode="External"/><Relationship Id="rId263" Type="http://schemas.openxmlformats.org/officeDocument/2006/relationships/hyperlink" Target="https://upload.wikimedia.org/wikipedia/commons/3/30/Apis_mellifera_-_Bogot%C3%A1_D._C.%2C_Colombia_-_23_Aug_2025_-_Diferoch.jpg" TargetMode="External"/><Relationship Id="rId5333" Type="http://schemas.openxmlformats.org/officeDocument/2006/relationships/hyperlink" Target="https://upload.wikimedia.org/wikipedia/commons/2/21/Vegetaci%C3%B3n_de_p%C3%A1ramo_2025-12-24.jpg" TargetMode="External"/><Relationship Id="rId262" Type="http://schemas.openxmlformats.org/officeDocument/2006/relationships/hyperlink" Target="https://maps.google.com/?q=4.599825,-74.063408" TargetMode="External"/><Relationship Id="rId4002" Type="http://schemas.openxmlformats.org/officeDocument/2006/relationships/hyperlink" Target="https://maps.google.com/?q=4.550000,-74.000000" TargetMode="External"/><Relationship Id="rId5330" Type="http://schemas.openxmlformats.org/officeDocument/2006/relationships/hyperlink" Target="https://upload.wikimedia.org/wikipedia/commons/d/df/Variedad_de_Castilleja_P%C3%A1ramo_de_Belmira.jpg" TargetMode="External"/><Relationship Id="rId261" Type="http://schemas.openxmlformats.org/officeDocument/2006/relationships/hyperlink" Target="https://commons.wikimedia.org/wiki/File:Aphelandra_sinclairiana-Panama_Queen.jpg" TargetMode="External"/><Relationship Id="rId4001" Type="http://schemas.openxmlformats.org/officeDocument/2006/relationships/hyperlink" Target="https://commons.wikimedia.org/wiki/File:Parque_Ecol%C3%B3gico_Matarredonda_2_-_23-May-2025.jpg" TargetMode="External"/><Relationship Id="rId5331" Type="http://schemas.openxmlformats.org/officeDocument/2006/relationships/hyperlink" Target="https://commons.wikimedia.org/wiki/File:Variedad_de_Castilleja_P%C3%A1ramo_de_Belmira.jpg" TargetMode="External"/><Relationship Id="rId268" Type="http://schemas.openxmlformats.org/officeDocument/2006/relationships/hyperlink" Target="https://upload.wikimedia.org/wikipedia/commons/d/d4/Apis_mellifera_in_flight_approaching_flower.jpg" TargetMode="External"/><Relationship Id="rId4004" Type="http://schemas.openxmlformats.org/officeDocument/2006/relationships/hyperlink" Target="https://commons.wikimedia.org/wiki/File:Parque_Ecol%C3%B3gico_Matarredonda_3_-_23-May-2025.jpg" TargetMode="External"/><Relationship Id="rId5336" Type="http://schemas.openxmlformats.org/officeDocument/2006/relationships/hyperlink" Target="https://commons.wikimedia.org/wiki/File:Venado_en_el_Parque_Nacional_Natural_El_Cocuy.jpg" TargetMode="External"/><Relationship Id="rId267" Type="http://schemas.openxmlformats.org/officeDocument/2006/relationships/hyperlink" Target="https://commons.wikimedia.org/wiki/File:Apis_mellifera_aliment%C3%A1ndose.jpg" TargetMode="External"/><Relationship Id="rId4003" Type="http://schemas.openxmlformats.org/officeDocument/2006/relationships/hyperlink" Target="https://upload.wikimedia.org/wikipedia/commons/9/96/Parque_Ecol%C3%B3gico_Matarredonda_3_-_23-May-2025.jpg" TargetMode="External"/><Relationship Id="rId5337" Type="http://schemas.openxmlformats.org/officeDocument/2006/relationships/hyperlink" Target="https://maps.google.com/?q=5.566728,-74.906936" TargetMode="External"/><Relationship Id="rId266" Type="http://schemas.openxmlformats.org/officeDocument/2006/relationships/hyperlink" Target="https://upload.wikimedia.org/wikipedia/commons/d/d0/Apis_mellifera_aliment%C3%A1ndose.jpg" TargetMode="External"/><Relationship Id="rId4006" Type="http://schemas.openxmlformats.org/officeDocument/2006/relationships/hyperlink" Target="https://upload.wikimedia.org/wikipedia/commons/9/9e/Parque_Ecol%C3%B3gico_Matarredonda_4_-_23-May-2025.jpg" TargetMode="External"/><Relationship Id="rId5334" Type="http://schemas.openxmlformats.org/officeDocument/2006/relationships/hyperlink" Target="https://commons.wikimedia.org/wiki/File:Vegetaci%C3%B3n_de_p%C3%A1ramo_2025-12-24.jpg" TargetMode="External"/><Relationship Id="rId265" Type="http://schemas.openxmlformats.org/officeDocument/2006/relationships/hyperlink" Target="https://maps.google.com/?q=4.871020,-74.085761" TargetMode="External"/><Relationship Id="rId4005" Type="http://schemas.openxmlformats.org/officeDocument/2006/relationships/hyperlink" Target="https://maps.google.com/?q=4.548350,-73.996670" TargetMode="External"/><Relationship Id="rId5335" Type="http://schemas.openxmlformats.org/officeDocument/2006/relationships/hyperlink" Target="https://upload.wikimedia.org/wikipedia/commons/c/c1/Venado_en_el_Parque_Nacional_Natural_El_Cocuy.jpg" TargetMode="External"/><Relationship Id="rId5329" Type="http://schemas.openxmlformats.org/officeDocument/2006/relationships/hyperlink" Target="https://commons.wikimedia.org/wiki/File:Vanellus_chilensis_cayennensis_-_Piedecuesta,_Santander,_Colombia_-_7_Jun_2026_-_Diferoch_-_2.jpg" TargetMode="External"/><Relationship Id="rId5327" Type="http://schemas.openxmlformats.org/officeDocument/2006/relationships/hyperlink" Target="https://maps.google.com/?q=6.894993,-73.020965" TargetMode="External"/><Relationship Id="rId5328" Type="http://schemas.openxmlformats.org/officeDocument/2006/relationships/hyperlink" Target="https://upload.wikimedia.org/wikipedia/commons/e/e3/Vanellus_chilensis_cayennensis_-_Piedecuesta%2C_Santander%2C_Colombia_-_7_Jun_2026_-_Diferoch_-_2.jpg" TargetMode="External"/><Relationship Id="rId260" Type="http://schemas.openxmlformats.org/officeDocument/2006/relationships/hyperlink" Target="https://upload.wikimedia.org/wikipedia/commons/b/bd/Aphelandra_sinclairiana-Panama_Queen.jpg" TargetMode="External"/><Relationship Id="rId259" Type="http://schemas.openxmlformats.org/officeDocument/2006/relationships/hyperlink" Target="https://maps.google.com/?q=4.668211,-74.100198" TargetMode="External"/><Relationship Id="rId258" Type="http://schemas.openxmlformats.org/officeDocument/2006/relationships/hyperlink" Target="https://commons.wikimedia.org/wiki/File:Anuncio_de_lluvia.jpg" TargetMode="External"/><Relationship Id="rId2290" Type="http://schemas.openxmlformats.org/officeDocument/2006/relationships/hyperlink" Target="https://upload.wikimedia.org/wikipedia/commons/9/99/Foto_panor%C3%A1mica_de_Monserrate.jpg" TargetMode="External"/><Relationship Id="rId2291" Type="http://schemas.openxmlformats.org/officeDocument/2006/relationships/hyperlink" Target="https://commons.wikimedia.org/wiki/File:Foto_panor%C3%A1mica_de_Monserrate.jpg" TargetMode="External"/><Relationship Id="rId2292" Type="http://schemas.openxmlformats.org/officeDocument/2006/relationships/hyperlink" Target="https://upload.wikimedia.org/wikipedia/commons/0/0e/Fotococo.jpg" TargetMode="External"/><Relationship Id="rId2293" Type="http://schemas.openxmlformats.org/officeDocument/2006/relationships/hyperlink" Target="https://commons.wikimedia.org/wiki/File:Fotococo.jpg" TargetMode="External"/><Relationship Id="rId253" Type="http://schemas.openxmlformats.org/officeDocument/2006/relationships/hyperlink" Target="https://commons.wikimedia.org/wiki/File:Anturio-Anthurium_andraeanum_27_de_abril_2026.jpg" TargetMode="External"/><Relationship Id="rId2294" Type="http://schemas.openxmlformats.org/officeDocument/2006/relationships/hyperlink" Target="https://upload.wikimedia.org/wikipedia/commons/4/4f/Fototreff_2025.04.20_08-33_26_edited.png" TargetMode="External"/><Relationship Id="rId5321" Type="http://schemas.openxmlformats.org/officeDocument/2006/relationships/hyperlink" Target="https://maps.google.com/?q=5.052892,-75.546508" TargetMode="External"/><Relationship Id="rId252" Type="http://schemas.openxmlformats.org/officeDocument/2006/relationships/hyperlink" Target="https://upload.wikimedia.org/wikipedia/commons/4/44/Anturio-Anthurium_andraeanum_27_de_abril_2026.jpg" TargetMode="External"/><Relationship Id="rId2295" Type="http://schemas.openxmlformats.org/officeDocument/2006/relationships/hyperlink" Target="https://commons.wikimedia.org/wiki/File:Fototreff_2025.04.20_08-33_26_edited.png" TargetMode="External"/><Relationship Id="rId5322" Type="http://schemas.openxmlformats.org/officeDocument/2006/relationships/hyperlink" Target="https://upload.wikimedia.org/wikipedia/commons/1/13/Valles_de_seda_Azul.jpg" TargetMode="External"/><Relationship Id="rId251" Type="http://schemas.openxmlformats.org/officeDocument/2006/relationships/hyperlink" Target="https://commons.wikimedia.org/wiki/File:Anthurium_veitchil.jpg" TargetMode="External"/><Relationship Id="rId2296" Type="http://schemas.openxmlformats.org/officeDocument/2006/relationships/hyperlink" Target="https://upload.wikimedia.org/wikipedia/commons/4/40/Fototreff_2025.04.20_09-14_31_edited.png" TargetMode="External"/><Relationship Id="rId250" Type="http://schemas.openxmlformats.org/officeDocument/2006/relationships/hyperlink" Target="https://upload.wikimedia.org/wikipedia/commons/c/c1/Anthurium_veitchil.jpg" TargetMode="External"/><Relationship Id="rId2297" Type="http://schemas.openxmlformats.org/officeDocument/2006/relationships/hyperlink" Target="https://commons.wikimedia.org/wiki/File:Fototreff_2025.04.20_09-14_31_edited.png" TargetMode="External"/><Relationship Id="rId5320" Type="http://schemas.openxmlformats.org/officeDocument/2006/relationships/hyperlink" Target="https://commons.wikimedia.org/wiki/File:Valle_del_Magdalena.jpg" TargetMode="External"/><Relationship Id="rId257" Type="http://schemas.openxmlformats.org/officeDocument/2006/relationships/hyperlink" Target="https://upload.wikimedia.org/wikipedia/commons/c/ce/Anuncio_de_lluvia.jpg" TargetMode="External"/><Relationship Id="rId2298" Type="http://schemas.openxmlformats.org/officeDocument/2006/relationships/hyperlink" Target="https://maps.google.com/?q=4.594490,-74.070340" TargetMode="External"/><Relationship Id="rId5325" Type="http://schemas.openxmlformats.org/officeDocument/2006/relationships/hyperlink" Target="https://upload.wikimedia.org/wikipedia/commons/e/e6/Vanellus_chilensis_cayennensis_-_Piedecuesta%2C_Santander%2C_Colombia_-_7_Jun_2026_-_Diferoch_-_1.jpg" TargetMode="External"/><Relationship Id="rId256" Type="http://schemas.openxmlformats.org/officeDocument/2006/relationships/hyperlink" Target="https://maps.google.com/?q=8.070528,-74.789983" TargetMode="External"/><Relationship Id="rId2299" Type="http://schemas.openxmlformats.org/officeDocument/2006/relationships/hyperlink" Target="https://upload.wikimedia.org/wikipedia/commons/6/63/Fractales_Verdes.jpg" TargetMode="External"/><Relationship Id="rId5326" Type="http://schemas.openxmlformats.org/officeDocument/2006/relationships/hyperlink" Target="https://commons.wikimedia.org/wiki/File:Vanellus_chilensis_cayennensis_-_Piedecuesta,_Santander,_Colombia_-_7_Jun_2026_-_Diferoch_-_1.jpg" TargetMode="External"/><Relationship Id="rId255" Type="http://schemas.openxmlformats.org/officeDocument/2006/relationships/hyperlink" Target="https://commons.wikimedia.org/wiki/File:ARA%C3%91A_TIGRE(ARGIOPE_ARGENTATA).jpg" TargetMode="External"/><Relationship Id="rId5323" Type="http://schemas.openxmlformats.org/officeDocument/2006/relationships/hyperlink" Target="https://commons.wikimedia.org/wiki/File:Valles_de_seda_Azul.jpg" TargetMode="External"/><Relationship Id="rId254" Type="http://schemas.openxmlformats.org/officeDocument/2006/relationships/hyperlink" Target="https://upload.wikimedia.org/wikipedia/commons/2/2e/ARA%C3%91A_TIGRE%28ARGIOPE_ARGENTATA%29.jpg" TargetMode="External"/><Relationship Id="rId5324" Type="http://schemas.openxmlformats.org/officeDocument/2006/relationships/hyperlink" Target="https://maps.google.com/?q=6.894992,-73.020965" TargetMode="External"/><Relationship Id="rId4029" Type="http://schemas.openxmlformats.org/officeDocument/2006/relationships/hyperlink" Target="https://commons.wikimedia.org/wiki/File:Parque_Nacional_Natural_Los_Nevados_y_Nevado_del_Ruiz_(24454).jpg" TargetMode="External"/><Relationship Id="rId293" Type="http://schemas.openxmlformats.org/officeDocument/2006/relationships/hyperlink" Target="https://upload.wikimedia.org/wikipedia/commons/9/97/Ara%C3%B1a_cangrejo.jpg" TargetMode="External"/><Relationship Id="rId292" Type="http://schemas.openxmlformats.org/officeDocument/2006/relationships/hyperlink" Target="https://commons.wikimedia.org/wiki/File:Ara%C3%B1a_Salticidae_trepando_sobre_una_hoja.jpg" TargetMode="External"/><Relationship Id="rId291" Type="http://schemas.openxmlformats.org/officeDocument/2006/relationships/hyperlink" Target="https://upload.wikimedia.org/wikipedia/commons/a/a4/Ara%C3%B1a_Salticidae_trepando_sobre_una_hoja.jpg" TargetMode="External"/><Relationship Id="rId290" Type="http://schemas.openxmlformats.org/officeDocument/2006/relationships/hyperlink" Target="https://maps.google.com/?q=4.874161,-74.085107" TargetMode="External"/><Relationship Id="rId5350" Type="http://schemas.openxmlformats.org/officeDocument/2006/relationships/hyperlink" Target="https://commons.wikimedia.org/wiki/File:Vereda_El_Verj%C3%B3n_Bajo.jpg" TargetMode="External"/><Relationship Id="rId5351" Type="http://schemas.openxmlformats.org/officeDocument/2006/relationships/hyperlink" Target="https://upload.wikimedia.org/wikipedia/commons/4/43/Vermilion_Flycatcher%2C_macho.jpg" TargetMode="External"/><Relationship Id="rId4020" Type="http://schemas.openxmlformats.org/officeDocument/2006/relationships/hyperlink" Target="https://upload.wikimedia.org/wikipedia/commons/0/03/Parque_Nacional_Natural_Los_Nevados_y_Nevado_del_Ruiz_%2818248%29.jpg" TargetMode="External"/><Relationship Id="rId286" Type="http://schemas.openxmlformats.org/officeDocument/2006/relationships/hyperlink" Target="https://commons.wikimedia.org/wiki/File:Ara%C3%B1a_Paipa.jpg" TargetMode="External"/><Relationship Id="rId4022" Type="http://schemas.openxmlformats.org/officeDocument/2006/relationships/hyperlink" Target="https://upload.wikimedia.org/wikipedia/commons/8/84/Parque_Nacional_Natural_Los_Nevados_y_Nevado_del_Ruiz_%2820595%29.jpg" TargetMode="External"/><Relationship Id="rId5354" Type="http://schemas.openxmlformats.org/officeDocument/2006/relationships/hyperlink" Target="https://commons.wikimedia.org/wiki/File:Viajera_del_oc%C3%A9ano.jpg" TargetMode="External"/><Relationship Id="rId285" Type="http://schemas.openxmlformats.org/officeDocument/2006/relationships/hyperlink" Target="https://upload.wikimedia.org/wikipedia/commons/e/e5/Ara%C3%B1a_Paipa.jpg" TargetMode="External"/><Relationship Id="rId4021" Type="http://schemas.openxmlformats.org/officeDocument/2006/relationships/hyperlink" Target="https://commons.wikimedia.org/wiki/File:Parque_Nacional_Natural_Los_Nevados_y_Nevado_del_Ruiz_(18248).jpg" TargetMode="External"/><Relationship Id="rId5355" Type="http://schemas.openxmlformats.org/officeDocument/2006/relationships/hyperlink" Target="https://upload.wikimedia.org/wikipedia/commons/e/e6/Victoria_amazonica_mayo_de_2026.jpg" TargetMode="External"/><Relationship Id="rId284" Type="http://schemas.openxmlformats.org/officeDocument/2006/relationships/hyperlink" Target="https://maps.google.com/?q=5.780000,-73.117500" TargetMode="External"/><Relationship Id="rId4024" Type="http://schemas.openxmlformats.org/officeDocument/2006/relationships/hyperlink" Target="https://upload.wikimedia.org/wikipedia/commons/9/9e/Parque_Nacional_Natural_Los_Nevados_y_Nevado_del_Ruiz_%2821036%29.jpg" TargetMode="External"/><Relationship Id="rId5352" Type="http://schemas.openxmlformats.org/officeDocument/2006/relationships/hyperlink" Target="https://commons.wikimedia.org/wiki/File:Vermilion_Flycatcher,_macho.jpg" TargetMode="External"/><Relationship Id="rId283" Type="http://schemas.openxmlformats.org/officeDocument/2006/relationships/hyperlink" Target="https://commons.wikimedia.org/wiki/File:Araneae_-_Bogot%C3%A1_D._C.,_Colombia_-_10_Nov_2025_-_Diferoch.jpg" TargetMode="External"/><Relationship Id="rId4023" Type="http://schemas.openxmlformats.org/officeDocument/2006/relationships/hyperlink" Target="https://commons.wikimedia.org/wiki/File:Parque_Nacional_Natural_Los_Nevados_y_Nevado_del_Ruiz_(20595).jpg" TargetMode="External"/><Relationship Id="rId5353" Type="http://schemas.openxmlformats.org/officeDocument/2006/relationships/hyperlink" Target="https://upload.wikimedia.org/wikipedia/commons/6/6c/Viajera_del_oc%C3%A9ano.jpg" TargetMode="External"/><Relationship Id="rId4026" Type="http://schemas.openxmlformats.org/officeDocument/2006/relationships/hyperlink" Target="https://upload.wikimedia.org/wikipedia/commons/0/08/Parque_Nacional_Natural_Los_Nevados_y_Nevado_del_Ruiz_%2823415%29.jpg" TargetMode="External"/><Relationship Id="rId5358" Type="http://schemas.openxmlformats.org/officeDocument/2006/relationships/hyperlink" Target="https://upload.wikimedia.org/wikipedia/commons/4/41/Victoria_amaz%C3%B3nica_florecida_en_el_Tropicario_del_Jard%C3%ADn_Bot%C3%A1nico_de_Bogota.jpg" TargetMode="External"/><Relationship Id="rId289" Type="http://schemas.openxmlformats.org/officeDocument/2006/relationships/hyperlink" Target="https://commons.wikimedia.org/wiki/File:Ara%C3%B1a_Salticidae_en_posici%C3%B3n_previa_al_salto.jpg" TargetMode="External"/><Relationship Id="rId4025" Type="http://schemas.openxmlformats.org/officeDocument/2006/relationships/hyperlink" Target="https://commons.wikimedia.org/wiki/File:Parque_Nacional_Natural_Los_Nevados_y_Nevado_del_Ruiz_(21036).jpg" TargetMode="External"/><Relationship Id="rId5359" Type="http://schemas.openxmlformats.org/officeDocument/2006/relationships/hyperlink" Target="https://commons.wikimedia.org/wiki/File:Victoria_amaz%C3%B3nica_florecida_en_el_Tropicario_del_Jard%C3%ADn_Bot%C3%A1nico_de_Bogota.jpg" TargetMode="External"/><Relationship Id="rId288" Type="http://schemas.openxmlformats.org/officeDocument/2006/relationships/hyperlink" Target="https://upload.wikimedia.org/wikipedia/commons/c/c3/Ara%C3%B1a_Salticidae_en_posici%C3%B3n_previa_al_salto.jpg" TargetMode="External"/><Relationship Id="rId4028" Type="http://schemas.openxmlformats.org/officeDocument/2006/relationships/hyperlink" Target="https://upload.wikimedia.org/wikipedia/commons/b/b4/Parque_Nacional_Natural_Los_Nevados_y_Nevado_del_Ruiz_%2824454%29.jpg" TargetMode="External"/><Relationship Id="rId5356" Type="http://schemas.openxmlformats.org/officeDocument/2006/relationships/hyperlink" Target="https://commons.wikimedia.org/wiki/File:Victoria_amazonica_mayo_de_2026.jpg" TargetMode="External"/><Relationship Id="rId287" Type="http://schemas.openxmlformats.org/officeDocument/2006/relationships/hyperlink" Target="https://maps.google.com/?q=4.874161,-74.085107" TargetMode="External"/><Relationship Id="rId4027" Type="http://schemas.openxmlformats.org/officeDocument/2006/relationships/hyperlink" Target="https://commons.wikimedia.org/wiki/File:Parque_Nacional_Natural_Los_Nevados_y_Nevado_del_Ruiz_(23415).jpg" TargetMode="External"/><Relationship Id="rId5357" Type="http://schemas.openxmlformats.org/officeDocument/2006/relationships/hyperlink" Target="https://maps.google.com/?q=4.668211,-74.100198" TargetMode="External"/><Relationship Id="rId4019" Type="http://schemas.openxmlformats.org/officeDocument/2006/relationships/hyperlink" Target="https://commons.wikimedia.org/wiki/File:Parque_Nacional_Natural_Los_Nevados_y_Nevado_del_Ruiz_(17437).jpg" TargetMode="External"/><Relationship Id="rId4018" Type="http://schemas.openxmlformats.org/officeDocument/2006/relationships/hyperlink" Target="https://upload.wikimedia.org/wikipedia/commons/1/12/Parque_Nacional_Natural_Los_Nevados_y_Nevado_del_Ruiz_%2817437%29.jpg" TargetMode="External"/><Relationship Id="rId5349" Type="http://schemas.openxmlformats.org/officeDocument/2006/relationships/hyperlink" Target="https://upload.wikimedia.org/wikipedia/commons/e/ed/Vereda_El_Verj%C3%B3n_Bajo.jpg" TargetMode="External"/><Relationship Id="rId282" Type="http://schemas.openxmlformats.org/officeDocument/2006/relationships/hyperlink" Target="https://upload.wikimedia.org/wikipedia/commons/1/18/Araneae_-_Bogot%C3%A1_D._C.%2C_Colombia_-_10_Nov_2025_-_Diferoch.jpg" TargetMode="External"/><Relationship Id="rId281" Type="http://schemas.openxmlformats.org/officeDocument/2006/relationships/hyperlink" Target="https://maps.google.com/?q=4.600772,-74.066122" TargetMode="External"/><Relationship Id="rId280" Type="http://schemas.openxmlformats.org/officeDocument/2006/relationships/hyperlink" Target="https://commons.wikimedia.org/wiki/File:Aragoa_abietina_(con_un_saltamontes).jpg" TargetMode="External"/><Relationship Id="rId5340" Type="http://schemas.openxmlformats.org/officeDocument/2006/relationships/hyperlink" Target="https://upload.wikimedia.org/wikipedia/commons/1/1a/Ventana_a_Santander.jpg" TargetMode="External"/><Relationship Id="rId275" Type="http://schemas.openxmlformats.org/officeDocument/2006/relationships/hyperlink" Target="https://maps.google.com/?q=4.668038,-74.099624" TargetMode="External"/><Relationship Id="rId4011" Type="http://schemas.openxmlformats.org/officeDocument/2006/relationships/hyperlink" Target="https://commons.wikimedia.org/wiki/File:Parque_Nacional_Natural_Los_Nevados_y_Nevado_del_Ruiz_(11067).jpg" TargetMode="External"/><Relationship Id="rId5343" Type="http://schemas.openxmlformats.org/officeDocument/2006/relationships/hyperlink" Target="https://commons.wikimedia.org/wiki/File:Verde_absoluto.jpg" TargetMode="External"/><Relationship Id="rId274" Type="http://schemas.openxmlformats.org/officeDocument/2006/relationships/hyperlink" Target="https://commons.wikimedia.org/wiki/File:Aquarius_Palifolius.jpg" TargetMode="External"/><Relationship Id="rId4010" Type="http://schemas.openxmlformats.org/officeDocument/2006/relationships/hyperlink" Target="https://upload.wikimedia.org/wikipedia/commons/1/1b/Parque_Nacional_Natural_Los_Nevados_y_Nevado_del_Ruiz_%2811067%29.jpg" TargetMode="External"/><Relationship Id="rId5344" Type="http://schemas.openxmlformats.org/officeDocument/2006/relationships/hyperlink" Target="https://upload.wikimedia.org/wikipedia/commons/5/50/Verde_como_la_vida.jpg" TargetMode="External"/><Relationship Id="rId273" Type="http://schemas.openxmlformats.org/officeDocument/2006/relationships/hyperlink" Target="https://upload.wikimedia.org/wikipedia/commons/5/56/Aquarius_Palifolius.jpg" TargetMode="External"/><Relationship Id="rId4013" Type="http://schemas.openxmlformats.org/officeDocument/2006/relationships/hyperlink" Target="https://commons.wikimedia.org/wiki/File:Parque_Nacional_Natural_Los_Nevados_y_Nevado_del_Ruiz_(15882).jpg" TargetMode="External"/><Relationship Id="rId5341" Type="http://schemas.openxmlformats.org/officeDocument/2006/relationships/hyperlink" Target="https://commons.wikimedia.org/wiki/File:Ventana_a_Santander.jpg" TargetMode="External"/><Relationship Id="rId272" Type="http://schemas.openxmlformats.org/officeDocument/2006/relationships/hyperlink" Target="https://commons.wikimedia.org/wiki/File:Apis_mellifera_sobre_flor.jpg" TargetMode="External"/><Relationship Id="rId4012" Type="http://schemas.openxmlformats.org/officeDocument/2006/relationships/hyperlink" Target="https://upload.wikimedia.org/wikipedia/commons/c/ce/Parque_Nacional_Natural_Los_Nevados_y_Nevado_del_Ruiz_%2815882%29.jpg" TargetMode="External"/><Relationship Id="rId5342" Type="http://schemas.openxmlformats.org/officeDocument/2006/relationships/hyperlink" Target="https://upload.wikimedia.org/wikipedia/commons/2/22/Verde_absoluto.jpg" TargetMode="External"/><Relationship Id="rId279" Type="http://schemas.openxmlformats.org/officeDocument/2006/relationships/hyperlink" Target="https://upload.wikimedia.org/wikipedia/commons/2/28/Aragoa_abietina_%28con_un_saltamontes%29.jpg" TargetMode="External"/><Relationship Id="rId4015" Type="http://schemas.openxmlformats.org/officeDocument/2006/relationships/hyperlink" Target="https://commons.wikimedia.org/wiki/File:Parque_Nacional_Natural_Los_Nevados_y_Nevado_del_Ruiz_(16003).jpg" TargetMode="External"/><Relationship Id="rId5347" Type="http://schemas.openxmlformats.org/officeDocument/2006/relationships/hyperlink" Target="https://upload.wikimedia.org/wikipedia/commons/8/8c/Verde_en_un_fondo_verde.jpg" TargetMode="External"/><Relationship Id="rId278" Type="http://schemas.openxmlformats.org/officeDocument/2006/relationships/hyperlink" Target="https://maps.google.com/?q=4.527990,-73.752840" TargetMode="External"/><Relationship Id="rId4014" Type="http://schemas.openxmlformats.org/officeDocument/2006/relationships/hyperlink" Target="https://upload.wikimedia.org/wikipedia/commons/7/7b/Parque_Nacional_Natural_Los_Nevados_y_Nevado_del_Ruiz_%2816003%29.jpg" TargetMode="External"/><Relationship Id="rId5348" Type="http://schemas.openxmlformats.org/officeDocument/2006/relationships/hyperlink" Target="https://commons.wikimedia.org/wiki/File:Verde_en_un_fondo_verde.jpg" TargetMode="External"/><Relationship Id="rId277" Type="http://schemas.openxmlformats.org/officeDocument/2006/relationships/hyperlink" Target="https://commons.wikimedia.org/wiki/File:Aquarius_Palifolius_detalle.jpg" TargetMode="External"/><Relationship Id="rId4017" Type="http://schemas.openxmlformats.org/officeDocument/2006/relationships/hyperlink" Target="https://commons.wikimedia.org/wiki/File:Parque_Nacional_Natural_Los_Nevados_y_Nevado_del_Ruiz_(16986).jpg" TargetMode="External"/><Relationship Id="rId5345" Type="http://schemas.openxmlformats.org/officeDocument/2006/relationships/hyperlink" Target="https://commons.wikimedia.org/wiki/File:Verde_como_la_vida.jpg" TargetMode="External"/><Relationship Id="rId276" Type="http://schemas.openxmlformats.org/officeDocument/2006/relationships/hyperlink" Target="https://upload.wikimedia.org/wikipedia/commons/9/97/Aquarius_Palifolius_detalle.jpg" TargetMode="External"/><Relationship Id="rId4016" Type="http://schemas.openxmlformats.org/officeDocument/2006/relationships/hyperlink" Target="https://upload.wikimedia.org/wikipedia/commons/6/62/Parque_Nacional_Natural_Los_Nevados_y_Nevado_del_Ruiz_%2816986%29.jpg" TargetMode="External"/><Relationship Id="rId5346" Type="http://schemas.openxmlformats.org/officeDocument/2006/relationships/hyperlink" Target="https://maps.google.com/?q=10.425000,-75.540278" TargetMode="External"/><Relationship Id="rId1851" Type="http://schemas.openxmlformats.org/officeDocument/2006/relationships/hyperlink" Target="https://commons.wikimedia.org/wiki/File:El_R%C3%ADo_Magdalena_y_la_infraestructura_de_transporte_en_su_valle.jpg" TargetMode="External"/><Relationship Id="rId1852" Type="http://schemas.openxmlformats.org/officeDocument/2006/relationships/hyperlink" Target="https://maps.google.com/?q=4.580103,-74.295648" TargetMode="External"/><Relationship Id="rId1853" Type="http://schemas.openxmlformats.org/officeDocument/2006/relationships/hyperlink" Target="https://upload.wikimedia.org/wikipedia/commons/6/6b/El_Salto_del_Tequendama_en_su_entorno_natural_andino.jpg" TargetMode="External"/><Relationship Id="rId1854" Type="http://schemas.openxmlformats.org/officeDocument/2006/relationships/hyperlink" Target="https://commons.wikimedia.org/wiki/File:El_Salto_del_Tequendama_en_su_entorno_natural_andino.jpg" TargetMode="External"/><Relationship Id="rId1855" Type="http://schemas.openxmlformats.org/officeDocument/2006/relationships/hyperlink" Target="https://upload.wikimedia.org/wikipedia/commons/6/60/El_Santuario_de_las_Garzas.jpg" TargetMode="External"/><Relationship Id="rId1856" Type="http://schemas.openxmlformats.org/officeDocument/2006/relationships/hyperlink" Target="https://commons.wikimedia.org/wiki/File:El_Santuario_de_las_Garzas.jpg" TargetMode="External"/><Relationship Id="rId1857" Type="http://schemas.openxmlformats.org/officeDocument/2006/relationships/hyperlink" Target="https://upload.wikimedia.org/wikipedia/commons/e/ee/El_Valle_del_Cocora.jpg" TargetMode="External"/><Relationship Id="rId1858" Type="http://schemas.openxmlformats.org/officeDocument/2006/relationships/hyperlink" Target="https://commons.wikimedia.org/wiki/File:El_Valle_del_Cocora.jpg" TargetMode="External"/><Relationship Id="rId1859" Type="http://schemas.openxmlformats.org/officeDocument/2006/relationships/hyperlink" Target="https://maps.google.com/?q=4.172187,-74.146794" TargetMode="External"/><Relationship Id="rId1850" Type="http://schemas.openxmlformats.org/officeDocument/2006/relationships/hyperlink" Target="https://upload.wikimedia.org/wikipedia/commons/8/88/El_R%C3%ADo_Magdalena_y_la_infraestructura_de_transporte_en_su_valle.jpg" TargetMode="External"/><Relationship Id="rId1840" Type="http://schemas.openxmlformats.org/officeDocument/2006/relationships/hyperlink" Target="https://upload.wikimedia.org/wikipedia/commons/c/c3/El_Destino.jpg" TargetMode="External"/><Relationship Id="rId1841" Type="http://schemas.openxmlformats.org/officeDocument/2006/relationships/hyperlink" Target="https://commons.wikimedia.org/wiki/File:El_Destino.jpg" TargetMode="External"/><Relationship Id="rId1842" Type="http://schemas.openxmlformats.org/officeDocument/2006/relationships/hyperlink" Target="https://upload.wikimedia.org/wikipedia/commons/8/88/El_Paisaje_del_Agua.jpg" TargetMode="External"/><Relationship Id="rId1843" Type="http://schemas.openxmlformats.org/officeDocument/2006/relationships/hyperlink" Target="https://commons.wikimedia.org/wiki/File:El_Paisaje_del_Agua.jpg" TargetMode="External"/><Relationship Id="rId1844" Type="http://schemas.openxmlformats.org/officeDocument/2006/relationships/hyperlink" Target="https://upload.wikimedia.org/wikipedia/commons/0/01/El_Pico.jpg" TargetMode="External"/><Relationship Id="rId1845" Type="http://schemas.openxmlformats.org/officeDocument/2006/relationships/hyperlink" Target="https://commons.wikimedia.org/wiki/File:El_Pico.jpg" TargetMode="External"/><Relationship Id="rId1846" Type="http://schemas.openxmlformats.org/officeDocument/2006/relationships/hyperlink" Target="https://upload.wikimedia.org/wikipedia/commons/1/1a/El_Ruiz._Un_nevado_poderoso.jpg" TargetMode="External"/><Relationship Id="rId1847" Type="http://schemas.openxmlformats.org/officeDocument/2006/relationships/hyperlink" Target="https://commons.wikimedia.org/wiki/File:El_Ruiz._Un_nevado_poderoso.jpg" TargetMode="External"/><Relationship Id="rId1848" Type="http://schemas.openxmlformats.org/officeDocument/2006/relationships/hyperlink" Target="https://upload.wikimedia.org/wikipedia/commons/d/dd/El_Ruiz_20260530_100953.jpg" TargetMode="External"/><Relationship Id="rId1849" Type="http://schemas.openxmlformats.org/officeDocument/2006/relationships/hyperlink" Target="https://commons.wikimedia.org/wiki/File:El_Ruiz_20260530_100953.jpg" TargetMode="External"/><Relationship Id="rId1873" Type="http://schemas.openxmlformats.org/officeDocument/2006/relationships/hyperlink" Target="https://upload.wikimedia.org/wikipedia/commons/c/c7/El_hogar.jpg" TargetMode="External"/><Relationship Id="rId1874" Type="http://schemas.openxmlformats.org/officeDocument/2006/relationships/hyperlink" Target="https://commons.wikimedia.org/wiki/File:El_hogar.jpg" TargetMode="External"/><Relationship Id="rId1875" Type="http://schemas.openxmlformats.org/officeDocument/2006/relationships/hyperlink" Target="https://upload.wikimedia.org/wikipedia/commons/c/c6/El_lago_de_san_jose.jpg" TargetMode="External"/><Relationship Id="rId4901" Type="http://schemas.openxmlformats.org/officeDocument/2006/relationships/hyperlink" Target="https://upload.wikimedia.org/wikipedia/commons/9/92/Star_trails_sobre_el_firmamento_de_la_Tatacoa.jpg" TargetMode="External"/><Relationship Id="rId1876" Type="http://schemas.openxmlformats.org/officeDocument/2006/relationships/hyperlink" Target="https://commons.wikimedia.org/wiki/File:El_lago_de_san_jose.jpg" TargetMode="External"/><Relationship Id="rId4900" Type="http://schemas.openxmlformats.org/officeDocument/2006/relationships/hyperlink" Target="https://commons.wikimedia.org/wiki/File:Stachytarfeta_cayennensis3.jpg" TargetMode="External"/><Relationship Id="rId1877" Type="http://schemas.openxmlformats.org/officeDocument/2006/relationships/hyperlink" Target="https://upload.wikimedia.org/wikipedia/commons/5/54/El_l%C3%ADmite_del_desierto_Transici%C3%B3n_geomorfol%C3%B3gica_en_el_Huila.jpg" TargetMode="External"/><Relationship Id="rId4903" Type="http://schemas.openxmlformats.org/officeDocument/2006/relationships/hyperlink" Target="https://maps.google.com/?q=4.527990,-73.752840" TargetMode="External"/><Relationship Id="rId1878" Type="http://schemas.openxmlformats.org/officeDocument/2006/relationships/hyperlink" Target="https://commons.wikimedia.org/wiki/File:El_l%C3%ADmite_del_desierto_Transici%C3%B3n_geomorfol%C3%B3gica_en_el_Huila.jpg" TargetMode="External"/><Relationship Id="rId4902" Type="http://schemas.openxmlformats.org/officeDocument/2006/relationships/hyperlink" Target="https://commons.wikimedia.org/wiki/File:Star_trails_sobre_el_firmamento_de_la_Tatacoa.jpg" TargetMode="External"/><Relationship Id="rId1879" Type="http://schemas.openxmlformats.org/officeDocument/2006/relationships/hyperlink" Target="https://upload.wikimedia.org/wikipedia/commons/7/7d/El_majestuoso_vuelo_de_los_Andes.jpg" TargetMode="External"/><Relationship Id="rId4905" Type="http://schemas.openxmlformats.org/officeDocument/2006/relationships/hyperlink" Target="https://commons.wikimedia.org/wiki/File:Stelis_pulchella-Orchidaceae.jpg" TargetMode="External"/><Relationship Id="rId4904" Type="http://schemas.openxmlformats.org/officeDocument/2006/relationships/hyperlink" Target="https://upload.wikimedia.org/wikipedia/commons/5/5f/Stelis_pulchella-Orchidaceae.jpg" TargetMode="External"/><Relationship Id="rId4907" Type="http://schemas.openxmlformats.org/officeDocument/2006/relationships/hyperlink" Target="https://commons.wikimedia.org/wiki/File:Stenocercus_erythrogaster_without_its_tail.jpg" TargetMode="External"/><Relationship Id="rId4906" Type="http://schemas.openxmlformats.org/officeDocument/2006/relationships/hyperlink" Target="https://upload.wikimedia.org/wikipedia/commons/5/5e/Stenocercus_erythrogaster_without_its_tail.jpg" TargetMode="External"/><Relationship Id="rId4909" Type="http://schemas.openxmlformats.org/officeDocument/2006/relationships/hyperlink" Target="https://upload.wikimedia.org/wikipedia/commons/f/f8/Stratified_rock_layers_Chingaza.jpg" TargetMode="External"/><Relationship Id="rId4908" Type="http://schemas.openxmlformats.org/officeDocument/2006/relationships/hyperlink" Target="https://maps.google.com/?q=4.527990,-73.752840" TargetMode="External"/><Relationship Id="rId1870" Type="http://schemas.openxmlformats.org/officeDocument/2006/relationships/hyperlink" Target="https://commons.wikimedia.org/wiki/File:El_guardi%C3%A1n_del_pueblo.jpg" TargetMode="External"/><Relationship Id="rId1871" Type="http://schemas.openxmlformats.org/officeDocument/2006/relationships/hyperlink" Target="https://upload.wikimedia.org/wikipedia/commons/e/ef/El_guardi%C3%A1n_esmeralda.jpg" TargetMode="External"/><Relationship Id="rId1872" Type="http://schemas.openxmlformats.org/officeDocument/2006/relationships/hyperlink" Target="https://commons.wikimedia.org/wiki/File:El_guardi%C3%A1n_esmeralda.jpg" TargetMode="External"/><Relationship Id="rId1862" Type="http://schemas.openxmlformats.org/officeDocument/2006/relationships/hyperlink" Target="https://upload.wikimedia.org/wikipedia/commons/d/df/El_coraz%C3%B3n_del_Tropicario.jpg" TargetMode="External"/><Relationship Id="rId1863" Type="http://schemas.openxmlformats.org/officeDocument/2006/relationships/hyperlink" Target="https://commons.wikimedia.org/wiki/File:El_coraz%C3%B3n_del_Tropicario.jpg" TargetMode="External"/><Relationship Id="rId1864" Type="http://schemas.openxmlformats.org/officeDocument/2006/relationships/hyperlink" Target="https://maps.google.com/?q=8.073572,-74.785042" TargetMode="External"/><Relationship Id="rId1865" Type="http://schemas.openxmlformats.org/officeDocument/2006/relationships/hyperlink" Target="https://upload.wikimedia.org/wikipedia/commons/8/82/El_ganado.jpg" TargetMode="External"/><Relationship Id="rId1866" Type="http://schemas.openxmlformats.org/officeDocument/2006/relationships/hyperlink" Target="https://commons.wikimedia.org/wiki/File:El_ganado.jpg" TargetMode="External"/><Relationship Id="rId1867" Type="http://schemas.openxmlformats.org/officeDocument/2006/relationships/hyperlink" Target="https://upload.wikimedia.org/wikipedia/commons/0/0f/El_gran_c%C3%B3ndor.jpg" TargetMode="External"/><Relationship Id="rId1868" Type="http://schemas.openxmlformats.org/officeDocument/2006/relationships/hyperlink" Target="https://commons.wikimedia.org/wiki/File:El_gran_c%C3%B3ndor.jpg" TargetMode="External"/><Relationship Id="rId1869" Type="http://schemas.openxmlformats.org/officeDocument/2006/relationships/hyperlink" Target="https://upload.wikimedia.org/wikipedia/commons/6/6e/El_guardi%C3%A1n_del_pueblo.jpg" TargetMode="External"/><Relationship Id="rId1860" Type="http://schemas.openxmlformats.org/officeDocument/2006/relationships/hyperlink" Target="https://upload.wikimedia.org/wikipedia/commons/7/77/El_arete.jpg" TargetMode="External"/><Relationship Id="rId1861" Type="http://schemas.openxmlformats.org/officeDocument/2006/relationships/hyperlink" Target="https://commons.wikimedia.org/wiki/File:El_arete.jpg" TargetMode="External"/><Relationship Id="rId1810" Type="http://schemas.openxmlformats.org/officeDocument/2006/relationships/hyperlink" Target="https://commons.wikimedia.org/wiki/File:Drama_de_primates.jpg" TargetMode="External"/><Relationship Id="rId1811" Type="http://schemas.openxmlformats.org/officeDocument/2006/relationships/hyperlink" Target="https://maps.google.com/?q=8.074178,-74.784397" TargetMode="External"/><Relationship Id="rId1812" Type="http://schemas.openxmlformats.org/officeDocument/2006/relationships/hyperlink" Target="https://upload.wikimedia.org/wikipedia/commons/3/35/D%C3%ADa_soleado_01.jpg" TargetMode="External"/><Relationship Id="rId1813" Type="http://schemas.openxmlformats.org/officeDocument/2006/relationships/hyperlink" Target="https://commons.wikimedia.org/wiki/File:D%C3%ADa_soleado_01.jpg" TargetMode="External"/><Relationship Id="rId1814" Type="http://schemas.openxmlformats.org/officeDocument/2006/relationships/hyperlink" Target="https://maps.google.com/?q=8.076128,-74.782939" TargetMode="External"/><Relationship Id="rId1815" Type="http://schemas.openxmlformats.org/officeDocument/2006/relationships/hyperlink" Target="https://upload.wikimedia.org/wikipedia/commons/9/97/D%C3%ADa_soleado_02.jpg" TargetMode="External"/><Relationship Id="rId1816" Type="http://schemas.openxmlformats.org/officeDocument/2006/relationships/hyperlink" Target="https://commons.wikimedia.org/wiki/File:D%C3%ADa_soleado_02.jpg" TargetMode="External"/><Relationship Id="rId1817" Type="http://schemas.openxmlformats.org/officeDocument/2006/relationships/hyperlink" Target="https://maps.google.com/?q=5.045198,-75.373337" TargetMode="External"/><Relationship Id="rId1818" Type="http://schemas.openxmlformats.org/officeDocument/2006/relationships/hyperlink" Target="https://upload.wikimedia.org/wikipedia/commons/d/d8/Ecoparque_Los_Alc%C3%A1zares_en_Manizales.jpg" TargetMode="External"/><Relationship Id="rId1819" Type="http://schemas.openxmlformats.org/officeDocument/2006/relationships/hyperlink" Target="https://commons.wikimedia.org/wiki/File:Ecoparque_Los_Alc%C3%A1zares_en_Manizales.jpg" TargetMode="External"/><Relationship Id="rId4080" Type="http://schemas.openxmlformats.org/officeDocument/2006/relationships/hyperlink" Target="https://upload.wikimedia.org/wikipedia/commons/d/d4/Parque_Nacional_Natural_Los_Nevados_y_Nevado_del_Ruiz_%2873967%29.jpg" TargetMode="External"/><Relationship Id="rId4082" Type="http://schemas.openxmlformats.org/officeDocument/2006/relationships/hyperlink" Target="https://upload.wikimedia.org/wikipedia/commons/f/f4/Parque_Nacional_Natural_Los_Nevados_y_Nevado_del_Ruiz_%2883350%29.jpg" TargetMode="External"/><Relationship Id="rId4081" Type="http://schemas.openxmlformats.org/officeDocument/2006/relationships/hyperlink" Target="https://commons.wikimedia.org/wiki/File:Parque_Nacional_Natural_Los_Nevados_y_Nevado_del_Ruiz_(73967).jpg" TargetMode="External"/><Relationship Id="rId4084" Type="http://schemas.openxmlformats.org/officeDocument/2006/relationships/hyperlink" Target="https://upload.wikimedia.org/wikipedia/commons/9/91/Parque_Nacional_Natural_Los_Nevados_y_Nevado_del_Ruiz_%2884519%29.jpg" TargetMode="External"/><Relationship Id="rId4083" Type="http://schemas.openxmlformats.org/officeDocument/2006/relationships/hyperlink" Target="https://commons.wikimedia.org/wiki/File:Parque_Nacional_Natural_Los_Nevados_y_Nevado_del_Ruiz_(83350).jpg" TargetMode="External"/><Relationship Id="rId4086" Type="http://schemas.openxmlformats.org/officeDocument/2006/relationships/hyperlink" Target="https://upload.wikimedia.org/wikipedia/commons/b/b3/Parque_Nacional_Natural_Los_Nevados_y_Nevado_del_Ruiz_%2887804%29.jpg" TargetMode="External"/><Relationship Id="rId4085" Type="http://schemas.openxmlformats.org/officeDocument/2006/relationships/hyperlink" Target="https://commons.wikimedia.org/wiki/File:Parque_Nacional_Natural_Los_Nevados_y_Nevado_del_Ruiz_(84519).jpg" TargetMode="External"/><Relationship Id="rId4088" Type="http://schemas.openxmlformats.org/officeDocument/2006/relationships/hyperlink" Target="https://upload.wikimedia.org/wikipedia/commons/f/f0/Parque_Nacional_Natural_Los_Nevados_y_Nevado_del_Ruiz_%2893874%29.jpg" TargetMode="External"/><Relationship Id="rId4087" Type="http://schemas.openxmlformats.org/officeDocument/2006/relationships/hyperlink" Target="https://commons.wikimedia.org/wiki/File:Parque_Nacional_Natural_Los_Nevados_y_Nevado_del_Ruiz_(87804).jpg" TargetMode="External"/><Relationship Id="rId4089" Type="http://schemas.openxmlformats.org/officeDocument/2006/relationships/hyperlink" Target="https://commons.wikimedia.org/wiki/File:Parque_Nacional_Natural_Los_Nevados_y_Nevado_del_Ruiz_(93874).jpg" TargetMode="External"/><Relationship Id="rId1800" Type="http://schemas.openxmlformats.org/officeDocument/2006/relationships/hyperlink" Target="https://upload.wikimedia.org/wikipedia/commons/5/50/Dorada%2C_Caldas_%28charca_guarinocito%29_Febrero_23_del_2025.jpg" TargetMode="External"/><Relationship Id="rId1801" Type="http://schemas.openxmlformats.org/officeDocument/2006/relationships/hyperlink" Target="https://commons.wikimedia.org/wiki/File:Dorada,_Caldas_(charca_guarinocito)_Febrero_23_del_2025.jpg" TargetMode="External"/><Relationship Id="rId1802" Type="http://schemas.openxmlformats.org/officeDocument/2006/relationships/hyperlink" Target="https://upload.wikimedia.org/wikipedia/commons/3/31/Dosel_forestal_en_los_Farallones_de_Sutatausa.jpg" TargetMode="External"/><Relationship Id="rId1803" Type="http://schemas.openxmlformats.org/officeDocument/2006/relationships/hyperlink" Target="https://commons.wikimedia.org/wiki/File:Dosel_forestal_en_los_Farallones_de_Sutatausa.jpg" TargetMode="External"/><Relationship Id="rId1804" Type="http://schemas.openxmlformats.org/officeDocument/2006/relationships/hyperlink" Target="https://upload.wikimedia.org/wikipedia/commons/8/8c/Drago_%28Croton_mutisiarius%29.jpg" TargetMode="External"/><Relationship Id="rId1805" Type="http://schemas.openxmlformats.org/officeDocument/2006/relationships/hyperlink" Target="https://commons.wikimedia.org/wiki/File:Drago_(Croton_mutisiarius).jpg" TargetMode="External"/><Relationship Id="rId1806" Type="http://schemas.openxmlformats.org/officeDocument/2006/relationships/hyperlink" Target="https://upload.wikimedia.org/wikipedia/commons/b/b4/Dragonfly_%28Rhionaeschna_sp.%29_resting_on_a_wooden_fence_post_near_Villa_de_Leyva%2C_2026.jpg" TargetMode="External"/><Relationship Id="rId1807" Type="http://schemas.openxmlformats.org/officeDocument/2006/relationships/hyperlink" Target="https://commons.wikimedia.org/wiki/File:Dragonfly_(Rhionaeschna_sp.)_resting_on_a_wooden_fence_post_near_Villa_de_Leyva,_2026.jpg" TargetMode="External"/><Relationship Id="rId1808" Type="http://schemas.openxmlformats.org/officeDocument/2006/relationships/hyperlink" Target="https://maps.google.com/?q=2.938272,-78.202501" TargetMode="External"/><Relationship Id="rId1809" Type="http://schemas.openxmlformats.org/officeDocument/2006/relationships/hyperlink" Target="https://upload.wikimedia.org/wikipedia/commons/e/ec/Drama_de_primates.jpg" TargetMode="External"/><Relationship Id="rId4071" Type="http://schemas.openxmlformats.org/officeDocument/2006/relationships/hyperlink" Target="https://commons.wikimedia.org/wiki/File:Parque_Nacional_Natural_Los_Nevados_y_Nevado_del_Ruiz_(67453).jpg" TargetMode="External"/><Relationship Id="rId4070" Type="http://schemas.openxmlformats.org/officeDocument/2006/relationships/hyperlink" Target="https://upload.wikimedia.org/wikipedia/commons/2/24/Parque_Nacional_Natural_Los_Nevados_y_Nevado_del_Ruiz_%2867453%29.jpg" TargetMode="External"/><Relationship Id="rId4073" Type="http://schemas.openxmlformats.org/officeDocument/2006/relationships/hyperlink" Target="https://commons.wikimedia.org/wiki/File:Parque_Nacional_Natural_Los_Nevados_y_Nevado_del_Ruiz_(69710).jpg" TargetMode="External"/><Relationship Id="rId4072" Type="http://schemas.openxmlformats.org/officeDocument/2006/relationships/hyperlink" Target="https://upload.wikimedia.org/wikipedia/commons/c/c9/Parque_Nacional_Natural_Los_Nevados_y_Nevado_del_Ruiz_%2869710%29.jpg" TargetMode="External"/><Relationship Id="rId4075" Type="http://schemas.openxmlformats.org/officeDocument/2006/relationships/hyperlink" Target="https://commons.wikimedia.org/wiki/File:Parque_Nacional_Natural_Los_Nevados_y_Nevado_del_Ruiz.jpg" TargetMode="External"/><Relationship Id="rId4074" Type="http://schemas.openxmlformats.org/officeDocument/2006/relationships/hyperlink" Target="https://upload.wikimedia.org/wikipedia/commons/7/7b/Parque_Nacional_Natural_Los_Nevados_y_Nevado_del_Ruiz.jpg" TargetMode="External"/><Relationship Id="rId4077" Type="http://schemas.openxmlformats.org/officeDocument/2006/relationships/hyperlink" Target="https://commons.wikimedia.org/wiki/File:Parque_Nacional_Natural_Los_Nevados_y_Nevado_del_Ruiz_(71823).jpg" TargetMode="External"/><Relationship Id="rId4076" Type="http://schemas.openxmlformats.org/officeDocument/2006/relationships/hyperlink" Target="https://upload.wikimedia.org/wikipedia/commons/5/5f/Parque_Nacional_Natural_Los_Nevados_y_Nevado_del_Ruiz_%2871823%29.jpg" TargetMode="External"/><Relationship Id="rId4079" Type="http://schemas.openxmlformats.org/officeDocument/2006/relationships/hyperlink" Target="https://commons.wikimedia.org/wiki/File:Parque_Nacional_Natural_Los_Nevados_y_Nevado_del_Ruiz_(72002).jpg" TargetMode="External"/><Relationship Id="rId4078" Type="http://schemas.openxmlformats.org/officeDocument/2006/relationships/hyperlink" Target="https://upload.wikimedia.org/wikipedia/commons/7/71/Parque_Nacional_Natural_Los_Nevados_y_Nevado_del_Ruiz_%2872002%29.jpg" TargetMode="External"/><Relationship Id="rId1830" Type="http://schemas.openxmlformats.org/officeDocument/2006/relationships/hyperlink" Target="https://upload.wikimedia.org/wikipedia/commons/5/59/Ejaatimuuu_%E2%80%93_Buen_vivir.jpg" TargetMode="External"/><Relationship Id="rId1831" Type="http://schemas.openxmlformats.org/officeDocument/2006/relationships/hyperlink" Target="https://commons.wikimedia.org/wiki/File:Ejaatimuuu_%E2%80%93_Buen_vivir.jpg" TargetMode="External"/><Relationship Id="rId1832" Type="http://schemas.openxmlformats.org/officeDocument/2006/relationships/hyperlink" Target="https://maps.google.com/?q=3.237380,-75.118142" TargetMode="External"/><Relationship Id="rId1833" Type="http://schemas.openxmlformats.org/officeDocument/2006/relationships/hyperlink" Target="https://upload.wikimedia.org/wikipedia/commons/2/2c/Ejemplares_de_Melocactus_en_el_desierto_de_la_Tatacoa.jpg" TargetMode="External"/><Relationship Id="rId1834" Type="http://schemas.openxmlformats.org/officeDocument/2006/relationships/hyperlink" Target="https://commons.wikimedia.org/wiki/File:Ejemplares_de_Melocactus_en_el_desierto_de_la_Tatacoa.jpg" TargetMode="External"/><Relationship Id="rId1835" Type="http://schemas.openxmlformats.org/officeDocument/2006/relationships/hyperlink" Target="https://upload.wikimedia.org/wikipedia/commons/c/c7/El_Cuerpo_del_Agua.jpg" TargetMode="External"/><Relationship Id="rId1836" Type="http://schemas.openxmlformats.org/officeDocument/2006/relationships/hyperlink" Target="https://commons.wikimedia.org/wiki/File:El_Cuerpo_del_Agua.jpg" TargetMode="External"/><Relationship Id="rId1837" Type="http://schemas.openxmlformats.org/officeDocument/2006/relationships/hyperlink" Target="https://maps.google.com/?q=4.594490,-74.070340" TargetMode="External"/><Relationship Id="rId1838" Type="http://schemas.openxmlformats.org/officeDocument/2006/relationships/hyperlink" Target="https://upload.wikimedia.org/wikipedia/commons/d/d0/El_Despertar_del_Roc%C3%ADo.jpg" TargetMode="External"/><Relationship Id="rId1839" Type="http://schemas.openxmlformats.org/officeDocument/2006/relationships/hyperlink" Target="https://commons.wikimedia.org/wiki/File:El_Despertar_del_Roc%C3%ADo.jpg" TargetMode="External"/><Relationship Id="rId1820" Type="http://schemas.openxmlformats.org/officeDocument/2006/relationships/hyperlink" Target="https://maps.google.com/?q=5.004421,-75.323638" TargetMode="External"/><Relationship Id="rId1821" Type="http://schemas.openxmlformats.org/officeDocument/2006/relationships/hyperlink" Target="https://upload.wikimedia.org/wikipedia/commons/9/93/Ecoparque_Los_Alc%C3%A1zares_en_Manizales_%2861406%29.jpg" TargetMode="External"/><Relationship Id="rId1822" Type="http://schemas.openxmlformats.org/officeDocument/2006/relationships/hyperlink" Target="https://commons.wikimedia.org/wiki/File:Ecoparque_Los_Alc%C3%A1zares_en_Manizales_(61406).jpg" TargetMode="External"/><Relationship Id="rId1823" Type="http://schemas.openxmlformats.org/officeDocument/2006/relationships/hyperlink" Target="https://maps.google.com/?q=4.982794,-75.388973" TargetMode="External"/><Relationship Id="rId1824" Type="http://schemas.openxmlformats.org/officeDocument/2006/relationships/hyperlink" Target="https://upload.wikimedia.org/wikipedia/commons/3/3c/Ecoparque_Los_Alc%C3%A1zares_en_Manizales_%2889183%29.jpg" TargetMode="External"/><Relationship Id="rId1825" Type="http://schemas.openxmlformats.org/officeDocument/2006/relationships/hyperlink" Target="https://commons.wikimedia.org/wiki/File:Ecoparque_Los_Alc%C3%A1zares_en_Manizales_(89183).jpg" TargetMode="External"/><Relationship Id="rId1826" Type="http://schemas.openxmlformats.org/officeDocument/2006/relationships/hyperlink" Target="https://maps.google.com/?q=7.095982,-73.756340" TargetMode="External"/><Relationship Id="rId1827" Type="http://schemas.openxmlformats.org/officeDocument/2006/relationships/hyperlink" Target="https://upload.wikimedia.org/wikipedia/commons/d/d8/Eggs_of_Turdus_leucomelas_albiventer_-_Barrancabermeja%2C_Santander%2C_Colombia_-_12_Jul_2025_-_Diferoch.jpg" TargetMode="External"/><Relationship Id="rId1828" Type="http://schemas.openxmlformats.org/officeDocument/2006/relationships/hyperlink" Target="https://commons.wikimedia.org/wiki/File:Eggs_of_Turdus_leucomelas_albiventer_-_Barrancabermeja,_Santander,_Colombia_-_12_Jul_2025_-_Diferoch.jpg" TargetMode="External"/><Relationship Id="rId1829" Type="http://schemas.openxmlformats.org/officeDocument/2006/relationships/hyperlink" Target="https://maps.google.com/?q=0.792278,-70.954627" TargetMode="External"/><Relationship Id="rId4091" Type="http://schemas.openxmlformats.org/officeDocument/2006/relationships/hyperlink" Target="https://upload.wikimedia.org/wikipedia/commons/8/83/Parque_Tayrona_y_monta%C3%B1a_de_la_Sierra_Nevada_de_Santa_Marta.jpg" TargetMode="External"/><Relationship Id="rId4090" Type="http://schemas.openxmlformats.org/officeDocument/2006/relationships/hyperlink" Target="https://maps.google.com/?q=11.283333,-74.183333" TargetMode="External"/><Relationship Id="rId4093" Type="http://schemas.openxmlformats.org/officeDocument/2006/relationships/hyperlink" Target="https://maps.google.com/?q=5.197833,-74.394333" TargetMode="External"/><Relationship Id="rId4092" Type="http://schemas.openxmlformats.org/officeDocument/2006/relationships/hyperlink" Target="https://commons.wikimedia.org/wiki/File:Parque_Tayrona_y_monta%C3%B1a_de_la_Sierra_Nevada_de_Santa_Marta.jpg" TargetMode="External"/><Relationship Id="rId4095" Type="http://schemas.openxmlformats.org/officeDocument/2006/relationships/hyperlink" Target="https://commons.wikimedia.org/wiki/File:Parte_de_la_cordillera_oriental,_Colombia.jpg" TargetMode="External"/><Relationship Id="rId4094" Type="http://schemas.openxmlformats.org/officeDocument/2006/relationships/hyperlink" Target="https://upload.wikimedia.org/wikipedia/commons/8/8b/Parte_de_la_cordillera_oriental%2C_Colombia.jpg" TargetMode="External"/><Relationship Id="rId4097" Type="http://schemas.openxmlformats.org/officeDocument/2006/relationships/hyperlink" Target="https://upload.wikimedia.org/wikipedia/commons/0/00/Par%C3%A1sita_de_ra%C3%ADz.jpg" TargetMode="External"/><Relationship Id="rId4096" Type="http://schemas.openxmlformats.org/officeDocument/2006/relationships/hyperlink" Target="https://maps.google.com/?q=4.850792,-74.325517" TargetMode="External"/><Relationship Id="rId4099" Type="http://schemas.openxmlformats.org/officeDocument/2006/relationships/hyperlink" Target="https://upload.wikimedia.org/wikipedia/commons/7/72/Paseo_en_el_Sin%C3%BA.jpg" TargetMode="External"/><Relationship Id="rId4098" Type="http://schemas.openxmlformats.org/officeDocument/2006/relationships/hyperlink" Target="https://commons.wikimedia.org/wiki/File:Par%C3%A1sita_de_ra%C3%ADz.jpg" TargetMode="External"/><Relationship Id="rId2302" Type="http://schemas.openxmlformats.org/officeDocument/2006/relationships/hyperlink" Target="https://commons.wikimedia.org/wiki/File:Frailejon_(Espeletia_sp).jpg" TargetMode="External"/><Relationship Id="rId3634" Type="http://schemas.openxmlformats.org/officeDocument/2006/relationships/hyperlink" Target="https://commons.wikimedia.org/wiki/File:Oc%C3%A9ano_Atl%C3%A1ntico.jpg" TargetMode="External"/><Relationship Id="rId4965" Type="http://schemas.openxmlformats.org/officeDocument/2006/relationships/hyperlink" Target="https://upload.wikimedia.org/wikipedia/commons/c/c5/Syrigma_sibilatrix_fostersmithi_-_Piedecuesta%2C_Santander%2C_Colombia_-_7_Jun_2026_-_Diferoch.jpg" TargetMode="External"/><Relationship Id="rId2303" Type="http://schemas.openxmlformats.org/officeDocument/2006/relationships/hyperlink" Target="https://upload.wikimedia.org/wikipedia/commons/d/d6/Frailejon_en_p%C3%A1ramo_nublado_-_Subida_volc%C3%A1n_Azufral.jpg" TargetMode="External"/><Relationship Id="rId3633" Type="http://schemas.openxmlformats.org/officeDocument/2006/relationships/hyperlink" Target="https://upload.wikimedia.org/wikipedia/commons/3/3d/Oc%C3%A9ano_Atl%C3%A1ntico.jpg" TargetMode="External"/><Relationship Id="rId4964" Type="http://schemas.openxmlformats.org/officeDocument/2006/relationships/hyperlink" Target="https://maps.google.com/?q=6.895995,-73.021317" TargetMode="External"/><Relationship Id="rId2304" Type="http://schemas.openxmlformats.org/officeDocument/2006/relationships/hyperlink" Target="https://commons.wikimedia.org/wiki/File:Frailejon_en_p%C3%A1ramo_nublado_-_Subida_volc%C3%A1n_Azufral.jpg" TargetMode="External"/><Relationship Id="rId3636" Type="http://schemas.openxmlformats.org/officeDocument/2006/relationships/hyperlink" Target="https://commons.wikimedia.org/wiki/File:Oc%C3%A9ano_de_niebla_avanzando_sobre_las_cumbres_de_Sumapaz.jpg" TargetMode="External"/><Relationship Id="rId4967" Type="http://schemas.openxmlformats.org/officeDocument/2006/relationships/hyperlink" Target="https://maps.google.com/?q=4.599792,-74.063103" TargetMode="External"/><Relationship Id="rId2305" Type="http://schemas.openxmlformats.org/officeDocument/2006/relationships/hyperlink" Target="https://maps.google.com/?q=6.398675,-72.316881" TargetMode="External"/><Relationship Id="rId3635" Type="http://schemas.openxmlformats.org/officeDocument/2006/relationships/hyperlink" Target="https://upload.wikimedia.org/wikipedia/commons/2/25/Oc%C3%A9ano_de_niebla_avanzando_sobre_las_cumbres_de_Sumapaz.jpg" TargetMode="External"/><Relationship Id="rId4966" Type="http://schemas.openxmlformats.org/officeDocument/2006/relationships/hyperlink" Target="https://commons.wikimedia.org/wiki/File:Syrigma_sibilatrix_fostersmithi_-_Piedecuesta,_Santander,_Colombia_-_7_Jun_2026_-_Diferoch.jpg" TargetMode="External"/><Relationship Id="rId2306" Type="http://schemas.openxmlformats.org/officeDocument/2006/relationships/hyperlink" Target="https://upload.wikimedia.org/wikipedia/commons/9/97/Frailejon_g%C3%BCican.jpg" TargetMode="External"/><Relationship Id="rId3638" Type="http://schemas.openxmlformats.org/officeDocument/2006/relationships/hyperlink" Target="https://upload.wikimedia.org/wikipedia/commons/6/6f/Odocoileus_goudotii%29_female.jpg" TargetMode="External"/><Relationship Id="rId4969" Type="http://schemas.openxmlformats.org/officeDocument/2006/relationships/hyperlink" Target="https://commons.wikimedia.org/wiki/File:Syrphini_-_Bogot%C3%A1_D._C.,_Colombia_-_23_Aug_2025_-_Diferoch.jpg" TargetMode="External"/><Relationship Id="rId2307" Type="http://schemas.openxmlformats.org/officeDocument/2006/relationships/hyperlink" Target="https://commons.wikimedia.org/wiki/File:Frailejon_g%C3%BCican.jpg" TargetMode="External"/><Relationship Id="rId3637" Type="http://schemas.openxmlformats.org/officeDocument/2006/relationships/hyperlink" Target="https://maps.google.com/?q=4.527990,-73.752840" TargetMode="External"/><Relationship Id="rId4968" Type="http://schemas.openxmlformats.org/officeDocument/2006/relationships/hyperlink" Target="https://upload.wikimedia.org/wikipedia/commons/4/45/Syrphini_-_Bogot%C3%A1_D._C.%2C_Colombia_-_23_Aug_2025_-_Diferoch.jpg" TargetMode="External"/><Relationship Id="rId2308" Type="http://schemas.openxmlformats.org/officeDocument/2006/relationships/hyperlink" Target="https://maps.google.com/?q=6.413197,-72.337286" TargetMode="External"/><Relationship Id="rId2309" Type="http://schemas.openxmlformats.org/officeDocument/2006/relationships/hyperlink" Target="https://upload.wikimedia.org/wikipedia/commons/2/27/Frailejones_cocuy.jpg" TargetMode="External"/><Relationship Id="rId3639" Type="http://schemas.openxmlformats.org/officeDocument/2006/relationships/hyperlink" Target="https://commons.wikimedia.org/wiki/File:Odocoileus_goudotii)_female.jpg" TargetMode="External"/><Relationship Id="rId3630" Type="http://schemas.openxmlformats.org/officeDocument/2006/relationships/hyperlink" Target="https://maps.google.com/?q=5.624793,-77.418190" TargetMode="External"/><Relationship Id="rId4961" Type="http://schemas.openxmlformats.org/officeDocument/2006/relationships/hyperlink" Target="https://maps.google.com/?q=5.002078,-74.209297" TargetMode="External"/><Relationship Id="rId4960" Type="http://schemas.openxmlformats.org/officeDocument/2006/relationships/hyperlink" Target="https://commons.wikimedia.org/wiki/File:Sword-billed_hummingbird_(Ensifera_ensifera)_Caldas_2.jpg" TargetMode="External"/><Relationship Id="rId2300" Type="http://schemas.openxmlformats.org/officeDocument/2006/relationships/hyperlink" Target="https://commons.wikimedia.org/wiki/File:Fractales_Verdes.jpg" TargetMode="External"/><Relationship Id="rId3632" Type="http://schemas.openxmlformats.org/officeDocument/2006/relationships/hyperlink" Target="https://commons.wikimedia.org/wiki/File:Ocypode_gaudichaudii_-_Nuqu%C3%AD,_Choc%C3%B3,_Colombia_-_22_Oct_2025_-_Diferoch.jpg" TargetMode="External"/><Relationship Id="rId4963" Type="http://schemas.openxmlformats.org/officeDocument/2006/relationships/hyperlink" Target="https://commons.wikimedia.org/wiki/File:Symplocos.jpg" TargetMode="External"/><Relationship Id="rId2301" Type="http://schemas.openxmlformats.org/officeDocument/2006/relationships/hyperlink" Target="https://upload.wikimedia.org/wikipedia/commons/1/1e/Frailejon_%28Espeletia_sp%29.jpg" TargetMode="External"/><Relationship Id="rId3631" Type="http://schemas.openxmlformats.org/officeDocument/2006/relationships/hyperlink" Target="https://upload.wikimedia.org/wikipedia/commons/e/e2/Ocypode_gaudichaudii_-_Nuqu%C3%AD%2C_Choc%C3%B3%2C_Colombia_-_22_Oct_2025_-_Diferoch.jpg" TargetMode="External"/><Relationship Id="rId4962" Type="http://schemas.openxmlformats.org/officeDocument/2006/relationships/hyperlink" Target="https://upload.wikimedia.org/wikipedia/commons/f/f3/Symplocos.jpg" TargetMode="External"/><Relationship Id="rId3623" Type="http://schemas.openxmlformats.org/officeDocument/2006/relationships/hyperlink" Target="https://commons.wikimedia.org/wiki/File:Nymphaeaceae_family-waterlily_or_lotus_-_and_damselfly.jpg" TargetMode="External"/><Relationship Id="rId4954" Type="http://schemas.openxmlformats.org/officeDocument/2006/relationships/hyperlink" Target="https://commons.wikimedia.org/wiki/File:Sutatausa_Landscape_2.jpg" TargetMode="External"/><Relationship Id="rId3622" Type="http://schemas.openxmlformats.org/officeDocument/2006/relationships/hyperlink" Target="https://upload.wikimedia.org/wikipedia/commons/2/2f/Nymphaeaceae_family-waterlily_or_lotus_-_and_damselfly.jpg" TargetMode="External"/><Relationship Id="rId4953" Type="http://schemas.openxmlformats.org/officeDocument/2006/relationships/hyperlink" Target="https://upload.wikimedia.org/wikipedia/commons/e/ed/Sutatausa_Landscape_2.jpg" TargetMode="External"/><Relationship Id="rId3625" Type="http://schemas.openxmlformats.org/officeDocument/2006/relationships/hyperlink" Target="https://commons.wikimedia.org/wiki/File:ORQUIA_COLOMBIANA_ZAPATITO_DE_OBISPO.jpg" TargetMode="External"/><Relationship Id="rId4956" Type="http://schemas.openxmlformats.org/officeDocument/2006/relationships/hyperlink" Target="https://upload.wikimedia.org/wikipedia/commons/1/1b/Sutatausa_Landscape_3.jpg" TargetMode="External"/><Relationship Id="rId3624" Type="http://schemas.openxmlformats.org/officeDocument/2006/relationships/hyperlink" Target="https://upload.wikimedia.org/wikipedia/commons/6/62/ORQUIA_COLOMBIANA_ZAPATITO_DE_OBISPO.jpg" TargetMode="External"/><Relationship Id="rId4955" Type="http://schemas.openxmlformats.org/officeDocument/2006/relationships/hyperlink" Target="https://maps.google.com/?q=5.250194,-73.807922" TargetMode="External"/><Relationship Id="rId3627" Type="http://schemas.openxmlformats.org/officeDocument/2006/relationships/hyperlink" Target="https://commons.wikimedia.org/wiki/File:Ocean_in_Palomino.jpg" TargetMode="External"/><Relationship Id="rId4958" Type="http://schemas.openxmlformats.org/officeDocument/2006/relationships/hyperlink" Target="https://maps.google.com/?q=5.020000,-75.360000" TargetMode="External"/><Relationship Id="rId3626" Type="http://schemas.openxmlformats.org/officeDocument/2006/relationships/hyperlink" Target="https://upload.wikimedia.org/wikipedia/commons/4/49/Ocean_in_Palomino.jpg" TargetMode="External"/><Relationship Id="rId4957" Type="http://schemas.openxmlformats.org/officeDocument/2006/relationships/hyperlink" Target="https://commons.wikimedia.org/wiki/File:Sutatausa_Landscape_3.jpg" TargetMode="External"/><Relationship Id="rId3629" Type="http://schemas.openxmlformats.org/officeDocument/2006/relationships/hyperlink" Target="https://commons.wikimedia.org/wiki/File:Ocky_hiking_trail_with_Opuntia_cacti_and_stratified_cliffs_near_Villa_de_Leyva,_2026.jpg" TargetMode="External"/><Relationship Id="rId3628" Type="http://schemas.openxmlformats.org/officeDocument/2006/relationships/hyperlink" Target="https://upload.wikimedia.org/wikipedia/commons/f/fe/Ocky_hiking_trail_with_Opuntia_cacti_and_stratified_cliffs_near_Villa_de_Leyva%2C_2026.jpg" TargetMode="External"/><Relationship Id="rId4959" Type="http://schemas.openxmlformats.org/officeDocument/2006/relationships/hyperlink" Target="https://upload.wikimedia.org/wikipedia/commons/7/74/Sword-billed_hummingbird_%28Ensifera_ensifera%29_Caldas_2.jpg" TargetMode="External"/><Relationship Id="rId4950" Type="http://schemas.openxmlformats.org/officeDocument/2006/relationships/hyperlink" Target="https://upload.wikimedia.org/wikipedia/commons/5/5c/Sutatausa_Landscape_1.jpg" TargetMode="External"/><Relationship Id="rId3621" Type="http://schemas.openxmlformats.org/officeDocument/2006/relationships/hyperlink" Target="https://maps.google.com/?q=5.375900,-7.331320" TargetMode="External"/><Relationship Id="rId4952" Type="http://schemas.openxmlformats.org/officeDocument/2006/relationships/hyperlink" Target="https://maps.google.com/?q=5.250147,-73.807922" TargetMode="External"/><Relationship Id="rId3620" Type="http://schemas.openxmlformats.org/officeDocument/2006/relationships/hyperlink" Target="https://commons.wikimedia.org/wiki/File:Nymphaea-nen%C3%BAfar_rosa.jpg" TargetMode="External"/><Relationship Id="rId4951" Type="http://schemas.openxmlformats.org/officeDocument/2006/relationships/hyperlink" Target="https://commons.wikimedia.org/wiki/File:Sutatausa_Landscape_1.jpg" TargetMode="External"/><Relationship Id="rId2324" Type="http://schemas.openxmlformats.org/officeDocument/2006/relationships/hyperlink" Target="https://commons.wikimedia.org/wiki/File:Frailej%C3%B3n_20260528_145157.jpg" TargetMode="External"/><Relationship Id="rId3656" Type="http://schemas.openxmlformats.org/officeDocument/2006/relationships/hyperlink" Target="https://upload.wikimedia.org/wikipedia/commons/8/86/Ognorhynchus_icterotis%2C_loro_orejiamarillo_saliendo_de_su_nido.jpg" TargetMode="External"/><Relationship Id="rId4987" Type="http://schemas.openxmlformats.org/officeDocument/2006/relationships/hyperlink" Target="https://upload.wikimedia.org/wikipedia/commons/2/2a/Tangara_Coronigualda_-_Tangara_xanthocephala.jpg" TargetMode="External"/><Relationship Id="rId2325" Type="http://schemas.openxmlformats.org/officeDocument/2006/relationships/hyperlink" Target="https://upload.wikimedia.org/wikipedia/commons/c/c9/Frailej%C3%B3n_P%C3%A1ramo_de_Belmira_Sandra_Ram%C3%ADrez_Giraldo.jpg" TargetMode="External"/><Relationship Id="rId3655" Type="http://schemas.openxmlformats.org/officeDocument/2006/relationships/hyperlink" Target="https://maps.google.com/?q=4.316257,-75.538006" TargetMode="External"/><Relationship Id="rId4986" Type="http://schemas.openxmlformats.org/officeDocument/2006/relationships/hyperlink" Target="https://maps.google.com/?q=3.561100,-76.556900" TargetMode="External"/><Relationship Id="rId2326" Type="http://schemas.openxmlformats.org/officeDocument/2006/relationships/hyperlink" Target="https://commons.wikimedia.org/wiki/File:Frailej%C3%B3n_P%C3%A1ramo_de_Belmira_Sandra_Ram%C3%ADrez_Giraldo.jpg" TargetMode="External"/><Relationship Id="rId3658" Type="http://schemas.openxmlformats.org/officeDocument/2006/relationships/hyperlink" Target="https://maps.google.com/?q=5.715806,-75.306769" TargetMode="External"/><Relationship Id="rId4989" Type="http://schemas.openxmlformats.org/officeDocument/2006/relationships/hyperlink" Target="https://maps.google.com/?q=3.561100,-76.556900" TargetMode="External"/><Relationship Id="rId2327" Type="http://schemas.openxmlformats.org/officeDocument/2006/relationships/hyperlink" Target="https://upload.wikimedia.org/wikipedia/commons/5/56/Frailej%C3%B3n_del_g%C3%A9nero_Espeletia_en_p%C3%A1ramo_de_Aquitania%2C_Boyac%C3%A1.jpg" TargetMode="External"/><Relationship Id="rId3657" Type="http://schemas.openxmlformats.org/officeDocument/2006/relationships/hyperlink" Target="https://commons.wikimedia.org/wiki/File:Ognorhynchus_icterotis,_loro_orejiamarillo_saliendo_de_su_nido.jpg" TargetMode="External"/><Relationship Id="rId4988" Type="http://schemas.openxmlformats.org/officeDocument/2006/relationships/hyperlink" Target="https://commons.wikimedia.org/wiki/File:Tangara_Coronigualda_-_Tangara_xanthocephala.jpg" TargetMode="External"/><Relationship Id="rId2328" Type="http://schemas.openxmlformats.org/officeDocument/2006/relationships/hyperlink" Target="https://commons.wikimedia.org/wiki/File:Frailej%C3%B3n_del_g%C3%A9nero_Espeletia_en_p%C3%A1ramo_de_Aquitania,_Boyac%C3%A1.jpg" TargetMode="External"/><Relationship Id="rId2329" Type="http://schemas.openxmlformats.org/officeDocument/2006/relationships/hyperlink" Target="https://upload.wikimedia.org/wikipedia/commons/7/7e/Frailej%C3%B3n_en_Sumapaz.jpg" TargetMode="External"/><Relationship Id="rId3659" Type="http://schemas.openxmlformats.org/officeDocument/2006/relationships/hyperlink" Target="https://upload.wikimedia.org/wikipedia/commons/f/f8/Ojo_de_Poeta.jpg" TargetMode="External"/><Relationship Id="rId3650" Type="http://schemas.openxmlformats.org/officeDocument/2006/relationships/hyperlink" Target="https://upload.wikimedia.org/wikipedia/commons/9/91/Ognorhynchus_icterotis%2C_loro_orejiamarillo_en_su_nido.jpg" TargetMode="External"/><Relationship Id="rId4981" Type="http://schemas.openxmlformats.org/officeDocument/2006/relationships/hyperlink" Target="https://upload.wikimedia.org/wikipedia/commons/5/5d/Tangara_2026-05-28.jpg" TargetMode="External"/><Relationship Id="rId4980" Type="http://schemas.openxmlformats.org/officeDocument/2006/relationships/hyperlink" Target="https://commons.wikimedia.org/wiki/File:Tanga_carafuego_(Tangara_parzudakii)_en_Paque_Verde_Y_Agua,_Fusagasug%C3%A1,_(Cundinamarca).jpg" TargetMode="External"/><Relationship Id="rId2320" Type="http://schemas.openxmlformats.org/officeDocument/2006/relationships/hyperlink" Target="https://maps.google.com/?q=4.934704,-75.347230" TargetMode="External"/><Relationship Id="rId3652" Type="http://schemas.openxmlformats.org/officeDocument/2006/relationships/hyperlink" Target="https://maps.google.com/?q=4.316257,-75.538006" TargetMode="External"/><Relationship Id="rId4983" Type="http://schemas.openxmlformats.org/officeDocument/2006/relationships/hyperlink" Target="https://maps.google.com/?q=3.561100,-76.556900" TargetMode="External"/><Relationship Id="rId2321" Type="http://schemas.openxmlformats.org/officeDocument/2006/relationships/hyperlink" Target="https://upload.wikimedia.org/wikipedia/commons/e/e6/Frailej%C3%B3n_2025-12-24.jpg" TargetMode="External"/><Relationship Id="rId3651" Type="http://schemas.openxmlformats.org/officeDocument/2006/relationships/hyperlink" Target="https://commons.wikimedia.org/wiki/File:Ognorhynchus_icterotis,_loro_orejiamarillo_en_su_nido.jpg" TargetMode="External"/><Relationship Id="rId4982" Type="http://schemas.openxmlformats.org/officeDocument/2006/relationships/hyperlink" Target="https://commons.wikimedia.org/wiki/File:Tangara_2026-05-28.jpg" TargetMode="External"/><Relationship Id="rId2322" Type="http://schemas.openxmlformats.org/officeDocument/2006/relationships/hyperlink" Target="https://commons.wikimedia.org/wiki/File:Frailej%C3%B3n_2025-12-24.jpg" TargetMode="External"/><Relationship Id="rId3654" Type="http://schemas.openxmlformats.org/officeDocument/2006/relationships/hyperlink" Target="https://commons.wikimedia.org/wiki/File:Ognorhynchus_icterotis,_loro_orejiamarillo_en_su_sitio_de_nidificaci%C3%B3n_habitual.jpg" TargetMode="External"/><Relationship Id="rId4985" Type="http://schemas.openxmlformats.org/officeDocument/2006/relationships/hyperlink" Target="https://commons.wikimedia.org/wiki/File:Tangara_Aliazul_-_Anisognathus_somptuosus.jpg" TargetMode="External"/><Relationship Id="rId2323" Type="http://schemas.openxmlformats.org/officeDocument/2006/relationships/hyperlink" Target="https://upload.wikimedia.org/wikipedia/commons/8/82/Frailej%C3%B3n_20260528_145157.jpg" TargetMode="External"/><Relationship Id="rId3653" Type="http://schemas.openxmlformats.org/officeDocument/2006/relationships/hyperlink" Target="https://upload.wikimedia.org/wikipedia/commons/b/b3/Ognorhynchus_icterotis%2C_loro_orejiamarillo_en_su_sitio_de_nidificaci%C3%B3n_habitual.jpg" TargetMode="External"/><Relationship Id="rId4984" Type="http://schemas.openxmlformats.org/officeDocument/2006/relationships/hyperlink" Target="https://upload.wikimedia.org/wikipedia/commons/9/93/Tangara_Aliazul_-_Anisognathus_somptuosus.jpg" TargetMode="External"/><Relationship Id="rId2313" Type="http://schemas.openxmlformats.org/officeDocument/2006/relationships/hyperlink" Target="https://upload.wikimedia.org/wikipedia/commons/7/73/Frailejones_en_p%C3%A1ramo_nublado_-_Subida_volc%C3%A1n_Azufral.jpg" TargetMode="External"/><Relationship Id="rId3645" Type="http://schemas.openxmlformats.org/officeDocument/2006/relationships/hyperlink" Target="https://upload.wikimedia.org/wikipedia/commons/1/19/Oedipomidas_leucopus_02.jpg" TargetMode="External"/><Relationship Id="rId4976" Type="http://schemas.openxmlformats.org/officeDocument/2006/relationships/hyperlink" Target="https://upload.wikimedia.org/wikipedia/commons/d/d3/Tall_inflorescence_of_an_Agave_plant_near_Villa_de_Leyva%2C_2026.jpg" TargetMode="External"/><Relationship Id="rId2314" Type="http://schemas.openxmlformats.org/officeDocument/2006/relationships/hyperlink" Target="https://commons.wikimedia.org/wiki/File:Frailejones_en_p%C3%A1ramo_nublado_-_Subida_volc%C3%A1n_Azufral.jpg" TargetMode="External"/><Relationship Id="rId3644" Type="http://schemas.openxmlformats.org/officeDocument/2006/relationships/hyperlink" Target="https://commons.wikimedia.org/wiki/File:Oedipomidas_leucopus_01.jpg" TargetMode="External"/><Relationship Id="rId4975" Type="http://schemas.openxmlformats.org/officeDocument/2006/relationships/hyperlink" Target="https://commons.wikimedia.org/wiki/File:Tachybaptus_dominicus_brachyrhynchus_-_Piedecuesta,_Santander,_Colombia_-_7_Jun_2026_-_Diferoch.jpg" TargetMode="External"/><Relationship Id="rId2315" Type="http://schemas.openxmlformats.org/officeDocument/2006/relationships/hyperlink" Target="https://maps.google.com/?q=4.527990,-73.752840" TargetMode="External"/><Relationship Id="rId3647" Type="http://schemas.openxmlformats.org/officeDocument/2006/relationships/hyperlink" Target="https://upload.wikimedia.org/wikipedia/commons/2/28/Oedipomidas_leucopus_03.jpg" TargetMode="External"/><Relationship Id="rId4978" Type="http://schemas.openxmlformats.org/officeDocument/2006/relationships/hyperlink" Target="https://maps.google.com/?q=4.360644,-74.335404" TargetMode="External"/><Relationship Id="rId2316" Type="http://schemas.openxmlformats.org/officeDocument/2006/relationships/hyperlink" Target="https://upload.wikimedia.org/wikipedia/commons/d/de/Frailejones_es_un_g%C3%A9nero_de_plantas_de_la_familia_Asteraceae.jpg" TargetMode="External"/><Relationship Id="rId3646" Type="http://schemas.openxmlformats.org/officeDocument/2006/relationships/hyperlink" Target="https://commons.wikimedia.org/wiki/File:Oedipomidas_leucopus_02.jpg" TargetMode="External"/><Relationship Id="rId4977" Type="http://schemas.openxmlformats.org/officeDocument/2006/relationships/hyperlink" Target="https://commons.wikimedia.org/wiki/File:Tall_inflorescence_of_an_Agave_plant_near_Villa_de_Leyva,_2026.jpg" TargetMode="External"/><Relationship Id="rId2317" Type="http://schemas.openxmlformats.org/officeDocument/2006/relationships/hyperlink" Target="https://commons.wikimedia.org/wiki/File:Frailejones_es_un_g%C3%A9nero_de_plantas_de_la_familia_Asteraceae.jpg" TargetMode="External"/><Relationship Id="rId3649" Type="http://schemas.openxmlformats.org/officeDocument/2006/relationships/hyperlink" Target="https://maps.google.com/?q=4.316257,-75.538006" TargetMode="External"/><Relationship Id="rId2318" Type="http://schemas.openxmlformats.org/officeDocument/2006/relationships/hyperlink" Target="https://upload.wikimedia.org/wikipedia/commons/1/1a/Frailejones_sierra_nevada_del_Cocuy_y_G%C3%BCic%C3%A1n.jpg" TargetMode="External"/><Relationship Id="rId3648" Type="http://schemas.openxmlformats.org/officeDocument/2006/relationships/hyperlink" Target="https://commons.wikimedia.org/wiki/File:Oedipomidas_leucopus_03.jpg" TargetMode="External"/><Relationship Id="rId4979" Type="http://schemas.openxmlformats.org/officeDocument/2006/relationships/hyperlink" Target="https://upload.wikimedia.org/wikipedia/commons/a/a8/Tanga_carafuego_%28Tangara_parzudakii%29_en_Paque_Verde_Y_Agua%2C_Fusagasug%C3%A1%2C_%28Cundinamarca%29.jpg" TargetMode="External"/><Relationship Id="rId2319" Type="http://schemas.openxmlformats.org/officeDocument/2006/relationships/hyperlink" Target="https://commons.wikimedia.org/wiki/File:Frailejones_sierra_nevada_del_Cocuy_y_G%C3%BCic%C3%A1n.jpg" TargetMode="External"/><Relationship Id="rId4970" Type="http://schemas.openxmlformats.org/officeDocument/2006/relationships/hyperlink" Target="https://maps.google.com/?q=4.693694,-74.061722" TargetMode="External"/><Relationship Id="rId3641" Type="http://schemas.openxmlformats.org/officeDocument/2006/relationships/hyperlink" Target="https://upload.wikimedia.org/wikipedia/commons/f/fe/Odocoileus_virginianus-venado_de_cola_blanca.jpg" TargetMode="External"/><Relationship Id="rId4972" Type="http://schemas.openxmlformats.org/officeDocument/2006/relationships/hyperlink" Target="https://commons.wikimedia.org/wiki/File:S%C3%BAper_cola_de_burro.jpg" TargetMode="External"/><Relationship Id="rId2310" Type="http://schemas.openxmlformats.org/officeDocument/2006/relationships/hyperlink" Target="https://commons.wikimedia.org/wiki/File:Frailejones_cocuy.jpg" TargetMode="External"/><Relationship Id="rId3640" Type="http://schemas.openxmlformats.org/officeDocument/2006/relationships/hyperlink" Target="https://maps.google.com/?q=4.527990,-73.752840" TargetMode="External"/><Relationship Id="rId4971" Type="http://schemas.openxmlformats.org/officeDocument/2006/relationships/hyperlink" Target="https://upload.wikimedia.org/wikipedia/commons/d/d7/S%C3%BAper_cola_de_burro.jpg" TargetMode="External"/><Relationship Id="rId2311" Type="http://schemas.openxmlformats.org/officeDocument/2006/relationships/hyperlink" Target="https://upload.wikimedia.org/wikipedia/commons/a/a3/Frailejones_en_ecosistema_de_alta_monta%C3%B1a_en_el_Parque_Nacional_Natural_Chingaza.jpg" TargetMode="External"/><Relationship Id="rId3643" Type="http://schemas.openxmlformats.org/officeDocument/2006/relationships/hyperlink" Target="https://upload.wikimedia.org/wikipedia/commons/d/d2/Oedipomidas_leucopus_01.jpg" TargetMode="External"/><Relationship Id="rId4974" Type="http://schemas.openxmlformats.org/officeDocument/2006/relationships/hyperlink" Target="https://upload.wikimedia.org/wikipedia/commons/a/ac/Tachybaptus_dominicus_brachyrhynchus_-_Piedecuesta%2C_Santander%2C_Colombia_-_7_Jun_2026_-_Diferoch.jpg" TargetMode="External"/><Relationship Id="rId2312" Type="http://schemas.openxmlformats.org/officeDocument/2006/relationships/hyperlink" Target="https://commons.wikimedia.org/wiki/File:Frailejones_en_ecosistema_de_alta_monta%C3%B1a_en_el_Parque_Nacional_Natural_Chingaza.jpg" TargetMode="External"/><Relationship Id="rId3642" Type="http://schemas.openxmlformats.org/officeDocument/2006/relationships/hyperlink" Target="https://commons.wikimedia.org/wiki/File:Odocoileus_virginianus-venado_de_cola_blanca.jpg" TargetMode="External"/><Relationship Id="rId4973" Type="http://schemas.openxmlformats.org/officeDocument/2006/relationships/hyperlink" Target="https://maps.google.com/?q=6.891827,-73.024155" TargetMode="External"/><Relationship Id="rId1895" Type="http://schemas.openxmlformats.org/officeDocument/2006/relationships/hyperlink" Target="https://commons.wikimedia.org/wiki/File:El_toro_que_quiere_correr.jpg" TargetMode="External"/><Relationship Id="rId4921" Type="http://schemas.openxmlformats.org/officeDocument/2006/relationships/hyperlink" Target="https://commons.wikimedia.org/wiki/File:Stunning_beaches_in_Santa_Marta.jpg" TargetMode="External"/><Relationship Id="rId1896" Type="http://schemas.openxmlformats.org/officeDocument/2006/relationships/hyperlink" Target="https://maps.google.com/?q=8.073578,-74.785064" TargetMode="External"/><Relationship Id="rId4920" Type="http://schemas.openxmlformats.org/officeDocument/2006/relationships/hyperlink" Target="https://upload.wikimedia.org/wikipedia/commons/3/3e/Stunning_beaches_in_Santa_Marta.jpg" TargetMode="External"/><Relationship Id="rId1897" Type="http://schemas.openxmlformats.org/officeDocument/2006/relationships/hyperlink" Target="https://upload.wikimedia.org/wikipedia/commons/1/14/El_toro_vigilante.jpg" TargetMode="External"/><Relationship Id="rId4923" Type="http://schemas.openxmlformats.org/officeDocument/2006/relationships/hyperlink" Target="https://upload.wikimedia.org/wikipedia/commons/e/e5/Sturnella_magna_-_Piedecuesta%2C_Santander%2C_Colombia_-_7_Jun_2026_-_Diferoch.jpg" TargetMode="External"/><Relationship Id="rId1898" Type="http://schemas.openxmlformats.org/officeDocument/2006/relationships/hyperlink" Target="https://commons.wikimedia.org/wiki/File:El_toro_vigilante.jpg" TargetMode="External"/><Relationship Id="rId4922" Type="http://schemas.openxmlformats.org/officeDocument/2006/relationships/hyperlink" Target="https://maps.google.com/?q=6.894113,-73.021858" TargetMode="External"/><Relationship Id="rId1899" Type="http://schemas.openxmlformats.org/officeDocument/2006/relationships/hyperlink" Target="https://upload.wikimedia.org/wikipedia/commons/4/4d/El_trepador_de_los_Andes.jpg" TargetMode="External"/><Relationship Id="rId4925" Type="http://schemas.openxmlformats.org/officeDocument/2006/relationships/hyperlink" Target="https://upload.wikimedia.org/wikipedia/commons/e/ea/Suculenta_Aeonium.jpg" TargetMode="External"/><Relationship Id="rId4924" Type="http://schemas.openxmlformats.org/officeDocument/2006/relationships/hyperlink" Target="https://commons.wikimedia.org/wiki/File:Sturnella_magna_-_Piedecuesta,_Santander,_Colombia_-_7_Jun_2026_-_Diferoch.jpg" TargetMode="External"/><Relationship Id="rId4927" Type="http://schemas.openxmlformats.org/officeDocument/2006/relationships/hyperlink" Target="https://maps.google.com/?q=4.667750,-74.099944" TargetMode="External"/><Relationship Id="rId4926" Type="http://schemas.openxmlformats.org/officeDocument/2006/relationships/hyperlink" Target="https://commons.wikimedia.org/wiki/File:Suculenta_Aeonium.jpg" TargetMode="External"/><Relationship Id="rId4929" Type="http://schemas.openxmlformats.org/officeDocument/2006/relationships/hyperlink" Target="https://commons.wikimedia.org/wiki/File:Suculentas_mayo_2026.jpg" TargetMode="External"/><Relationship Id="rId4928" Type="http://schemas.openxmlformats.org/officeDocument/2006/relationships/hyperlink" Target="https://upload.wikimedia.org/wikipedia/commons/a/ac/Suculentas_mayo_2026.jpg" TargetMode="External"/><Relationship Id="rId1890" Type="http://schemas.openxmlformats.org/officeDocument/2006/relationships/hyperlink" Target="https://maps.google.com/?q=8.073469,-74.785061" TargetMode="External"/><Relationship Id="rId1891" Type="http://schemas.openxmlformats.org/officeDocument/2006/relationships/hyperlink" Target="https://upload.wikimedia.org/wikipedia/commons/d/df/El_toro_fisg%C3%B3n.jpg" TargetMode="External"/><Relationship Id="rId1892" Type="http://schemas.openxmlformats.org/officeDocument/2006/relationships/hyperlink" Target="https://commons.wikimedia.org/wiki/File:El_toro_fisg%C3%B3n.jpg" TargetMode="External"/><Relationship Id="rId1893" Type="http://schemas.openxmlformats.org/officeDocument/2006/relationships/hyperlink" Target="https://maps.google.com/?q=8.071481,-74.787092" TargetMode="External"/><Relationship Id="rId1894" Type="http://schemas.openxmlformats.org/officeDocument/2006/relationships/hyperlink" Target="https://upload.wikimedia.org/wikipedia/commons/6/69/El_toro_que_quiere_correr.jpg" TargetMode="External"/><Relationship Id="rId1884" Type="http://schemas.openxmlformats.org/officeDocument/2006/relationships/hyperlink" Target="https://upload.wikimedia.org/wikipedia/commons/6/68/El_rostro_de_lo_incomprendido%2C_Boa_constrictor.jpg" TargetMode="External"/><Relationship Id="rId4910" Type="http://schemas.openxmlformats.org/officeDocument/2006/relationships/hyperlink" Target="https://commons.wikimedia.org/wiki/File:Stratified_rock_layers_Chingaza.jpg" TargetMode="External"/><Relationship Id="rId1885" Type="http://schemas.openxmlformats.org/officeDocument/2006/relationships/hyperlink" Target="https://commons.wikimedia.org/wiki/File:El_rostro_de_lo_incomprendido,_Boa_constrictor.jpg" TargetMode="External"/><Relationship Id="rId1886" Type="http://schemas.openxmlformats.org/officeDocument/2006/relationships/hyperlink" Target="https://upload.wikimedia.org/wikipedia/commons/e/ee/El_surgimiento_de_la_cantora_de_la_naturaleza.jpg" TargetMode="External"/><Relationship Id="rId4912" Type="http://schemas.openxmlformats.org/officeDocument/2006/relationships/hyperlink" Target="https://upload.wikimedia.org/wikipedia/commons/9/97/Stream_in_Nuqu%C3%AD%2C_Choc%C3%B3%2C_Colombia_-_22_Oct_2025_-_Diferoch_-_1.jpg" TargetMode="External"/><Relationship Id="rId1887" Type="http://schemas.openxmlformats.org/officeDocument/2006/relationships/hyperlink" Target="https://commons.wikimedia.org/wiki/File:El_surgimiento_de_la_cantora_de_la_naturaleza.jpg" TargetMode="External"/><Relationship Id="rId4911" Type="http://schemas.openxmlformats.org/officeDocument/2006/relationships/hyperlink" Target="https://maps.google.com/?q=5.625010,-77.416465" TargetMode="External"/><Relationship Id="rId1888" Type="http://schemas.openxmlformats.org/officeDocument/2006/relationships/hyperlink" Target="https://upload.wikimedia.org/wikipedia/commons/2/23/El_tesoro_escondido_de_un_p%C3%A1ramo.jpg" TargetMode="External"/><Relationship Id="rId4914" Type="http://schemas.openxmlformats.org/officeDocument/2006/relationships/hyperlink" Target="https://maps.google.com/?q=5.625067,-77.416443" TargetMode="External"/><Relationship Id="rId1889" Type="http://schemas.openxmlformats.org/officeDocument/2006/relationships/hyperlink" Target="https://commons.wikimedia.org/wiki/File:El_tesoro_escondido_de_un_p%C3%A1ramo.jpg" TargetMode="External"/><Relationship Id="rId4913" Type="http://schemas.openxmlformats.org/officeDocument/2006/relationships/hyperlink" Target="https://commons.wikimedia.org/wiki/File:Stream_in_Nuqu%C3%AD,_Choc%C3%B3,_Colombia_-_22_Oct_2025_-_Diferoch_-_1.jpg" TargetMode="External"/><Relationship Id="rId4916" Type="http://schemas.openxmlformats.org/officeDocument/2006/relationships/hyperlink" Target="https://commons.wikimedia.org/wiki/File:Stream_in_Nuqu%C3%AD,_Choc%C3%B3,_Colombia_-_22_Oct_2025_-_Diferoch_-_2.jpg" TargetMode="External"/><Relationship Id="rId4915" Type="http://schemas.openxmlformats.org/officeDocument/2006/relationships/hyperlink" Target="https://upload.wikimedia.org/wikipedia/commons/2/29/Stream_in_Nuqu%C3%AD%2C_Choc%C3%B3%2C_Colombia_-_22_Oct_2025_-_Diferoch_-_2.jpg" TargetMode="External"/><Relationship Id="rId4918" Type="http://schemas.openxmlformats.org/officeDocument/2006/relationships/hyperlink" Target="https://upload.wikimedia.org/wikipedia/commons/3/36/Stromanthe_thalia.jpg" TargetMode="External"/><Relationship Id="rId4917" Type="http://schemas.openxmlformats.org/officeDocument/2006/relationships/hyperlink" Target="https://maps.google.com/?q=4.667750,-74.099944" TargetMode="External"/><Relationship Id="rId4919" Type="http://schemas.openxmlformats.org/officeDocument/2006/relationships/hyperlink" Target="https://commons.wikimedia.org/wiki/File:Stromanthe_thalia.jpg" TargetMode="External"/><Relationship Id="rId1880" Type="http://schemas.openxmlformats.org/officeDocument/2006/relationships/hyperlink" Target="https://commons.wikimedia.org/wiki/File:El_majestuoso_vuelo_de_los_Andes.jpg" TargetMode="External"/><Relationship Id="rId1881" Type="http://schemas.openxmlformats.org/officeDocument/2006/relationships/hyperlink" Target="https://upload.wikimedia.org/wikipedia/commons/2/26/El_pescador_y_El_R%C3%ADo_Magdalena.jpg" TargetMode="External"/><Relationship Id="rId1882" Type="http://schemas.openxmlformats.org/officeDocument/2006/relationships/hyperlink" Target="https://commons.wikimedia.org/wiki/File:El_pescador_y_El_R%C3%ADo_Magdalena.jpg" TargetMode="External"/><Relationship Id="rId1883" Type="http://schemas.openxmlformats.org/officeDocument/2006/relationships/hyperlink" Target="https://maps.google.com/?q=4.091467,-73.502273" TargetMode="External"/><Relationship Id="rId3612" Type="http://schemas.openxmlformats.org/officeDocument/2006/relationships/hyperlink" Target="https://maps.google.com/?q=5.609268,-77.438568" TargetMode="External"/><Relationship Id="rId4943" Type="http://schemas.openxmlformats.org/officeDocument/2006/relationships/hyperlink" Target="https://upload.wikimedia.org/wikipedia/commons/3/3f/Super_Luna%2C_Tecate%2C_Baja_California%2C_M%C3%A9xico.jpg" TargetMode="External"/><Relationship Id="rId3611" Type="http://schemas.openxmlformats.org/officeDocument/2006/relationships/hyperlink" Target="https://commons.wikimedia.org/wiki/File:Nuestras_Monta%C3%B1as.jpg" TargetMode="External"/><Relationship Id="rId4942" Type="http://schemas.openxmlformats.org/officeDocument/2006/relationships/hyperlink" Target="https://commons.wikimedia.org/wiki/File:Sunset_with_dry_trees.jpg" TargetMode="External"/><Relationship Id="rId3614" Type="http://schemas.openxmlformats.org/officeDocument/2006/relationships/hyperlink" Target="https://commons.wikimedia.org/wiki/File:Numenius_hudsonicus_-_Nuqu%C3%AD,_Choc%C3%B3,_Colombia_-_23_Oct_2025_-_Diferoch.jpg" TargetMode="External"/><Relationship Id="rId4945" Type="http://schemas.openxmlformats.org/officeDocument/2006/relationships/hyperlink" Target="https://upload.wikimedia.org/wikipedia/commons/a/ab/Surrounded_by_endless_green_at_Quebrada_Valencia.jpg" TargetMode="External"/><Relationship Id="rId3613" Type="http://schemas.openxmlformats.org/officeDocument/2006/relationships/hyperlink" Target="https://upload.wikimedia.org/wikipedia/commons/b/b0/Numenius_hudsonicus_-_Nuqu%C3%AD%2C_Choc%C3%B3%2C_Colombia_-_23_Oct_2025_-_Diferoch.jpg" TargetMode="External"/><Relationship Id="rId4944" Type="http://schemas.openxmlformats.org/officeDocument/2006/relationships/hyperlink" Target="https://commons.wikimedia.org/wiki/File:Super_Luna,_Tecate,_Baja_California,_M%C3%A9xico.jpg" TargetMode="External"/><Relationship Id="rId3616" Type="http://schemas.openxmlformats.org/officeDocument/2006/relationships/hyperlink" Target="https://upload.wikimedia.org/wikipedia/commons/4/4c/Nyctibius_grandis_-_Barrancabermeja%2C_Santander%2C_Colombia_-_14_Jun_2026_-_Diferoch.jpg" TargetMode="External"/><Relationship Id="rId4947" Type="http://schemas.openxmlformats.org/officeDocument/2006/relationships/hyperlink" Target="https://upload.wikimedia.org/wikipedia/commons/8/80/Suspendido_en_el_aire.jpg" TargetMode="External"/><Relationship Id="rId3615" Type="http://schemas.openxmlformats.org/officeDocument/2006/relationships/hyperlink" Target="https://maps.google.com/?q=7.096358,-73.756257" TargetMode="External"/><Relationship Id="rId4946" Type="http://schemas.openxmlformats.org/officeDocument/2006/relationships/hyperlink" Target="https://commons.wikimedia.org/wiki/File:Surrounded_by_endless_green_at_Quebrada_Valencia.jpg" TargetMode="External"/><Relationship Id="rId3618" Type="http://schemas.openxmlformats.org/officeDocument/2006/relationships/hyperlink" Target="https://maps.google.com/?q=4.513160,-74.537920" TargetMode="External"/><Relationship Id="rId4949" Type="http://schemas.openxmlformats.org/officeDocument/2006/relationships/hyperlink" Target="https://maps.google.com/?q=5.250208,-73.807969" TargetMode="External"/><Relationship Id="rId3617" Type="http://schemas.openxmlformats.org/officeDocument/2006/relationships/hyperlink" Target="https://commons.wikimedia.org/wiki/File:Nyctibius_grandis_-_Barrancabermeja,_Santander,_Colombia_-_14_Jun_2026_-_Diferoch.jpg" TargetMode="External"/><Relationship Id="rId4948" Type="http://schemas.openxmlformats.org/officeDocument/2006/relationships/hyperlink" Target="https://commons.wikimedia.org/wiki/File:Suspendido_en_el_aire.jpg" TargetMode="External"/><Relationship Id="rId3619" Type="http://schemas.openxmlformats.org/officeDocument/2006/relationships/hyperlink" Target="https://upload.wikimedia.org/wikipedia/commons/5/54/Nymphaea-nen%C3%BAfar_rosa.jpg" TargetMode="External"/><Relationship Id="rId3610" Type="http://schemas.openxmlformats.org/officeDocument/2006/relationships/hyperlink" Target="https://upload.wikimedia.org/wikipedia/commons/a/a5/Nuestras_Monta%C3%B1as.jpg" TargetMode="External"/><Relationship Id="rId4941" Type="http://schemas.openxmlformats.org/officeDocument/2006/relationships/hyperlink" Target="https://upload.wikimedia.org/wikipedia/commons/8/88/Sunset_with_dry_trees.jpg" TargetMode="External"/><Relationship Id="rId4940" Type="http://schemas.openxmlformats.org/officeDocument/2006/relationships/hyperlink" Target="https://commons.wikimedia.org/wiki/File:Sunset_on_the_shore_of_Nuqu%C3%AD,_Choc%C3%B3,_Colombia.jpg" TargetMode="External"/><Relationship Id="rId3601" Type="http://schemas.openxmlformats.org/officeDocument/2006/relationships/hyperlink" Target="https://commons.wikimedia.org/wiki/File:Noche_en_el_r%C3%ADo_In%C3%ADrida.jpg" TargetMode="External"/><Relationship Id="rId4932" Type="http://schemas.openxmlformats.org/officeDocument/2006/relationships/hyperlink" Target="https://upload.wikimedia.org/wikipedia/commons/6/63/Sumapaz_Bogot%C3%A1.jpg" TargetMode="External"/><Relationship Id="rId3600" Type="http://schemas.openxmlformats.org/officeDocument/2006/relationships/hyperlink" Target="https://upload.wikimedia.org/wikipedia/commons/d/d9/Noche_en_el_r%C3%ADo_In%C3%ADrida.jpg" TargetMode="External"/><Relationship Id="rId4931" Type="http://schemas.openxmlformats.org/officeDocument/2006/relationships/hyperlink" Target="https://commons.wikimedia.org/wiki/File:SumapazTinto.jpg" TargetMode="External"/><Relationship Id="rId3603" Type="http://schemas.openxmlformats.org/officeDocument/2006/relationships/hyperlink" Target="https://upload.wikimedia.org/wikipedia/commons/4/4c/Norcasia_natural.jpg" TargetMode="External"/><Relationship Id="rId4934" Type="http://schemas.openxmlformats.org/officeDocument/2006/relationships/hyperlink" Target="https://maps.google.com/?q=5.571872,-74.897025" TargetMode="External"/><Relationship Id="rId3602" Type="http://schemas.openxmlformats.org/officeDocument/2006/relationships/hyperlink" Target="https://maps.google.com/?q=5.571986,-74.896942" TargetMode="External"/><Relationship Id="rId4933" Type="http://schemas.openxmlformats.org/officeDocument/2006/relationships/hyperlink" Target="https://commons.wikimedia.org/wiki/File:Sumapaz_Bogot%C3%A1.jpg" TargetMode="External"/><Relationship Id="rId3605" Type="http://schemas.openxmlformats.org/officeDocument/2006/relationships/hyperlink" Target="https://maps.google.com/?q=5.566422,-74.907219" TargetMode="External"/><Relationship Id="rId4936" Type="http://schemas.openxmlformats.org/officeDocument/2006/relationships/hyperlink" Target="https://commons.wikimedia.org/wiki/File:Sun_of_Caldas.jpg" TargetMode="External"/><Relationship Id="rId3604" Type="http://schemas.openxmlformats.org/officeDocument/2006/relationships/hyperlink" Target="https://commons.wikimedia.org/wiki/File:Norcasia_natural.jpg" TargetMode="External"/><Relationship Id="rId4935" Type="http://schemas.openxmlformats.org/officeDocument/2006/relationships/hyperlink" Target="https://upload.wikimedia.org/wikipedia/commons/6/65/Sun_of_Caldas.jpg" TargetMode="External"/><Relationship Id="rId3607" Type="http://schemas.openxmlformats.org/officeDocument/2006/relationships/hyperlink" Target="https://commons.wikimedia.org/wiki/File:Norcasia_verde.jpg" TargetMode="External"/><Relationship Id="rId4938" Type="http://schemas.openxmlformats.org/officeDocument/2006/relationships/hyperlink" Target="https://commons.wikimedia.org/wiki/File:Sunset_on_the_shore_of_Nuqu%C3%AD,_Choc%C3%B3,Colombia(2).jpg" TargetMode="External"/><Relationship Id="rId3606" Type="http://schemas.openxmlformats.org/officeDocument/2006/relationships/hyperlink" Target="https://upload.wikimedia.org/wikipedia/commons/7/77/Norcasia_verde.jpg" TargetMode="External"/><Relationship Id="rId4937" Type="http://schemas.openxmlformats.org/officeDocument/2006/relationships/hyperlink" Target="https://upload.wikimedia.org/wikipedia/commons/e/e0/Sunset_on_the_shore_of_Nuqu%C3%AD%2C_Choc%C3%B3%2CColombia%282%29.jpg" TargetMode="External"/><Relationship Id="rId3609" Type="http://schemas.openxmlformats.org/officeDocument/2006/relationships/hyperlink" Target="https://commons.wikimedia.org/wiki/File:Nubes_con_elefante_juguet%C3%B3n.jpg" TargetMode="External"/><Relationship Id="rId3608" Type="http://schemas.openxmlformats.org/officeDocument/2006/relationships/hyperlink" Target="https://upload.wikimedia.org/wikipedia/commons/1/11/Nubes_con_elefante_juguet%C3%B3n.jpg" TargetMode="External"/><Relationship Id="rId4939" Type="http://schemas.openxmlformats.org/officeDocument/2006/relationships/hyperlink" Target="https://upload.wikimedia.org/wikipedia/commons/0/08/Sunset_on_the_shore_of_Nuqu%C3%AD%2C_Choc%C3%B3%2C_Colombia.jpg" TargetMode="External"/><Relationship Id="rId4930" Type="http://schemas.openxmlformats.org/officeDocument/2006/relationships/hyperlink" Target="https://upload.wikimedia.org/wikipedia/commons/e/ef/SumapazTinto.jpg" TargetMode="External"/><Relationship Id="rId1059" Type="http://schemas.openxmlformats.org/officeDocument/2006/relationships/hyperlink" Target="https://upload.wikimedia.org/wikipedia/commons/1/1f/Cecropia_sp_-_Julian_Barrera.jpg" TargetMode="External"/><Relationship Id="rId5417" Type="http://schemas.openxmlformats.org/officeDocument/2006/relationships/hyperlink" Target="https://upload.wikimedia.org/wikipedia/commons/b/b0/Vista_de_un_Manglar_en_la_selva_del_Darien.jpg" TargetMode="External"/><Relationship Id="rId5418" Type="http://schemas.openxmlformats.org/officeDocument/2006/relationships/hyperlink" Target="https://commons.wikimedia.org/wiki/File:Vista_de_un_Manglar_en_la_selva_del_Darien.jpg" TargetMode="External"/><Relationship Id="rId5415" Type="http://schemas.openxmlformats.org/officeDocument/2006/relationships/hyperlink" Target="https://upload.wikimedia.org/wikipedia/commons/3/31/Vista_cenital_de_la_fuerza_del_agua_en_el_Salto_del_Tequendama.jpg" TargetMode="External"/><Relationship Id="rId5416" Type="http://schemas.openxmlformats.org/officeDocument/2006/relationships/hyperlink" Target="https://commons.wikimedia.org/wiki/File:Vista_cenital_de_la_fuerza_del_agua_en_el_Salto_del_Tequendama.jpg" TargetMode="External"/><Relationship Id="rId5419" Type="http://schemas.openxmlformats.org/officeDocument/2006/relationships/hyperlink" Target="https://upload.wikimedia.org/wikipedia/commons/8/8d/Vista_del_Nevado_del_Ruiz%2C_Colombia.jpg" TargetMode="External"/><Relationship Id="rId228" Type="http://schemas.openxmlformats.org/officeDocument/2006/relationships/hyperlink" Target="https://maps.google.com/?q=7.084830,-73.863968" TargetMode="External"/><Relationship Id="rId227" Type="http://schemas.openxmlformats.org/officeDocument/2006/relationships/hyperlink" Target="https://commons.wikimedia.org/wiki/File:Anisoptera_-_Barrancabermeja,_Santander,_Colombia_-_31_Dec_2025_-_Diferoch_-_1.jpg" TargetMode="External"/><Relationship Id="rId226" Type="http://schemas.openxmlformats.org/officeDocument/2006/relationships/hyperlink" Target="https://upload.wikimedia.org/wikipedia/commons/8/89/Anisoptera_-_Barrancabermeja%2C_Santander%2C_Colombia_-_31_Dec_2025_-_Diferoch_-_1.jpg" TargetMode="External"/><Relationship Id="rId225" Type="http://schemas.openxmlformats.org/officeDocument/2006/relationships/hyperlink" Target="https://maps.google.com/?q=7.084832,-73.863968" TargetMode="External"/><Relationship Id="rId2380" Type="http://schemas.openxmlformats.org/officeDocument/2006/relationships/hyperlink" Target="https://upload.wikimedia.org/wikipedia/commons/2/26/Gaviota_Reidora_-_Chroicocephalus_ridibundus.jpg" TargetMode="External"/><Relationship Id="rId229" Type="http://schemas.openxmlformats.org/officeDocument/2006/relationships/hyperlink" Target="https://upload.wikimedia.org/wikipedia/commons/b/b7/Anisoptera_-_Barrancabermeja%2C_Santander%2C_Colombia_-_31_Dec_2025_-_Diferoch_-_2.jpg" TargetMode="External"/><Relationship Id="rId1050" Type="http://schemas.openxmlformats.org/officeDocument/2006/relationships/hyperlink" Target="https://maps.google.com/?q=7.084917,-73.863762" TargetMode="External"/><Relationship Id="rId2381" Type="http://schemas.openxmlformats.org/officeDocument/2006/relationships/hyperlink" Target="https://commons.wikimedia.org/wiki/File:Gaviota_Reidora_-_Chroicocephalus_ridibundus.jpg" TargetMode="External"/><Relationship Id="rId220" Type="http://schemas.openxmlformats.org/officeDocument/2006/relationships/hyperlink" Target="https://upload.wikimedia.org/wikipedia/commons/f/f9/Anisoptera_-_Barrancabermeja%2C_Santander%2C_Colombia_-_20_Jul_2025_-_Diferoch.jpg" TargetMode="External"/><Relationship Id="rId1051" Type="http://schemas.openxmlformats.org/officeDocument/2006/relationships/hyperlink" Target="https://upload.wikimedia.org/wikipedia/commons/c/c5/Cebus_versicolor_-_Barrancabermeja%2C_Santander%2C_Colombia_-_17_Jun_2026_-_Diferoch_-_2.jpg" TargetMode="External"/><Relationship Id="rId2382" Type="http://schemas.openxmlformats.org/officeDocument/2006/relationships/hyperlink" Target="https://maps.google.com/?q=4.885011,-74.044707" TargetMode="External"/><Relationship Id="rId1052" Type="http://schemas.openxmlformats.org/officeDocument/2006/relationships/hyperlink" Target="https://commons.wikimedia.org/wiki/File:Cebus_versicolor_-_Barrancabermeja,_Santander,_Colombia_-_17_Jun_2026_-_Diferoch_-_2.jpg" TargetMode="External"/><Relationship Id="rId2383" Type="http://schemas.openxmlformats.org/officeDocument/2006/relationships/hyperlink" Target="https://upload.wikimedia.org/wikipedia/commons/f/ff/Gazania_amarilla.jpg" TargetMode="External"/><Relationship Id="rId5410" Type="http://schemas.openxmlformats.org/officeDocument/2006/relationships/hyperlink" Target="https://commons.wikimedia.org/wiki/File:Vista_a%C3%A9rea_cenital_de_la_cresta_rocosa_en_Sutatausa.jpg" TargetMode="External"/><Relationship Id="rId1053" Type="http://schemas.openxmlformats.org/officeDocument/2006/relationships/hyperlink" Target="https://maps.google.com/?q=7.084917,-73.863762" TargetMode="External"/><Relationship Id="rId2384" Type="http://schemas.openxmlformats.org/officeDocument/2006/relationships/hyperlink" Target="https://commons.wikimedia.org/wiki/File:Gazania_amarilla.jpg" TargetMode="External"/><Relationship Id="rId1054" Type="http://schemas.openxmlformats.org/officeDocument/2006/relationships/hyperlink" Target="https://upload.wikimedia.org/wikipedia/commons/b/bf/Cebus_versicolor_-_Barrancabermeja%2C_Santander%2C_Colombia_-_17_Jun_2026_-_Diferoch_-_3.jpg" TargetMode="External"/><Relationship Id="rId2385" Type="http://schemas.openxmlformats.org/officeDocument/2006/relationships/hyperlink" Target="https://upload.wikimedia.org/wikipedia/commons/d/d1/Gazania_flower_with_water_droplets.jpg" TargetMode="External"/><Relationship Id="rId224" Type="http://schemas.openxmlformats.org/officeDocument/2006/relationships/hyperlink" Target="https://commons.wikimedia.org/wiki/File:Anisoptera_-_Barrancabermeja,_Santander,_Colombia_-_2_Jun_2025.jpg" TargetMode="External"/><Relationship Id="rId1055" Type="http://schemas.openxmlformats.org/officeDocument/2006/relationships/hyperlink" Target="https://commons.wikimedia.org/wiki/File:Cebus_versicolor_-_Barrancabermeja,_Santander,_Colombia_-_17_Jun_2026_-_Diferoch_-_3.jpg" TargetMode="External"/><Relationship Id="rId2386" Type="http://schemas.openxmlformats.org/officeDocument/2006/relationships/hyperlink" Target="https://commons.wikimedia.org/wiki/File:Gazania_flower_with_water_droplets.jpg" TargetMode="External"/><Relationship Id="rId5413" Type="http://schemas.openxmlformats.org/officeDocument/2006/relationships/hyperlink" Target="https://commons.wikimedia.org/wiki/File:Vista_a%C3%A9rea_del_pliegue_monta%C3%B1oso_de_Sutatausa.jpg" TargetMode="External"/><Relationship Id="rId223" Type="http://schemas.openxmlformats.org/officeDocument/2006/relationships/hyperlink" Target="https://upload.wikimedia.org/wikipedia/commons/d/d9/Anisoptera_-_Barrancabermeja%2C_Santander%2C_Colombia_-_2_Jun_2025.jpg" TargetMode="External"/><Relationship Id="rId1056" Type="http://schemas.openxmlformats.org/officeDocument/2006/relationships/hyperlink" Target="https://maps.google.com/?q=6.711225,-74.144913" TargetMode="External"/><Relationship Id="rId2387" Type="http://schemas.openxmlformats.org/officeDocument/2006/relationships/hyperlink" Target="https://upload.wikimedia.org/wikipedia/commons/5/56/Geranio_%28Pelargonium%29.jpg" TargetMode="External"/><Relationship Id="rId5414" Type="http://schemas.openxmlformats.org/officeDocument/2006/relationships/hyperlink" Target="https://maps.google.com/?q=4.574826,-74.293245" TargetMode="External"/><Relationship Id="rId222" Type="http://schemas.openxmlformats.org/officeDocument/2006/relationships/hyperlink" Target="https://maps.google.com/?q=7.085099,-73.864105" TargetMode="External"/><Relationship Id="rId1057" Type="http://schemas.openxmlformats.org/officeDocument/2006/relationships/hyperlink" Target="https://upload.wikimedia.org/wikipedia/commons/d/d8/Cebus_versicolor_-_Cimitarra%2C_Santander%2C_Colombia_-_30_Sep_2025_-_Diferoch.jpg" TargetMode="External"/><Relationship Id="rId2388" Type="http://schemas.openxmlformats.org/officeDocument/2006/relationships/hyperlink" Target="https://commons.wikimedia.org/wiki/File:Geranio_(Pelargonium).jpg" TargetMode="External"/><Relationship Id="rId5411" Type="http://schemas.openxmlformats.org/officeDocument/2006/relationships/hyperlink" Target="https://maps.google.com/?q=5.214099,-73.845426" TargetMode="External"/><Relationship Id="rId221" Type="http://schemas.openxmlformats.org/officeDocument/2006/relationships/hyperlink" Target="https://commons.wikimedia.org/wiki/File:Anisoptera_-_Barrancabermeja,_Santander,_Colombia_-_20_Jul_2025_-_Diferoch.jpg" TargetMode="External"/><Relationship Id="rId1058" Type="http://schemas.openxmlformats.org/officeDocument/2006/relationships/hyperlink" Target="https://commons.wikimedia.org/wiki/File:Cebus_versicolor_-_Cimitarra,_Santander,_Colombia_-_30_Sep_2025_-_Diferoch.jpg" TargetMode="External"/><Relationship Id="rId2389" Type="http://schemas.openxmlformats.org/officeDocument/2006/relationships/hyperlink" Target="https://maps.google.com/?q=4.864626,-74.048884" TargetMode="External"/><Relationship Id="rId5412" Type="http://schemas.openxmlformats.org/officeDocument/2006/relationships/hyperlink" Target="https://upload.wikimedia.org/wikipedia/commons/5/5e/Vista_a%C3%A9rea_del_pliegue_monta%C3%B1oso_de_Sutatausa.jpg" TargetMode="External"/><Relationship Id="rId1048" Type="http://schemas.openxmlformats.org/officeDocument/2006/relationships/hyperlink" Target="https://upload.wikimedia.org/wikipedia/commons/4/4e/Cebus_versicolor_-_Barrancabermeja%2C_Santander%2C_Colombia_-_17_Jun_2026_-_Diferoch_-_1.jpg" TargetMode="External"/><Relationship Id="rId2379" Type="http://schemas.openxmlformats.org/officeDocument/2006/relationships/hyperlink" Target="https://commons.wikimedia.org/wiki/File:Garza_blanca_en_Paipa,_Colombia.jpg" TargetMode="External"/><Relationship Id="rId5406" Type="http://schemas.openxmlformats.org/officeDocument/2006/relationships/hyperlink" Target="https://upload.wikimedia.org/wikipedia/commons/a/ab/Vista_Parque_Nacional_Natural_El_Cocuy.jpg" TargetMode="External"/><Relationship Id="rId1049" Type="http://schemas.openxmlformats.org/officeDocument/2006/relationships/hyperlink" Target="https://commons.wikimedia.org/wiki/File:Cebus_versicolor_-_Barrancabermeja,_Santander,_Colombia_-_17_Jun_2026_-_Diferoch_-_1.jpg" TargetMode="External"/><Relationship Id="rId5407" Type="http://schemas.openxmlformats.org/officeDocument/2006/relationships/hyperlink" Target="https://commons.wikimedia.org/wiki/File:Vista_Parque_Nacional_Natural_El_Cocuy.jpg" TargetMode="External"/><Relationship Id="rId5404" Type="http://schemas.openxmlformats.org/officeDocument/2006/relationships/hyperlink" Target="https://upload.wikimedia.org/wikipedia/commons/f/f2/Vista_Palma_de_cera_%28Ceroxylon_quindiuense%29.jpg" TargetMode="External"/><Relationship Id="rId5405" Type="http://schemas.openxmlformats.org/officeDocument/2006/relationships/hyperlink" Target="https://commons.wikimedia.org/wiki/File:Vista_Palma_de_cera_(Ceroxylon_quindiuense).jpg" TargetMode="External"/><Relationship Id="rId5408" Type="http://schemas.openxmlformats.org/officeDocument/2006/relationships/hyperlink" Target="https://maps.google.com/?q=5.215509,-73.846618" TargetMode="External"/><Relationship Id="rId5409" Type="http://schemas.openxmlformats.org/officeDocument/2006/relationships/hyperlink" Target="https://upload.wikimedia.org/wikipedia/commons/e/e1/Vista_a%C3%A9rea_cenital_de_la_cresta_rocosa_en_Sutatausa.jpg" TargetMode="External"/><Relationship Id="rId217" Type="http://schemas.openxmlformats.org/officeDocument/2006/relationships/hyperlink" Target="https://upload.wikimedia.org/wikipedia/commons/3/3a/Animales_en_armon%C3%ADa.jpg" TargetMode="External"/><Relationship Id="rId216" Type="http://schemas.openxmlformats.org/officeDocument/2006/relationships/hyperlink" Target="https://maps.google.com/?q=10.425000,-75.540278" TargetMode="External"/><Relationship Id="rId215" Type="http://schemas.openxmlformats.org/officeDocument/2006/relationships/hyperlink" Target="https://commons.wikimedia.org/wiki/File:Anhinga_anhinga_anhinga_-_Cimitarra,_Santander,_Colombia_-_2_Oct_2025_-_Diferoch.jpg" TargetMode="External"/><Relationship Id="rId214" Type="http://schemas.openxmlformats.org/officeDocument/2006/relationships/hyperlink" Target="https://upload.wikimedia.org/wikipedia/commons/8/85/Anhinga_anhinga_anhinga_-_Cimitarra%2C_Santander%2C_Colombia_-_2_Oct_2025_-_Diferoch.jpg" TargetMode="External"/><Relationship Id="rId219" Type="http://schemas.openxmlformats.org/officeDocument/2006/relationships/hyperlink" Target="https://maps.google.com/?q=7.096398,-73.756278" TargetMode="External"/><Relationship Id="rId218" Type="http://schemas.openxmlformats.org/officeDocument/2006/relationships/hyperlink" Target="https://commons.wikimedia.org/wiki/File:Animales_en_armon%C3%ADa.jpg" TargetMode="External"/><Relationship Id="rId2370" Type="http://schemas.openxmlformats.org/officeDocument/2006/relationships/hyperlink" Target="https://upload.wikimedia.org/wikipedia/commons/7/71/Ganado_en_La_uni%C3%B3n%2C_Valle_del_Cauca.jpg" TargetMode="External"/><Relationship Id="rId1040" Type="http://schemas.openxmlformats.org/officeDocument/2006/relationships/hyperlink" Target="https://commons.wikimedia.org/wiki/File:Cebus_cesarae,_Becerril-Cesar.jpg" TargetMode="External"/><Relationship Id="rId2371" Type="http://schemas.openxmlformats.org/officeDocument/2006/relationships/hyperlink" Target="https://commons.wikimedia.org/wiki/File:Ganado_en_La_uni%C3%B3n,_Valle_del_Cauca.jpg" TargetMode="External"/><Relationship Id="rId1041" Type="http://schemas.openxmlformats.org/officeDocument/2006/relationships/hyperlink" Target="https://maps.google.com/?q=7.084857,-73.863883" TargetMode="External"/><Relationship Id="rId2372" Type="http://schemas.openxmlformats.org/officeDocument/2006/relationships/hyperlink" Target="https://maps.google.com/?q=4.863975,-74.346956" TargetMode="External"/><Relationship Id="rId1042" Type="http://schemas.openxmlformats.org/officeDocument/2006/relationships/hyperlink" Target="https://upload.wikimedia.org/wikipedia/commons/6/6c/Cebus_versicolor_-_Barrancabermeja%2C_Santander%2C_Colombia_-_13_Jun_2026_-_Diferoch_-_1.jpg" TargetMode="External"/><Relationship Id="rId2373" Type="http://schemas.openxmlformats.org/officeDocument/2006/relationships/hyperlink" Target="https://upload.wikimedia.org/wikipedia/commons/6/66/Gaque_doble.jpg" TargetMode="External"/><Relationship Id="rId1043" Type="http://schemas.openxmlformats.org/officeDocument/2006/relationships/hyperlink" Target="https://commons.wikimedia.org/wiki/File:Cebus_versicolor_-_Barrancabermeja,_Santander,_Colombia_-_13_Jun_2026_-_Diferoch_-_1.jpg" TargetMode="External"/><Relationship Id="rId2374" Type="http://schemas.openxmlformats.org/officeDocument/2006/relationships/hyperlink" Target="https://commons.wikimedia.org/wiki/File:Gaque_doble.jpg" TargetMode="External"/><Relationship Id="rId213" Type="http://schemas.openxmlformats.org/officeDocument/2006/relationships/hyperlink" Target="https://maps.google.com/?q=6.714175,-74.140693" TargetMode="External"/><Relationship Id="rId1044" Type="http://schemas.openxmlformats.org/officeDocument/2006/relationships/hyperlink" Target="https://maps.google.com/?q=7.084838,-73.863868" TargetMode="External"/><Relationship Id="rId2375" Type="http://schemas.openxmlformats.org/officeDocument/2006/relationships/hyperlink" Target="https://upload.wikimedia.org/wikipedia/commons/9/9d/Garza_Real_rio_la_Vieja.jpg" TargetMode="External"/><Relationship Id="rId5402" Type="http://schemas.openxmlformats.org/officeDocument/2006/relationships/hyperlink" Target="https://upload.wikimedia.org/wikipedia/commons/2/2f/Vista_Jard%C3%ADn_Bot%C3%A1nico_Cali.jpg" TargetMode="External"/><Relationship Id="rId212" Type="http://schemas.openxmlformats.org/officeDocument/2006/relationships/hyperlink" Target="https://commons.wikimedia.org/wiki/File:Anhinga_Americana_-_Pato_aguja_americano_-_p%C3%A1jaro_serpiente_americano.jpg" TargetMode="External"/><Relationship Id="rId1045" Type="http://schemas.openxmlformats.org/officeDocument/2006/relationships/hyperlink" Target="https://upload.wikimedia.org/wikipedia/commons/f/f0/Cebus_versicolor_-_Barrancabermeja%2C_Santander%2C_Colombia_-_13_Jun_2026_-_Diferoch_-_2.jpg" TargetMode="External"/><Relationship Id="rId2376" Type="http://schemas.openxmlformats.org/officeDocument/2006/relationships/hyperlink" Target="https://commons.wikimedia.org/wiki/File:Garza_Real_rio_la_Vieja.jpg" TargetMode="External"/><Relationship Id="rId5403" Type="http://schemas.openxmlformats.org/officeDocument/2006/relationships/hyperlink" Target="https://commons.wikimedia.org/wiki/File:Vista_Jard%C3%ADn_Bot%C3%A1nico_Cali.jpg" TargetMode="External"/><Relationship Id="rId211" Type="http://schemas.openxmlformats.org/officeDocument/2006/relationships/hyperlink" Target="https://upload.wikimedia.org/wikipedia/commons/b/b2/Anhinga_Americana_-_Pato_aguja_americano_-_p%C3%A1jaro_serpiente_americano.jpg" TargetMode="External"/><Relationship Id="rId1046" Type="http://schemas.openxmlformats.org/officeDocument/2006/relationships/hyperlink" Target="https://commons.wikimedia.org/wiki/File:Cebus_versicolor_-_Barrancabermeja,_Santander,_Colombia_-_13_Jun_2026_-_Diferoch_-_2.jpg" TargetMode="External"/><Relationship Id="rId2377" Type="http://schemas.openxmlformats.org/officeDocument/2006/relationships/hyperlink" Target="https://maps.google.com/?q=5.768603,-73.115372" TargetMode="External"/><Relationship Id="rId5400" Type="http://schemas.openxmlformats.org/officeDocument/2006/relationships/hyperlink" Target="https://upload.wikimedia.org/wikipedia/commons/0/08/Vista_Cadena_volc%C3%A1nica_Los_Coconucos.jpg" TargetMode="External"/><Relationship Id="rId210" Type="http://schemas.openxmlformats.org/officeDocument/2006/relationships/hyperlink" Target="https://maps.google.com/?q=4.513160,-74.537920" TargetMode="External"/><Relationship Id="rId1047" Type="http://schemas.openxmlformats.org/officeDocument/2006/relationships/hyperlink" Target="https://maps.google.com/?q=7.084910,-73.863777" TargetMode="External"/><Relationship Id="rId2378" Type="http://schemas.openxmlformats.org/officeDocument/2006/relationships/hyperlink" Target="https://upload.wikimedia.org/wikipedia/commons/2/22/Garza_blanca_en_Paipa%2C_Colombia.jpg" TargetMode="External"/><Relationship Id="rId5401" Type="http://schemas.openxmlformats.org/officeDocument/2006/relationships/hyperlink" Target="https://commons.wikimedia.org/wiki/File:Vista_Cadena_volc%C3%A1nica_Los_Coconucos.jpg" TargetMode="External"/><Relationship Id="rId4107" Type="http://schemas.openxmlformats.org/officeDocument/2006/relationships/hyperlink" Target="https://upload.wikimedia.org/wikipedia/commons/e/eb/Passiflora_violacea_en_JBB.jpg" TargetMode="External"/><Relationship Id="rId5439" Type="http://schemas.openxmlformats.org/officeDocument/2006/relationships/hyperlink" Target="https://upload.wikimedia.org/wikipedia/commons/1/11/Vistas_boyacenses.jpg" TargetMode="External"/><Relationship Id="rId4106" Type="http://schemas.openxmlformats.org/officeDocument/2006/relationships/hyperlink" Target="https://commons.wikimedia.org/wiki/File:Passiflora_sp._en_Bojac%C3%A1.jpg" TargetMode="External"/><Relationship Id="rId4109" Type="http://schemas.openxmlformats.org/officeDocument/2006/relationships/hyperlink" Target="https://upload.wikimedia.org/wikipedia/commons/b/b2/Pastizal_de_Mosquera.jpg" TargetMode="External"/><Relationship Id="rId5437" Type="http://schemas.openxmlformats.org/officeDocument/2006/relationships/hyperlink" Target="https://commons.wikimedia.org/wiki/File:Vista_ventral_de_Hyloscirtus_palmeri.jpg" TargetMode="External"/><Relationship Id="rId4108" Type="http://schemas.openxmlformats.org/officeDocument/2006/relationships/hyperlink" Target="https://commons.wikimedia.org/wiki/File:Passiflora_violacea_en_JBB.jpg" TargetMode="External"/><Relationship Id="rId5438" Type="http://schemas.openxmlformats.org/officeDocument/2006/relationships/hyperlink" Target="https://maps.google.com/?q=5.537250,-73.616089" TargetMode="External"/><Relationship Id="rId249" Type="http://schemas.openxmlformats.org/officeDocument/2006/relationships/hyperlink" Target="https://maps.google.com/?q=4.668601,-74.097017" TargetMode="External"/><Relationship Id="rId248" Type="http://schemas.openxmlformats.org/officeDocument/2006/relationships/hyperlink" Target="https://commons.wikimedia.org/wiki/File:Anthurium_veitchii-King_Anthurium.jpg" TargetMode="External"/><Relationship Id="rId247" Type="http://schemas.openxmlformats.org/officeDocument/2006/relationships/hyperlink" Target="https://upload.wikimedia.org/wikipedia/commons/7/78/Anthurium_veitchii-King_Anthurium.jpg" TargetMode="External"/><Relationship Id="rId1070" Type="http://schemas.openxmlformats.org/officeDocument/2006/relationships/hyperlink" Target="https://upload.wikimedia.org/wikipedia/commons/0/04/Cedro_cebolla_de_porte_alto.jpg" TargetMode="External"/><Relationship Id="rId1071" Type="http://schemas.openxmlformats.org/officeDocument/2006/relationships/hyperlink" Target="https://commons.wikimedia.org/wiki/File:Cedro_cebolla_de_porte_alto.jpg" TargetMode="External"/><Relationship Id="rId1072" Type="http://schemas.openxmlformats.org/officeDocument/2006/relationships/hyperlink" Target="https://upload.wikimedia.org/wikipedia/commons/0/03/Cedro_del_jap%C3%B3n_%28Cryptomeria_japonica%29.jpg" TargetMode="External"/><Relationship Id="rId242" Type="http://schemas.openxmlformats.org/officeDocument/2006/relationships/hyperlink" Target="https://commons.wikimedia.org/wiki/File:Anolis_sulcifrons.jpg" TargetMode="External"/><Relationship Id="rId1073" Type="http://schemas.openxmlformats.org/officeDocument/2006/relationships/hyperlink" Target="https://commons.wikimedia.org/wiki/File:Cedro_del_jap%C3%B3n_(Cryptomeria_japonica).jpg" TargetMode="External"/><Relationship Id="rId5431" Type="http://schemas.openxmlformats.org/officeDocument/2006/relationships/hyperlink" Target="https://upload.wikimedia.org/wikipedia/commons/3/34/Vista_panoramica_desde_la_universidad_de_la_salle.jpg" TargetMode="External"/><Relationship Id="rId241" Type="http://schemas.openxmlformats.org/officeDocument/2006/relationships/hyperlink" Target="https://upload.wikimedia.org/wikipedia/commons/4/4e/Anolis_sulcifrons.jpg" TargetMode="External"/><Relationship Id="rId1074" Type="http://schemas.openxmlformats.org/officeDocument/2006/relationships/hyperlink" Target="https://maps.google.com/?q=4.667750,-74.099944" TargetMode="External"/><Relationship Id="rId5432" Type="http://schemas.openxmlformats.org/officeDocument/2006/relationships/hyperlink" Target="https://commons.wikimedia.org/wiki/File:Vista_panoramica_desde_la_universidad_de_la_salle.jpg" TargetMode="External"/><Relationship Id="rId240" Type="http://schemas.openxmlformats.org/officeDocument/2006/relationships/hyperlink" Target="https://maps.google.com/?q=4.564131,-74.526377" TargetMode="External"/><Relationship Id="rId1075" Type="http://schemas.openxmlformats.org/officeDocument/2006/relationships/hyperlink" Target="https://upload.wikimedia.org/wikipedia/commons/e/e6/Ceiba_2.jpg" TargetMode="External"/><Relationship Id="rId4101" Type="http://schemas.openxmlformats.org/officeDocument/2006/relationships/hyperlink" Target="https://upload.wikimedia.org/wikipedia/commons/9/99/Passiflora_JBB.jpg" TargetMode="External"/><Relationship Id="rId1076" Type="http://schemas.openxmlformats.org/officeDocument/2006/relationships/hyperlink" Target="https://commons.wikimedia.org/wiki/File:Ceiba_2.jpg" TargetMode="External"/><Relationship Id="rId4100" Type="http://schemas.openxmlformats.org/officeDocument/2006/relationships/hyperlink" Target="https://commons.wikimedia.org/wiki/File:Paseo_en_el_Sin%C3%BA.jpg" TargetMode="External"/><Relationship Id="rId5430" Type="http://schemas.openxmlformats.org/officeDocument/2006/relationships/hyperlink" Target="https://commons.wikimedia.org/wiki/File:Vista_hermosa_San_Crist%C3%B3bal.jpg" TargetMode="External"/><Relationship Id="rId246" Type="http://schemas.openxmlformats.org/officeDocument/2006/relationships/hyperlink" Target="https://maps.google.com/?q=4.668211,-74.100198" TargetMode="External"/><Relationship Id="rId1077" Type="http://schemas.openxmlformats.org/officeDocument/2006/relationships/hyperlink" Target="https://upload.wikimedia.org/wikipedia/commons/0/0a/Ceiba_2026-05-23.jpg" TargetMode="External"/><Relationship Id="rId4103" Type="http://schemas.openxmlformats.org/officeDocument/2006/relationships/hyperlink" Target="https://upload.wikimedia.org/wikipedia/commons/5/50/Passiflora_con_chinche_del_mburucuy%C3%A1.jpg" TargetMode="External"/><Relationship Id="rId5435" Type="http://schemas.openxmlformats.org/officeDocument/2006/relationships/hyperlink" Target="https://maps.google.com/?q=5.862240,-74.870470" TargetMode="External"/><Relationship Id="rId245" Type="http://schemas.openxmlformats.org/officeDocument/2006/relationships/hyperlink" Target="https://commons.wikimedia.org/wiki/File:Antes_del_salto.jpg" TargetMode="External"/><Relationship Id="rId1078" Type="http://schemas.openxmlformats.org/officeDocument/2006/relationships/hyperlink" Target="https://commons.wikimedia.org/wiki/File:Ceiba_2026-05-23.jpg" TargetMode="External"/><Relationship Id="rId4102" Type="http://schemas.openxmlformats.org/officeDocument/2006/relationships/hyperlink" Target="https://commons.wikimedia.org/wiki/File:Passiflora_JBB.jpg" TargetMode="External"/><Relationship Id="rId5436" Type="http://schemas.openxmlformats.org/officeDocument/2006/relationships/hyperlink" Target="https://upload.wikimedia.org/wikipedia/commons/2/24/Vista_ventral_de_Hyloscirtus_palmeri.jpg" TargetMode="External"/><Relationship Id="rId244" Type="http://schemas.openxmlformats.org/officeDocument/2006/relationships/hyperlink" Target="https://upload.wikimedia.org/wikipedia/commons/f/fd/Antes_del_salto.jpg" TargetMode="External"/><Relationship Id="rId1079" Type="http://schemas.openxmlformats.org/officeDocument/2006/relationships/hyperlink" Target="https://maps.google.com/?q=4.667750,-74.099944" TargetMode="External"/><Relationship Id="rId4105" Type="http://schemas.openxmlformats.org/officeDocument/2006/relationships/hyperlink" Target="https://upload.wikimedia.org/wikipedia/commons/5/58/Passiflora_sp._en_Bojac%C3%A1.jpg" TargetMode="External"/><Relationship Id="rId5433" Type="http://schemas.openxmlformats.org/officeDocument/2006/relationships/hyperlink" Target="https://upload.wikimedia.org/wikipedia/commons/1/1d/Vista_panor%C3%A1mica_de_guataqu%C3%AD_de_potos%C3%AD.jpg" TargetMode="External"/><Relationship Id="rId243" Type="http://schemas.openxmlformats.org/officeDocument/2006/relationships/hyperlink" Target="https://maps.google.com/?q=4.527500,-73.925700" TargetMode="External"/><Relationship Id="rId4104" Type="http://schemas.openxmlformats.org/officeDocument/2006/relationships/hyperlink" Target="https://commons.wikimedia.org/wiki/File:Passiflora_con_chinche_del_mburucuy%C3%A1.jpg" TargetMode="External"/><Relationship Id="rId5434" Type="http://schemas.openxmlformats.org/officeDocument/2006/relationships/hyperlink" Target="https://commons.wikimedia.org/wiki/File:Vista_panor%C3%A1mica_de_guataqu%C3%AD_de_potos%C3%AD.jpg" TargetMode="External"/><Relationship Id="rId5428" Type="http://schemas.openxmlformats.org/officeDocument/2006/relationships/hyperlink" Target="https://commons.wikimedia.org/wiki/File:Vista_general_del_complejo_de_p%C3%A1ramo_de_Sumapaz.jpg" TargetMode="External"/><Relationship Id="rId5429" Type="http://schemas.openxmlformats.org/officeDocument/2006/relationships/hyperlink" Target="https://upload.wikimedia.org/wikipedia/commons/5/53/Vista_hermosa_San_Crist%C3%B3bal.jpg" TargetMode="External"/><Relationship Id="rId5426" Type="http://schemas.openxmlformats.org/officeDocument/2006/relationships/hyperlink" Target="https://commons.wikimedia.org/wiki/File:Vista_finca_la_seiba_la_granja_desde_Ortega_Tolima-_junio15.jpg" TargetMode="External"/><Relationship Id="rId5427" Type="http://schemas.openxmlformats.org/officeDocument/2006/relationships/hyperlink" Target="https://upload.wikimedia.org/wikipedia/commons/5/55/Vista_general_del_complejo_de_p%C3%A1ramo_de_Sumapaz.jpg" TargetMode="External"/><Relationship Id="rId239" Type="http://schemas.openxmlformats.org/officeDocument/2006/relationships/hyperlink" Target="https://commons.wikimedia.org/wiki/File:Anolis_solitario_01.jpg" TargetMode="External"/><Relationship Id="rId238" Type="http://schemas.openxmlformats.org/officeDocument/2006/relationships/hyperlink" Target="https://upload.wikimedia.org/wikipedia/commons/b/b0/Anolis_solitario_01.jpg" TargetMode="External"/><Relationship Id="rId237" Type="http://schemas.openxmlformats.org/officeDocument/2006/relationships/hyperlink" Target="https://maps.google.com/?q=10.857000,-73.722000" TargetMode="External"/><Relationship Id="rId236" Type="http://schemas.openxmlformats.org/officeDocument/2006/relationships/hyperlink" Target="https://commons.wikimedia.org/wiki/File:Anolis_solitario.jpg" TargetMode="External"/><Relationship Id="rId2390" Type="http://schemas.openxmlformats.org/officeDocument/2006/relationships/hyperlink" Target="https://upload.wikimedia.org/wikipedia/commons/e/e0/Gerbera_blanca.jpg" TargetMode="External"/><Relationship Id="rId1060" Type="http://schemas.openxmlformats.org/officeDocument/2006/relationships/hyperlink" Target="https://commons.wikimedia.org/wiki/File:Cecropia_sp_-_Julian_Barrera.jpg" TargetMode="External"/><Relationship Id="rId2391" Type="http://schemas.openxmlformats.org/officeDocument/2006/relationships/hyperlink" Target="https://commons.wikimedia.org/wiki/File:Gerbera_blanca.jpg" TargetMode="External"/><Relationship Id="rId1061" Type="http://schemas.openxmlformats.org/officeDocument/2006/relationships/hyperlink" Target="https://upload.wikimedia.org/wikipedia/commons/0/06/Cedrela_odorata_2026-05-23.jpg" TargetMode="External"/><Relationship Id="rId2392" Type="http://schemas.openxmlformats.org/officeDocument/2006/relationships/hyperlink" Target="https://upload.wikimedia.org/wikipedia/commons/7/71/Giant_Dragon_Fruit_Blossom_%28Selenicereus%29%2C_near_Bogot%C3%A1%2C_2025.jpg" TargetMode="External"/><Relationship Id="rId231" Type="http://schemas.openxmlformats.org/officeDocument/2006/relationships/hyperlink" Target="https://maps.google.com/?q=4.897689,-74.082070" TargetMode="External"/><Relationship Id="rId1062" Type="http://schemas.openxmlformats.org/officeDocument/2006/relationships/hyperlink" Target="https://commons.wikimedia.org/wiki/File:Cedrela_odorata_2026-05-23.jpg" TargetMode="External"/><Relationship Id="rId2393" Type="http://schemas.openxmlformats.org/officeDocument/2006/relationships/hyperlink" Target="https://commons.wikimedia.org/wiki/File:Giant_Dragon_Fruit_Blossom_(Selenicereus),_near_Bogot%C3%A1,_2025.jpg" TargetMode="External"/><Relationship Id="rId5420" Type="http://schemas.openxmlformats.org/officeDocument/2006/relationships/hyperlink" Target="https://commons.wikimedia.org/wiki/File:Vista_del_Nevado_del_Ruiz,_Colombia.jpg" TargetMode="External"/><Relationship Id="rId230" Type="http://schemas.openxmlformats.org/officeDocument/2006/relationships/hyperlink" Target="https://commons.wikimedia.org/wiki/File:Anisoptera_-_Barrancabermeja,_Santander,_Colombia_-_31_Dec_2025_-_Diferoch_-_2.jpg" TargetMode="External"/><Relationship Id="rId1063" Type="http://schemas.openxmlformats.org/officeDocument/2006/relationships/hyperlink" Target="https://maps.google.com/?q=4.964957,-75.240538" TargetMode="External"/><Relationship Id="rId2394" Type="http://schemas.openxmlformats.org/officeDocument/2006/relationships/hyperlink" Target="https://upload.wikimedia.org/wikipedia/commons/3/3d/Ginko_biloba_-_Julian_Barrera.jpg" TargetMode="External"/><Relationship Id="rId5421" Type="http://schemas.openxmlformats.org/officeDocument/2006/relationships/hyperlink" Target="https://upload.wikimedia.org/wikipedia/commons/a/a5/Vista_desde_el_Obelisco_de_Colombia.jpg" TargetMode="External"/><Relationship Id="rId1064" Type="http://schemas.openxmlformats.org/officeDocument/2006/relationships/hyperlink" Target="https://upload.wikimedia.org/wikipedia/commons/5/5b/Cedro_americano.jpg" TargetMode="External"/><Relationship Id="rId2395" Type="http://schemas.openxmlformats.org/officeDocument/2006/relationships/hyperlink" Target="https://commons.wikimedia.org/wiki/File:Ginko_biloba_-_Julian_Barrera.jpg" TargetMode="External"/><Relationship Id="rId1065" Type="http://schemas.openxmlformats.org/officeDocument/2006/relationships/hyperlink" Target="https://commons.wikimedia.org/wiki/File:Cedro_americano.jpg" TargetMode="External"/><Relationship Id="rId2396" Type="http://schemas.openxmlformats.org/officeDocument/2006/relationships/hyperlink" Target="https://upload.wikimedia.org/wikipedia/commons/d/d5/Girasol%2C_Guacamayas.jpg" TargetMode="External"/><Relationship Id="rId235" Type="http://schemas.openxmlformats.org/officeDocument/2006/relationships/hyperlink" Target="https://upload.wikimedia.org/wikipedia/commons/4/4a/Anolis_solitario.jpg" TargetMode="External"/><Relationship Id="rId1066" Type="http://schemas.openxmlformats.org/officeDocument/2006/relationships/hyperlink" Target="https://upload.wikimedia.org/wikipedia/commons/5/55/Cedro_cebolla_%28Cedrela_montana%29.jpg" TargetMode="External"/><Relationship Id="rId2397" Type="http://schemas.openxmlformats.org/officeDocument/2006/relationships/hyperlink" Target="https://commons.wikimedia.org/wiki/File:Girasol,_Guacamayas.jpg" TargetMode="External"/><Relationship Id="rId5424" Type="http://schemas.openxmlformats.org/officeDocument/2006/relationships/hyperlink" Target="https://commons.wikimedia.org/wiki/File:Vista_desde_la_Sierra_de_Santa_Marta_(Colombia).jpg" TargetMode="External"/><Relationship Id="rId234" Type="http://schemas.openxmlformats.org/officeDocument/2006/relationships/hyperlink" Target="https://maps.google.com/?q=10.857000,-73.722000" TargetMode="External"/><Relationship Id="rId1067" Type="http://schemas.openxmlformats.org/officeDocument/2006/relationships/hyperlink" Target="https://commons.wikimedia.org/wiki/File:Cedro_cebolla_(Cedrela_montana).jpg" TargetMode="External"/><Relationship Id="rId2398" Type="http://schemas.openxmlformats.org/officeDocument/2006/relationships/hyperlink" Target="https://maps.google.com/?q=4.667750,-74.099944" TargetMode="External"/><Relationship Id="rId5425" Type="http://schemas.openxmlformats.org/officeDocument/2006/relationships/hyperlink" Target="https://upload.wikimedia.org/wikipedia/commons/5/54/Vista_finca_la_seiba_la_granja_desde_Ortega_Tolima-_junio15.jpg" TargetMode="External"/><Relationship Id="rId233" Type="http://schemas.openxmlformats.org/officeDocument/2006/relationships/hyperlink" Target="https://commons.wikimedia.org/wiki/File:Anolis_heterodermus_camuflado.jpg" TargetMode="External"/><Relationship Id="rId1068" Type="http://schemas.openxmlformats.org/officeDocument/2006/relationships/hyperlink" Target="https://upload.wikimedia.org/wikipedia/commons/f/fb/Cedro_cebolla_%28Meliaceae%29.jpg" TargetMode="External"/><Relationship Id="rId2399" Type="http://schemas.openxmlformats.org/officeDocument/2006/relationships/hyperlink" Target="https://upload.wikimedia.org/wikipedia/commons/5/57/Glandulas_ceiba_amarilla.jpg" TargetMode="External"/><Relationship Id="rId5422" Type="http://schemas.openxmlformats.org/officeDocument/2006/relationships/hyperlink" Target="https://commons.wikimedia.org/wiki/File:Vista_desde_el_Obelisco_de_Colombia.jpg" TargetMode="External"/><Relationship Id="rId232" Type="http://schemas.openxmlformats.org/officeDocument/2006/relationships/hyperlink" Target="https://upload.wikimedia.org/wikipedia/commons/5/53/Anolis_heterodermus_camuflado.jpg" TargetMode="External"/><Relationship Id="rId1069" Type="http://schemas.openxmlformats.org/officeDocument/2006/relationships/hyperlink" Target="https://commons.wikimedia.org/wiki/File:Cedro_cebolla_(Meliaceae).jpg" TargetMode="External"/><Relationship Id="rId5423" Type="http://schemas.openxmlformats.org/officeDocument/2006/relationships/hyperlink" Target="https://upload.wikimedia.org/wikipedia/commons/8/80/Vista_desde_la_Sierra_de_Santa_Marta_%28Colombia%29.jpg" TargetMode="External"/><Relationship Id="rId1015" Type="http://schemas.openxmlformats.org/officeDocument/2006/relationships/hyperlink" Target="https://upload.wikimedia.org/wikipedia/commons/b/bc/Ca%C3%B1o_Cristales-Parque_Nacional_Natural_Sierra_de_la_Macarena-Colombia-2.jpg" TargetMode="External"/><Relationship Id="rId2346" Type="http://schemas.openxmlformats.org/officeDocument/2006/relationships/hyperlink" Target="https://upload.wikimedia.org/wikipedia/commons/0/0f/Fucsia_andina.jpg" TargetMode="External"/><Relationship Id="rId3678" Type="http://schemas.openxmlformats.org/officeDocument/2006/relationships/hyperlink" Target="https://upload.wikimedia.org/wikipedia/commons/9/9d/Orquidea_de_la_reserva_de_natural_de_Guataqui_de_potosi.jpg" TargetMode="External"/><Relationship Id="rId1016" Type="http://schemas.openxmlformats.org/officeDocument/2006/relationships/hyperlink" Target="https://commons.wikimedia.org/wiki/File:Ca%C3%B1o_Cristales-Parque_Nacional_Natural_Sierra_de_la_Macarena-Colombia-2.jpg" TargetMode="External"/><Relationship Id="rId2347" Type="http://schemas.openxmlformats.org/officeDocument/2006/relationships/hyperlink" Target="https://commons.wikimedia.org/wiki/File:Fucsia_andina.jpg" TargetMode="External"/><Relationship Id="rId3677" Type="http://schemas.openxmlformats.org/officeDocument/2006/relationships/hyperlink" Target="https://commons.wikimedia.org/wiki/File:Orion_y_la_Luna_Suesca_10_enero_2025.jpg" TargetMode="External"/><Relationship Id="rId1017" Type="http://schemas.openxmlformats.org/officeDocument/2006/relationships/hyperlink" Target="https://maps.google.com/?q=2.264107,-73.794565" TargetMode="External"/><Relationship Id="rId2348" Type="http://schemas.openxmlformats.org/officeDocument/2006/relationships/hyperlink" Target="https://upload.wikimedia.org/wikipedia/commons/4/48/Fucsia_arb%C3%B3rea.jpg" TargetMode="External"/><Relationship Id="rId1018" Type="http://schemas.openxmlformats.org/officeDocument/2006/relationships/hyperlink" Target="https://upload.wikimedia.org/wikipedia/commons/f/f2/Ca%C3%B1o_Cristales-Parque_Nacional_Natural_Sierra_de_la_Macarena-Colombia-3.jpg" TargetMode="External"/><Relationship Id="rId2349" Type="http://schemas.openxmlformats.org/officeDocument/2006/relationships/hyperlink" Target="https://commons.wikimedia.org/wiki/File:Fucsia_arb%C3%B3rea.jpg" TargetMode="External"/><Relationship Id="rId3679" Type="http://schemas.openxmlformats.org/officeDocument/2006/relationships/hyperlink" Target="https://commons.wikimedia.org/wiki/File:Orquidea_de_la_reserva_de_natural_de_Guataqui_de_potosi.jpg" TargetMode="External"/><Relationship Id="rId1019" Type="http://schemas.openxmlformats.org/officeDocument/2006/relationships/hyperlink" Target="https://commons.wikimedia.org/wiki/File:Ca%C3%B1o_Cristales-Parque_Nacional_Natural_Sierra_de_la_Macarena-Colombia-3.jpg" TargetMode="External"/><Relationship Id="rId3670" Type="http://schemas.openxmlformats.org/officeDocument/2006/relationships/hyperlink" Target="https://upload.wikimedia.org/wikipedia/commons/c/c8/Oreja_de_elefante_%28Colocasia_esculenta%29.jpg" TargetMode="External"/><Relationship Id="rId2340" Type="http://schemas.openxmlformats.org/officeDocument/2006/relationships/hyperlink" Target="https://upload.wikimedia.org/wikipedia/commons/a/af/Fucsia_%2836752%29.jpg" TargetMode="External"/><Relationship Id="rId3672" Type="http://schemas.openxmlformats.org/officeDocument/2006/relationships/hyperlink" Target="https://upload.wikimedia.org/wikipedia/commons/2/26/Oreja_de_elefante_en_relaci%C3%B3n_a_mano_humana_%28Colocasia_esculenta%29.jpg" TargetMode="External"/><Relationship Id="rId1010" Type="http://schemas.openxmlformats.org/officeDocument/2006/relationships/hyperlink" Target="https://upload.wikimedia.org/wikipedia/commons/6/6b/Ca%C3%B1agria_%E2%80%93_G%C3%A9nero_Costus_%E2%80%93_Familia_Costaceae.png" TargetMode="External"/><Relationship Id="rId2341" Type="http://schemas.openxmlformats.org/officeDocument/2006/relationships/hyperlink" Target="https://commons.wikimedia.org/wiki/File:Fucsia_(36752).jpg" TargetMode="External"/><Relationship Id="rId3671" Type="http://schemas.openxmlformats.org/officeDocument/2006/relationships/hyperlink" Target="https://commons.wikimedia.org/wiki/File:Oreja_de_elefante_(Colocasia_esculenta).jpg" TargetMode="External"/><Relationship Id="rId1011" Type="http://schemas.openxmlformats.org/officeDocument/2006/relationships/hyperlink" Target="https://commons.wikimedia.org/wiki/File:Ca%C3%B1agria_%E2%80%93_G%C3%A9nero_Costus_%E2%80%93_Familia_Costaceae.png" TargetMode="External"/><Relationship Id="rId2342" Type="http://schemas.openxmlformats.org/officeDocument/2006/relationships/hyperlink" Target="https://maps.google.com/?q=4.975985,-75.033227" TargetMode="External"/><Relationship Id="rId3674" Type="http://schemas.openxmlformats.org/officeDocument/2006/relationships/hyperlink" Target="https://upload.wikimedia.org/wikipedia/commons/c/cf/Orejashuila_14.jpg" TargetMode="External"/><Relationship Id="rId1012" Type="http://schemas.openxmlformats.org/officeDocument/2006/relationships/hyperlink" Target="https://upload.wikimedia.org/wikipedia/commons/7/7e/Ca%C3%B1o_Cristales%2C_Colombia._2023.jpg" TargetMode="External"/><Relationship Id="rId2343" Type="http://schemas.openxmlformats.org/officeDocument/2006/relationships/hyperlink" Target="https://upload.wikimedia.org/wikipedia/commons/f/fa/Fucsia_%2840360%29.jpg" TargetMode="External"/><Relationship Id="rId3673" Type="http://schemas.openxmlformats.org/officeDocument/2006/relationships/hyperlink" Target="https://commons.wikimedia.org/wiki/File:Oreja_de_elefante_en_relaci%C3%B3n_a_mano_humana_(Colocasia_esculenta).jpg" TargetMode="External"/><Relationship Id="rId1013" Type="http://schemas.openxmlformats.org/officeDocument/2006/relationships/hyperlink" Target="https://commons.wikimedia.org/wiki/File:Ca%C3%B1o_Cristales,_Colombia._2023.jpg" TargetMode="External"/><Relationship Id="rId2344" Type="http://schemas.openxmlformats.org/officeDocument/2006/relationships/hyperlink" Target="https://commons.wikimedia.org/wiki/File:Fucsia_(40360).jpg" TargetMode="External"/><Relationship Id="rId3676" Type="http://schemas.openxmlformats.org/officeDocument/2006/relationships/hyperlink" Target="https://upload.wikimedia.org/wikipedia/commons/4/4e/Orion_y_la_Luna_Suesca_10_enero_2025.jpg" TargetMode="External"/><Relationship Id="rId1014" Type="http://schemas.openxmlformats.org/officeDocument/2006/relationships/hyperlink" Target="https://maps.google.com/?q=2.264106,-73.794565" TargetMode="External"/><Relationship Id="rId2345" Type="http://schemas.openxmlformats.org/officeDocument/2006/relationships/hyperlink" Target="https://maps.google.com/?q=4.863661,-74.048110" TargetMode="External"/><Relationship Id="rId3675" Type="http://schemas.openxmlformats.org/officeDocument/2006/relationships/hyperlink" Target="https://commons.wikimedia.org/wiki/File:Orejashuila_14.jpg" TargetMode="External"/><Relationship Id="rId1004" Type="http://schemas.openxmlformats.org/officeDocument/2006/relationships/hyperlink" Target="https://commons.wikimedia.org/wiki/File:Caterpillar_of_a_hag_moth_(family_Limacodidae)_on_a_leaf,_Colombia,_2025.jpg" TargetMode="External"/><Relationship Id="rId2335" Type="http://schemas.openxmlformats.org/officeDocument/2006/relationships/hyperlink" Target="https://commons.wikimedia.org/wiki/File:Fruto_ornamental_de_Solanum_pseudocapsicum_en_jard%C3%ADn_universitario.jpg" TargetMode="External"/><Relationship Id="rId3667" Type="http://schemas.openxmlformats.org/officeDocument/2006/relationships/hyperlink" Target="https://maps.google.com/?q=4.667750,-74.099944" TargetMode="External"/><Relationship Id="rId4998" Type="http://schemas.openxmlformats.org/officeDocument/2006/relationships/hyperlink" Target="https://upload.wikimedia.org/wikipedia/commons/c/cc/Tangara_azuleja.jpg" TargetMode="External"/><Relationship Id="rId1005" Type="http://schemas.openxmlformats.org/officeDocument/2006/relationships/hyperlink" Target="https://upload.wikimedia.org/wikipedia/commons/4/4e/Caverna_del_oro.jpg" TargetMode="External"/><Relationship Id="rId2336" Type="http://schemas.openxmlformats.org/officeDocument/2006/relationships/hyperlink" Target="https://maps.google.com/?q=4.944761,-75.135616" TargetMode="External"/><Relationship Id="rId3666" Type="http://schemas.openxmlformats.org/officeDocument/2006/relationships/hyperlink" Target="https://commons.wikimedia.org/wiki/File:Oranged.jpg" TargetMode="External"/><Relationship Id="rId4997" Type="http://schemas.openxmlformats.org/officeDocument/2006/relationships/hyperlink" Target="https://maps.google.com/?q=4.581600,-7.417210" TargetMode="External"/><Relationship Id="rId1006" Type="http://schemas.openxmlformats.org/officeDocument/2006/relationships/hyperlink" Target="https://commons.wikimedia.org/wiki/File:Caverna_del_oro.jpg" TargetMode="External"/><Relationship Id="rId2337" Type="http://schemas.openxmlformats.org/officeDocument/2006/relationships/hyperlink" Target="https://upload.wikimedia.org/wikipedia/commons/0/0d/Fucsia_%2819977%29.jpg" TargetMode="External"/><Relationship Id="rId3669" Type="http://schemas.openxmlformats.org/officeDocument/2006/relationships/hyperlink" Target="https://commons.wikimedia.org/wiki/File:Oreja_de_elefante.jpg" TargetMode="External"/><Relationship Id="rId1007" Type="http://schemas.openxmlformats.org/officeDocument/2006/relationships/hyperlink" Target="https://upload.wikimedia.org/wikipedia/commons/6/62/Cayena_en_Jard%C3%ADn_Barranquilla.jpg" TargetMode="External"/><Relationship Id="rId2338" Type="http://schemas.openxmlformats.org/officeDocument/2006/relationships/hyperlink" Target="https://commons.wikimedia.org/wiki/File:Fucsia_(19977).jpg" TargetMode="External"/><Relationship Id="rId3668" Type="http://schemas.openxmlformats.org/officeDocument/2006/relationships/hyperlink" Target="https://upload.wikimedia.org/wikipedia/commons/3/36/Oreja_de_elefante.jpg" TargetMode="External"/><Relationship Id="rId4999" Type="http://schemas.openxmlformats.org/officeDocument/2006/relationships/hyperlink" Target="https://commons.wikimedia.org/wiki/File:Tangara_azuleja.jpg" TargetMode="External"/><Relationship Id="rId1008" Type="http://schemas.openxmlformats.org/officeDocument/2006/relationships/hyperlink" Target="https://commons.wikimedia.org/wiki/File:Cayena_en_Jard%C3%ADn_Barranquilla.jpg" TargetMode="External"/><Relationship Id="rId2339" Type="http://schemas.openxmlformats.org/officeDocument/2006/relationships/hyperlink" Target="https://maps.google.com/?q=4.918956,-74.927765" TargetMode="External"/><Relationship Id="rId1009" Type="http://schemas.openxmlformats.org/officeDocument/2006/relationships/hyperlink" Target="https://maps.google.com/?q=4.669437,-74.097702" TargetMode="External"/><Relationship Id="rId4990" Type="http://schemas.openxmlformats.org/officeDocument/2006/relationships/hyperlink" Target="https://upload.wikimedia.org/wikipedia/commons/f/f2/Tangara_Multicolor_-_Chlorochrysa_nitidissima.jpg" TargetMode="External"/><Relationship Id="rId3661" Type="http://schemas.openxmlformats.org/officeDocument/2006/relationships/hyperlink" Target="https://maps.google.com/?q=5.513748,-74.197827" TargetMode="External"/><Relationship Id="rId4992" Type="http://schemas.openxmlformats.org/officeDocument/2006/relationships/hyperlink" Target="https://maps.google.com/?q=3.561100,-76.556900" TargetMode="External"/><Relationship Id="rId2330" Type="http://schemas.openxmlformats.org/officeDocument/2006/relationships/hyperlink" Target="https://commons.wikimedia.org/wiki/File:Frailej%C3%B3n_en_Sumapaz.jpg" TargetMode="External"/><Relationship Id="rId3660" Type="http://schemas.openxmlformats.org/officeDocument/2006/relationships/hyperlink" Target="https://commons.wikimedia.org/wiki/File:Ojo_de_Poeta.jpg" TargetMode="External"/><Relationship Id="rId4991" Type="http://schemas.openxmlformats.org/officeDocument/2006/relationships/hyperlink" Target="https://commons.wikimedia.org/wiki/File:Tangara_Multicolor_-_Chlorochrysa_nitidissima.jpg" TargetMode="External"/><Relationship Id="rId1000" Type="http://schemas.openxmlformats.org/officeDocument/2006/relationships/hyperlink" Target="https://maps.google.com/?q=6.369703,-72.318169" TargetMode="External"/><Relationship Id="rId2331" Type="http://schemas.openxmlformats.org/officeDocument/2006/relationships/hyperlink" Target="https://upload.wikimedia.org/wikipedia/commons/0/00/Fronda.jpg" TargetMode="External"/><Relationship Id="rId3663" Type="http://schemas.openxmlformats.org/officeDocument/2006/relationships/hyperlink" Target="https://commons.wikimedia.org/wiki/File:Ojos_nocturnos.jpg" TargetMode="External"/><Relationship Id="rId4994" Type="http://schemas.openxmlformats.org/officeDocument/2006/relationships/hyperlink" Target="https://commons.wikimedia.org/wiki/File:Tangara_Nuquidorada_-_Chalcothraupis_ruficervix.jpg" TargetMode="External"/><Relationship Id="rId1001" Type="http://schemas.openxmlformats.org/officeDocument/2006/relationships/hyperlink" Target="https://upload.wikimedia.org/wikipedia/commons/0/0c/Castilleja_g%C3%BCican.jpg" TargetMode="External"/><Relationship Id="rId2332" Type="http://schemas.openxmlformats.org/officeDocument/2006/relationships/hyperlink" Target="https://commons.wikimedia.org/wiki/File:Fronda.jpg" TargetMode="External"/><Relationship Id="rId3662" Type="http://schemas.openxmlformats.org/officeDocument/2006/relationships/hyperlink" Target="https://upload.wikimedia.org/wikipedia/commons/a/aa/Ojos_nocturnos.jpg" TargetMode="External"/><Relationship Id="rId4993" Type="http://schemas.openxmlformats.org/officeDocument/2006/relationships/hyperlink" Target="https://upload.wikimedia.org/wikipedia/commons/7/7e/Tangara_Nuquidorada_-_Chalcothraupis_ruficervix.jpg" TargetMode="External"/><Relationship Id="rId1002" Type="http://schemas.openxmlformats.org/officeDocument/2006/relationships/hyperlink" Target="https://commons.wikimedia.org/wiki/File:Castilleja_g%C3%BCican.jpg" TargetMode="External"/><Relationship Id="rId2333" Type="http://schemas.openxmlformats.org/officeDocument/2006/relationships/hyperlink" Target="https://maps.google.com/?q=4.594490,-74.070340" TargetMode="External"/><Relationship Id="rId3665" Type="http://schemas.openxmlformats.org/officeDocument/2006/relationships/hyperlink" Target="https://upload.wikimedia.org/wikipedia/commons/a/ac/Oranged.jpg" TargetMode="External"/><Relationship Id="rId4996" Type="http://schemas.openxmlformats.org/officeDocument/2006/relationships/hyperlink" Target="https://commons.wikimedia.org/wiki/File:Tangara_Rastrojera.jpg" TargetMode="External"/><Relationship Id="rId1003" Type="http://schemas.openxmlformats.org/officeDocument/2006/relationships/hyperlink" Target="https://upload.wikimedia.org/wikipedia/commons/7/76/Caterpillar_of_a_hag_moth_%28family_Limacodidae%29_on_a_leaf%2C_Colombia%2C_2025.jpg" TargetMode="External"/><Relationship Id="rId2334" Type="http://schemas.openxmlformats.org/officeDocument/2006/relationships/hyperlink" Target="https://upload.wikimedia.org/wikipedia/commons/2/22/Fruto_ornamental_de_Solanum_pseudocapsicum_en_jard%C3%ADn_universitario.jpg" TargetMode="External"/><Relationship Id="rId3664" Type="http://schemas.openxmlformats.org/officeDocument/2006/relationships/hyperlink" Target="https://maps.google.com/?q=7.120676,-73.109657" TargetMode="External"/><Relationship Id="rId4995" Type="http://schemas.openxmlformats.org/officeDocument/2006/relationships/hyperlink" Target="https://upload.wikimedia.org/wikipedia/commons/4/46/Tangara_Rastrojera.jpg" TargetMode="External"/><Relationship Id="rId1037" Type="http://schemas.openxmlformats.org/officeDocument/2006/relationships/hyperlink" Target="https://upload.wikimedia.org/wikipedia/commons/a/a9/Cebus_capucinus_curtus%2C_Gorgona_Island.jpg" TargetMode="External"/><Relationship Id="rId2368" Type="http://schemas.openxmlformats.org/officeDocument/2006/relationships/hyperlink" Target="https://upload.wikimedia.org/wikipedia/commons/5/56/Galvanes_%28Cachira_N.S%29.jpg" TargetMode="External"/><Relationship Id="rId1038" Type="http://schemas.openxmlformats.org/officeDocument/2006/relationships/hyperlink" Target="https://commons.wikimedia.org/wiki/File:Cebus_capucinus_curtus,_Gorgona_Island.jpg" TargetMode="External"/><Relationship Id="rId2369" Type="http://schemas.openxmlformats.org/officeDocument/2006/relationships/hyperlink" Target="https://commons.wikimedia.org/wiki/File:Galvanes_(Cachira_N.S).jpg" TargetMode="External"/><Relationship Id="rId3699" Type="http://schemas.openxmlformats.org/officeDocument/2006/relationships/hyperlink" Target="https://upload.wikimedia.org/wikipedia/commons/5/5b/Orqu%C3%ADdea_de_mata_redonda.jpg" TargetMode="External"/><Relationship Id="rId1039" Type="http://schemas.openxmlformats.org/officeDocument/2006/relationships/hyperlink" Target="https://upload.wikimedia.org/wikipedia/commons/d/d1/Cebus_cesarae%2C_Becerril-Cesar.jpg" TargetMode="External"/><Relationship Id="rId206" Type="http://schemas.openxmlformats.org/officeDocument/2006/relationships/hyperlink" Target="https://commons.wikimedia.org/wiki/File:Andicolea_colombiana.jpg" TargetMode="External"/><Relationship Id="rId205" Type="http://schemas.openxmlformats.org/officeDocument/2006/relationships/hyperlink" Target="https://upload.wikimedia.org/wikipedia/commons/a/a8/Andicolea_colombiana.jpg" TargetMode="External"/><Relationship Id="rId204" Type="http://schemas.openxmlformats.org/officeDocument/2006/relationships/hyperlink" Target="https://maps.google.com/?q=4.667750,-74.099944" TargetMode="External"/><Relationship Id="rId203" Type="http://schemas.openxmlformats.org/officeDocument/2006/relationships/hyperlink" Target="https://commons.wikimedia.org/wiki/File:Andes_mountains_in_the_Huila_department_(Monta%C3%B1as_de_los_Andes_en_el_departamento_del_Huila).jpg" TargetMode="External"/><Relationship Id="rId209" Type="http://schemas.openxmlformats.org/officeDocument/2006/relationships/hyperlink" Target="https://commons.wikimedia.org/wiki/File:Anfibios_de_la_Isla_Gorgona.jpg" TargetMode="External"/><Relationship Id="rId208" Type="http://schemas.openxmlformats.org/officeDocument/2006/relationships/hyperlink" Target="https://upload.wikimedia.org/wikipedia/commons/d/d7/Anfibios_de_la_Isla_Gorgona.jpg" TargetMode="External"/><Relationship Id="rId3690" Type="http://schemas.openxmlformats.org/officeDocument/2006/relationships/hyperlink" Target="https://upload.wikimedia.org/wikipedia/commons/8/83/Orqu%C3%ADdea_cactus.jpg" TargetMode="External"/><Relationship Id="rId207" Type="http://schemas.openxmlformats.org/officeDocument/2006/relationships/hyperlink" Target="https://maps.google.com/?q=2.938272,-78.202501" TargetMode="External"/><Relationship Id="rId2360" Type="http://schemas.openxmlformats.org/officeDocument/2006/relationships/hyperlink" Target="https://maps.google.com/?q=4.935833,-73.980278" TargetMode="External"/><Relationship Id="rId3692" Type="http://schemas.openxmlformats.org/officeDocument/2006/relationships/hyperlink" Target="https://maps.google.com/?q=6.202494,-75.603242" TargetMode="External"/><Relationship Id="rId1030" Type="http://schemas.openxmlformats.org/officeDocument/2006/relationships/hyperlink" Target="https://commons.wikimedia.org/wiki/File:Ca%C3%B1o_Juan_Angola.jpg" TargetMode="External"/><Relationship Id="rId2361" Type="http://schemas.openxmlformats.org/officeDocument/2006/relationships/hyperlink" Target="https://upload.wikimedia.org/wikipedia/commons/4/4a/Gallinazo_en_poste_de_luz.png" TargetMode="External"/><Relationship Id="rId3691" Type="http://schemas.openxmlformats.org/officeDocument/2006/relationships/hyperlink" Target="https://commons.wikimedia.org/wiki/File:Orqu%C3%ADdea_cactus.jpg" TargetMode="External"/><Relationship Id="rId1031" Type="http://schemas.openxmlformats.org/officeDocument/2006/relationships/hyperlink" Target="https://upload.wikimedia.org/wikipedia/commons/d/d7/Ca%C3%B1on_del_Chicamocha_Santander_2015.jpg" TargetMode="External"/><Relationship Id="rId2362" Type="http://schemas.openxmlformats.org/officeDocument/2006/relationships/hyperlink" Target="https://commons.wikimedia.org/wiki/File:Gallinazo_en_poste_de_luz.png" TargetMode="External"/><Relationship Id="rId3694" Type="http://schemas.openxmlformats.org/officeDocument/2006/relationships/hyperlink" Target="https://commons.wikimedia.org/wiki/File:Orqu%C3%ADdea_colombiana.jpg" TargetMode="External"/><Relationship Id="rId1032" Type="http://schemas.openxmlformats.org/officeDocument/2006/relationships/hyperlink" Target="https://commons.wikimedia.org/wiki/File:Ca%C3%B1on_del_Chicamocha_Santander_2015.jpg" TargetMode="External"/><Relationship Id="rId2363" Type="http://schemas.openxmlformats.org/officeDocument/2006/relationships/hyperlink" Target="https://upload.wikimedia.org/wikipedia/commons/9/92/Gallito_ser_las_rocas%2C_cusco.jpg" TargetMode="External"/><Relationship Id="rId3693" Type="http://schemas.openxmlformats.org/officeDocument/2006/relationships/hyperlink" Target="https://upload.wikimedia.org/wikipedia/commons/a/a5/Orqu%C3%ADdea_colombiana.jpg" TargetMode="External"/><Relationship Id="rId202" Type="http://schemas.openxmlformats.org/officeDocument/2006/relationships/hyperlink" Target="https://upload.wikimedia.org/wikipedia/commons/b/b5/Andes_mountains_in_the_Huila_department_%28Monta%C3%B1as_de_los_Andes_en_el_departamento_del_Huila%29.jpg" TargetMode="External"/><Relationship Id="rId1033" Type="http://schemas.openxmlformats.org/officeDocument/2006/relationships/hyperlink" Target="https://maps.google.com/?q=3.237393,-75.118115" TargetMode="External"/><Relationship Id="rId2364" Type="http://schemas.openxmlformats.org/officeDocument/2006/relationships/hyperlink" Target="https://commons.wikimedia.org/wiki/File:Gallito_ser_las_rocas,_cusco.jpg" TargetMode="External"/><Relationship Id="rId3696" Type="http://schemas.openxmlformats.org/officeDocument/2006/relationships/hyperlink" Target="https://upload.wikimedia.org/wikipedia/commons/4/45/Orqu%C3%ADdea_de_cruz_verde.jpg" TargetMode="External"/><Relationship Id="rId201" Type="http://schemas.openxmlformats.org/officeDocument/2006/relationships/hyperlink" Target="https://commons.wikimedia.org/wiki/File:Andes_mountains_in_Murillo_(Monta%C3%B1as_de_los_Andes_en_Murillo).jpg" TargetMode="External"/><Relationship Id="rId1034" Type="http://schemas.openxmlformats.org/officeDocument/2006/relationships/hyperlink" Target="https://upload.wikimedia.org/wikipedia/commons/1/1f/Ca%C3%B1ones_erosionados_del_desierto_gris.jpg" TargetMode="External"/><Relationship Id="rId2365" Type="http://schemas.openxmlformats.org/officeDocument/2006/relationships/hyperlink" Target="https://upload.wikimedia.org/wikipedia/commons/f/f0/Galopando_en_el_llano.jpg" TargetMode="External"/><Relationship Id="rId3695" Type="http://schemas.openxmlformats.org/officeDocument/2006/relationships/hyperlink" Target="https://maps.google.com/?q=4.562114,-73.989136" TargetMode="External"/><Relationship Id="rId200" Type="http://schemas.openxmlformats.org/officeDocument/2006/relationships/hyperlink" Target="https://upload.wikimedia.org/wikipedia/commons/d/d8/Andes_mountains_in_Murillo_%28Monta%C3%B1as_de_los_Andes_en_Murillo%29.jpg" TargetMode="External"/><Relationship Id="rId1035" Type="http://schemas.openxmlformats.org/officeDocument/2006/relationships/hyperlink" Target="https://commons.wikimedia.org/wiki/File:Ca%C3%B1ones_erosionados_del_desierto_gris.jpg" TargetMode="External"/><Relationship Id="rId2366" Type="http://schemas.openxmlformats.org/officeDocument/2006/relationships/hyperlink" Target="https://commons.wikimedia.org/wiki/File:Galopando_en_el_llano.jpg" TargetMode="External"/><Relationship Id="rId3698" Type="http://schemas.openxmlformats.org/officeDocument/2006/relationships/hyperlink" Target="https://maps.google.com/?q=4.562050,-73.989211" TargetMode="External"/><Relationship Id="rId1036" Type="http://schemas.openxmlformats.org/officeDocument/2006/relationships/hyperlink" Target="https://maps.google.com/?q=2.968460,-78.183017" TargetMode="External"/><Relationship Id="rId2367" Type="http://schemas.openxmlformats.org/officeDocument/2006/relationships/hyperlink" Target="https://maps.google.com/?q=7.739343,-73.047775" TargetMode="External"/><Relationship Id="rId3697" Type="http://schemas.openxmlformats.org/officeDocument/2006/relationships/hyperlink" Target="https://commons.wikimedia.org/wiki/File:Orqu%C3%ADdea_de_cruz_verde.jpg" TargetMode="External"/><Relationship Id="rId1026" Type="http://schemas.openxmlformats.org/officeDocument/2006/relationships/hyperlink" Target="https://upload.wikimedia.org/wikipedia/commons/0/06/Ca%C3%B1o_Cristales_2023.jpg" TargetMode="External"/><Relationship Id="rId2357" Type="http://schemas.openxmlformats.org/officeDocument/2006/relationships/hyperlink" Target="https://commons.wikimedia.org/wiki/File:F%C3%B3sil_de_Didymotis_sp._del_Grupo_Villeta.jpg" TargetMode="External"/><Relationship Id="rId3689" Type="http://schemas.openxmlformats.org/officeDocument/2006/relationships/hyperlink" Target="https://maps.google.com/?q=4.864605,-74.048827" TargetMode="External"/><Relationship Id="rId1027" Type="http://schemas.openxmlformats.org/officeDocument/2006/relationships/hyperlink" Target="https://commons.wikimedia.org/wiki/File:Ca%C3%B1o_Cristales_2023.jpg" TargetMode="External"/><Relationship Id="rId2358" Type="http://schemas.openxmlformats.org/officeDocument/2006/relationships/hyperlink" Target="https://upload.wikimedia.org/wikipedia/commons/e/e0/Gallinazo_La_convenci%C3%B3n%2C_cusco.jpg" TargetMode="External"/><Relationship Id="rId3688" Type="http://schemas.openxmlformats.org/officeDocument/2006/relationships/hyperlink" Target="https://commons.wikimedia.org/wiki/File:Orqu%C3%ADdea_(Oncidium).jpg" TargetMode="External"/><Relationship Id="rId1028" Type="http://schemas.openxmlformats.org/officeDocument/2006/relationships/hyperlink" Target="https://maps.google.com/?q=10.441944,-75.523611" TargetMode="External"/><Relationship Id="rId2359" Type="http://schemas.openxmlformats.org/officeDocument/2006/relationships/hyperlink" Target="https://commons.wikimedia.org/wiki/File:Gallinazo_La_convenci%C3%B3n,_cusco.jpg" TargetMode="External"/><Relationship Id="rId1029" Type="http://schemas.openxmlformats.org/officeDocument/2006/relationships/hyperlink" Target="https://upload.wikimedia.org/wikipedia/commons/f/fa/Ca%C3%B1o_Juan_Angola.jpg" TargetMode="External"/><Relationship Id="rId3681" Type="http://schemas.openxmlformats.org/officeDocument/2006/relationships/hyperlink" Target="https://commons.wikimedia.org/wiki/File:Orquidea_en_casa_en_Ruinas.jpg" TargetMode="External"/><Relationship Id="rId2350" Type="http://schemas.openxmlformats.org/officeDocument/2006/relationships/hyperlink" Target="https://upload.wikimedia.org/wikipedia/commons/4/4c/Fucsiashuila_05.jpg" TargetMode="External"/><Relationship Id="rId3680" Type="http://schemas.openxmlformats.org/officeDocument/2006/relationships/hyperlink" Target="https://upload.wikimedia.org/wikipedia/commons/d/dd/Orquidea_en_casa_en_Ruinas.jpg" TargetMode="External"/><Relationship Id="rId1020" Type="http://schemas.openxmlformats.org/officeDocument/2006/relationships/hyperlink" Target="https://maps.google.com/?q=2.264107,-73.794565" TargetMode="External"/><Relationship Id="rId2351" Type="http://schemas.openxmlformats.org/officeDocument/2006/relationships/hyperlink" Target="https://commons.wikimedia.org/wiki/File:Fucsiashuila_05.jpg" TargetMode="External"/><Relationship Id="rId3683" Type="http://schemas.openxmlformats.org/officeDocument/2006/relationships/hyperlink" Target="https://upload.wikimedia.org/wikipedia/commons/d/d4/Orquidea_mayo_de_2026.jpg" TargetMode="External"/><Relationship Id="rId1021" Type="http://schemas.openxmlformats.org/officeDocument/2006/relationships/hyperlink" Target="https://upload.wikimedia.org/wikipedia/commons/d/d9/Ca%C3%B1o_Cristales-Parque_Nacional_Natural_Sierra_de_la_Macarena-Colombia-4.jpg" TargetMode="External"/><Relationship Id="rId2352" Type="http://schemas.openxmlformats.org/officeDocument/2006/relationships/hyperlink" Target="https://maps.google.com/?q=4.594490,-74.070340" TargetMode="External"/><Relationship Id="rId3682" Type="http://schemas.openxmlformats.org/officeDocument/2006/relationships/hyperlink" Target="https://maps.google.com/?q=4.667750,-74.099940" TargetMode="External"/><Relationship Id="rId1022" Type="http://schemas.openxmlformats.org/officeDocument/2006/relationships/hyperlink" Target="https://commons.wikimedia.org/wiki/File:Ca%C3%B1o_Cristales-Parque_Nacional_Natural_Sierra_de_la_Macarena-Colombia-4.jpg" TargetMode="External"/><Relationship Id="rId2353" Type="http://schemas.openxmlformats.org/officeDocument/2006/relationships/hyperlink" Target="https://upload.wikimedia.org/wikipedia/commons/7/71/Fuego_de_Jard%C3%ADn.jpg" TargetMode="External"/><Relationship Id="rId3685" Type="http://schemas.openxmlformats.org/officeDocument/2006/relationships/hyperlink" Target="https://upload.wikimedia.org/wikipedia/commons/3/3b/Orqu%C3%ADdea_%28Gomphichis%29.jpg" TargetMode="External"/><Relationship Id="rId1023" Type="http://schemas.openxmlformats.org/officeDocument/2006/relationships/hyperlink" Target="https://maps.google.com/?q=2.264106,-73.794565" TargetMode="External"/><Relationship Id="rId2354" Type="http://schemas.openxmlformats.org/officeDocument/2006/relationships/hyperlink" Target="https://commons.wikimedia.org/wiki/File:Fuego_de_Jard%C3%ADn.jpg" TargetMode="External"/><Relationship Id="rId3684" Type="http://schemas.openxmlformats.org/officeDocument/2006/relationships/hyperlink" Target="https://commons.wikimedia.org/wiki/File:Orquidea_mayo_de_2026.jpg" TargetMode="External"/><Relationship Id="rId1024" Type="http://schemas.openxmlformats.org/officeDocument/2006/relationships/hyperlink" Target="https://upload.wikimedia.org/wikipedia/commons/e/ee/Ca%C3%B1o_Cristales-Parque_Nacional_Natural_Sierra_de_la_Macarena-Colombia-5.jpg" TargetMode="External"/><Relationship Id="rId2355" Type="http://schemas.openxmlformats.org/officeDocument/2006/relationships/hyperlink" Target="https://maps.google.com/?q=4.664552,-74.377688" TargetMode="External"/><Relationship Id="rId3687" Type="http://schemas.openxmlformats.org/officeDocument/2006/relationships/hyperlink" Target="https://upload.wikimedia.org/wikipedia/commons/6/6a/Orqu%C3%ADdea_%28Oncidium%29.jpg" TargetMode="External"/><Relationship Id="rId1025" Type="http://schemas.openxmlformats.org/officeDocument/2006/relationships/hyperlink" Target="https://commons.wikimedia.org/wiki/File:Ca%C3%B1o_Cristales-Parque_Nacional_Natural_Sierra_de_la_Macarena-Colombia-5.jpg" TargetMode="External"/><Relationship Id="rId2356" Type="http://schemas.openxmlformats.org/officeDocument/2006/relationships/hyperlink" Target="https://upload.wikimedia.org/wikipedia/commons/f/fe/F%C3%B3sil_de_Didymotis_sp._del_Grupo_Villeta.jpg" TargetMode="External"/><Relationship Id="rId3686" Type="http://schemas.openxmlformats.org/officeDocument/2006/relationships/hyperlink" Target="https://commons.wikimedia.org/wiki/File:Orqu%C3%ADdea_(Gomphichis).jpg" TargetMode="External"/><Relationship Id="rId5490" Type="http://schemas.openxmlformats.org/officeDocument/2006/relationships/hyperlink" Target="https://maps.google.com/?q=4.630000,-73.720000" TargetMode="External"/><Relationship Id="rId4161" Type="http://schemas.openxmlformats.org/officeDocument/2006/relationships/hyperlink" Target="https://commons.wikimedia.org/wiki/File:Pepino_silvestre.jpg" TargetMode="External"/><Relationship Id="rId5493" Type="http://schemas.openxmlformats.org/officeDocument/2006/relationships/hyperlink" Target="https://upload.wikimedia.org/wikipedia/commons/2/22/WLE2026_CO_-_Acantilado_del_bosque_de_niebla%2C_Chicaque_%2884%29.jpg" TargetMode="External"/><Relationship Id="rId4160" Type="http://schemas.openxmlformats.org/officeDocument/2006/relationships/hyperlink" Target="https://upload.wikimedia.org/wikipedia/commons/9/91/Pepino_silvestre.jpg" TargetMode="External"/><Relationship Id="rId5494" Type="http://schemas.openxmlformats.org/officeDocument/2006/relationships/hyperlink" Target="https://commons.wikimedia.org/wiki/File:WLE2026_CO_-_Acantilado_del_bosque_de_niebla,_Chicaque_(84).jpg" TargetMode="External"/><Relationship Id="rId4163" Type="http://schemas.openxmlformats.org/officeDocument/2006/relationships/hyperlink" Target="https://commons.wikimedia.org/wiki/File:Peque%C3%B1a,_pero_esencial.jpg" TargetMode="External"/><Relationship Id="rId5491" Type="http://schemas.openxmlformats.org/officeDocument/2006/relationships/hyperlink" Target="https://upload.wikimedia.org/wikipedia/commons/0/06/White-tailed_deer_%28Odocoileus_virginianus_goudotii%29_male_Chingaza_2.jpg" TargetMode="External"/><Relationship Id="rId4162" Type="http://schemas.openxmlformats.org/officeDocument/2006/relationships/hyperlink" Target="https://upload.wikimedia.org/wikipedia/commons/2/2f/Peque%C3%B1a%2C_pero_esencial.jpg" TargetMode="External"/><Relationship Id="rId5492" Type="http://schemas.openxmlformats.org/officeDocument/2006/relationships/hyperlink" Target="https://commons.wikimedia.org/wiki/File:White-tailed_deer_(Odocoileus_virginianus_goudotii)_male_Chingaza_2.jpg" TargetMode="External"/><Relationship Id="rId4165" Type="http://schemas.openxmlformats.org/officeDocument/2006/relationships/hyperlink" Target="https://commons.wikimedia.org/wiki/File:Peque%C3%B1a_transparencia_del_bosque.jpg" TargetMode="External"/><Relationship Id="rId5497" Type="http://schemas.openxmlformats.org/officeDocument/2006/relationships/hyperlink" Target="https://upload.wikimedia.org/wikipedia/commons/7/77/WLE2026_CO_-_Altiplano_cundiboyacense_cerca_de_la_Laguna_de_Guatavita_%285%29.jpg" TargetMode="External"/><Relationship Id="rId4164" Type="http://schemas.openxmlformats.org/officeDocument/2006/relationships/hyperlink" Target="https://upload.wikimedia.org/wikipedia/commons/b/b2/Peque%C3%B1a_transparencia_del_bosque.jpg" TargetMode="External"/><Relationship Id="rId5498" Type="http://schemas.openxmlformats.org/officeDocument/2006/relationships/hyperlink" Target="https://commons.wikimedia.org/wiki/File:WLE2026_CO_-_Altiplano_cundiboyacense_cerca_de_la_Laguna_de_Guatavita_(5).jpg" TargetMode="External"/><Relationship Id="rId4167" Type="http://schemas.openxmlformats.org/officeDocument/2006/relationships/hyperlink" Target="https://upload.wikimedia.org/wikipedia/commons/8/86/Peque%C3%B1o_Mono_Maicero.png" TargetMode="External"/><Relationship Id="rId5495" Type="http://schemas.openxmlformats.org/officeDocument/2006/relationships/hyperlink" Target="https://upload.wikimedia.org/wikipedia/commons/7/7f/WLE2026_CO_-_Acantilado_entre_niebla%2C_PNN_Chingaza_%2846%29.jpg" TargetMode="External"/><Relationship Id="rId4166" Type="http://schemas.openxmlformats.org/officeDocument/2006/relationships/hyperlink" Target="https://maps.google.com/?q=4.091467,-73.502273" TargetMode="External"/><Relationship Id="rId5496" Type="http://schemas.openxmlformats.org/officeDocument/2006/relationships/hyperlink" Target="https://commons.wikimedia.org/wiki/File:WLE2026_CO_-_Acantilado_entre_niebla,_PNN_Chingaza_(46).jpg" TargetMode="External"/><Relationship Id="rId4169" Type="http://schemas.openxmlformats.org/officeDocument/2006/relationships/hyperlink" Target="https://upload.wikimedia.org/wikipedia/commons/0/09/Peque%C3%B1os_guardianes.jpg" TargetMode="External"/><Relationship Id="rId4168" Type="http://schemas.openxmlformats.org/officeDocument/2006/relationships/hyperlink" Target="https://commons.wikimedia.org/wiki/File:Peque%C3%B1o_Mono_Maicero.png" TargetMode="External"/><Relationship Id="rId5499" Type="http://schemas.openxmlformats.org/officeDocument/2006/relationships/hyperlink" Target="https://upload.wikimedia.org/wikipedia/commons/c/c7/WLE2026_CO_-_Bosque_alto_andino_entre_nubes%2C_PNN_Chingaza_%2844%29.jpg" TargetMode="External"/><Relationship Id="rId4150" Type="http://schemas.openxmlformats.org/officeDocument/2006/relationships/hyperlink" Target="https://commons.wikimedia.org/wiki/File:Pelecanus_occidentalis_-_Santa_Marta,_Magdalena,_Colombia_-_24_Jun_2025_-_Diferoch_-_2.jpg" TargetMode="External"/><Relationship Id="rId5482" Type="http://schemas.openxmlformats.org/officeDocument/2006/relationships/hyperlink" Target="https://upload.wikimedia.org/wikipedia/commons/a/a7/Weinmannia_mariquitae%2C_Cunoniaceae%2C_flowering_branch_01.jpg" TargetMode="External"/><Relationship Id="rId5483" Type="http://schemas.openxmlformats.org/officeDocument/2006/relationships/hyperlink" Target="https://commons.wikimedia.org/wiki/File:Weinmannia_mariquitae,_Cunoniaceae,_flowering_branch_01.jpg" TargetMode="External"/><Relationship Id="rId4152" Type="http://schemas.openxmlformats.org/officeDocument/2006/relationships/hyperlink" Target="https://upload.wikimedia.org/wikipedia/commons/6/6f/Pelecanus_occidentalis_-_Santa_Marta%2C_Magdalena%2C_Colombia_-_24_Jun_2025_-_Diferoch_-_3.jpg" TargetMode="External"/><Relationship Id="rId5480" Type="http://schemas.openxmlformats.org/officeDocument/2006/relationships/hyperlink" Target="https://commons.wikimedia.org/wiki/File:Weathered_sandstone_boulders_on_an_eroded_hillside_near_Villa_de_Leyva,_2026.jpg" TargetMode="External"/><Relationship Id="rId4151" Type="http://schemas.openxmlformats.org/officeDocument/2006/relationships/hyperlink" Target="https://maps.google.com/?q=11.141598,-74.226943" TargetMode="External"/><Relationship Id="rId5481" Type="http://schemas.openxmlformats.org/officeDocument/2006/relationships/hyperlink" Target="https://maps.google.com/?q=4.169424,-74.168540" TargetMode="External"/><Relationship Id="rId4154" Type="http://schemas.openxmlformats.org/officeDocument/2006/relationships/hyperlink" Target="https://maps.google.com/?q=5.705548,-77.269982" TargetMode="External"/><Relationship Id="rId5486" Type="http://schemas.openxmlformats.org/officeDocument/2006/relationships/hyperlink" Target="https://commons.wikimedia.org/wiki/File:Weinmannia_mariquitae,_Cunoniaceae,_flowering_branch_02.jpg" TargetMode="External"/><Relationship Id="rId4153" Type="http://schemas.openxmlformats.org/officeDocument/2006/relationships/hyperlink" Target="https://commons.wikimedia.org/wiki/File:Pelecanus_occidentalis_-_Santa_Marta,_Magdalena,_Colombia_-_24_Jun_2025_-_Diferoch_-_3.jpg" TargetMode="External"/><Relationship Id="rId5487" Type="http://schemas.openxmlformats.org/officeDocument/2006/relationships/hyperlink" Target="https://maps.google.com/?q=4.169424,-74.168540" TargetMode="External"/><Relationship Id="rId4156" Type="http://schemas.openxmlformats.org/officeDocument/2006/relationships/hyperlink" Target="https://commons.wikimedia.org/wiki/File:Pelecanus_occidentalis_murphyi_-_Nuqu%C3%AD,_Choc%C3%B3,_Colombia_-_24_Oct_2025_-_Diferoch.jpg" TargetMode="External"/><Relationship Id="rId5484" Type="http://schemas.openxmlformats.org/officeDocument/2006/relationships/hyperlink" Target="https://maps.google.com/?q=4.169424,-74.168540" TargetMode="External"/><Relationship Id="rId4155" Type="http://schemas.openxmlformats.org/officeDocument/2006/relationships/hyperlink" Target="https://upload.wikimedia.org/wikipedia/commons/4/4b/Pelecanus_occidentalis_murphyi_-_Nuqu%C3%AD%2C_Choc%C3%B3%2C_Colombia_-_24_Oct_2025_-_Diferoch.jpg" TargetMode="External"/><Relationship Id="rId5485" Type="http://schemas.openxmlformats.org/officeDocument/2006/relationships/hyperlink" Target="https://upload.wikimedia.org/wikipedia/commons/c/c1/Weinmannia_mariquitae%2C_Cunoniaceae%2C_flowering_branch_02.jpg" TargetMode="External"/><Relationship Id="rId4158" Type="http://schemas.openxmlformats.org/officeDocument/2006/relationships/hyperlink" Target="https://commons.wikimedia.org/wiki/File:Pendientes_de_la_Reina_-_Aljaba_(Fuchsia_magellanica).jpg" TargetMode="External"/><Relationship Id="rId4157" Type="http://schemas.openxmlformats.org/officeDocument/2006/relationships/hyperlink" Target="https://upload.wikimedia.org/wikipedia/commons/5/57/Pendientes_de_la_Reina_-_Aljaba_%28Fuchsia_magellanica%29.jpg" TargetMode="External"/><Relationship Id="rId5488" Type="http://schemas.openxmlformats.org/officeDocument/2006/relationships/hyperlink" Target="https://upload.wikimedia.org/wikipedia/commons/9/92/Weinmannia_mariquitae%2C_Cunoniaceae%2C_flowering_branch_03.jpg" TargetMode="External"/><Relationship Id="rId4159" Type="http://schemas.openxmlformats.org/officeDocument/2006/relationships/hyperlink" Target="https://maps.google.com/?q=4.991258,-74.235886" TargetMode="External"/><Relationship Id="rId5489" Type="http://schemas.openxmlformats.org/officeDocument/2006/relationships/hyperlink" Target="https://commons.wikimedia.org/wiki/File:Weinmannia_mariquitae,_Cunoniaceae,_flowering_branch_03.jpg" TargetMode="External"/><Relationship Id="rId1910" Type="http://schemas.openxmlformats.org/officeDocument/2006/relationships/hyperlink" Target="https://upload.wikimedia.org/wikipedia/commons/6/6c/Elleanthus_reserva_Moravia.jpg" TargetMode="External"/><Relationship Id="rId1911" Type="http://schemas.openxmlformats.org/officeDocument/2006/relationships/hyperlink" Target="https://commons.wikimedia.org/wiki/File:Elleanthus_reserva_Moravia.jpg" TargetMode="External"/><Relationship Id="rId1912" Type="http://schemas.openxmlformats.org/officeDocument/2006/relationships/hyperlink" Target="https://upload.wikimedia.org/wikipedia/commons/2/2c/Embalse_San_Rafael_-_Sistema_Chingaza.jpg" TargetMode="External"/><Relationship Id="rId1913" Type="http://schemas.openxmlformats.org/officeDocument/2006/relationships/hyperlink" Target="https://commons.wikimedia.org/wiki/File:Embalse_San_Rafael_-_Sistema_Chingaza.jpg" TargetMode="External"/><Relationship Id="rId1914" Type="http://schemas.openxmlformats.org/officeDocument/2006/relationships/hyperlink" Target="https://upload.wikimedia.org/wikipedia/commons/3/3f/Embalse_San_Rafael_nature.jpg" TargetMode="External"/><Relationship Id="rId1915" Type="http://schemas.openxmlformats.org/officeDocument/2006/relationships/hyperlink" Target="https://commons.wikimedia.org/wiki/File:Embalse_San_Rafael_nature.jpg" TargetMode="External"/><Relationship Id="rId1916" Type="http://schemas.openxmlformats.org/officeDocument/2006/relationships/hyperlink" Target="https://upload.wikimedia.org/wikipedia/commons/4/46/Embalse_de_Chuza_en_Chingaza_01.jpg" TargetMode="External"/><Relationship Id="rId1917" Type="http://schemas.openxmlformats.org/officeDocument/2006/relationships/hyperlink" Target="https://commons.wikimedia.org/wiki/File:Embalse_de_Chuza_en_Chingaza_01.jpg" TargetMode="External"/><Relationship Id="rId1918" Type="http://schemas.openxmlformats.org/officeDocument/2006/relationships/hyperlink" Target="https://upload.wikimedia.org/wikipedia/commons/8/82/Embalse_de_Tomin%C3%A9%2C_Guatavita.jpg" TargetMode="External"/><Relationship Id="rId1919" Type="http://schemas.openxmlformats.org/officeDocument/2006/relationships/hyperlink" Target="https://commons.wikimedia.org/wiki/File:Embalse_de_Tomin%C3%A9,_Guatavita.jpg" TargetMode="External"/><Relationship Id="rId4181" Type="http://schemas.openxmlformats.org/officeDocument/2006/relationships/hyperlink" Target="https://upload.wikimedia.org/wikipedia/commons/a/aa/Perra_criolla_colombiana.jpg" TargetMode="External"/><Relationship Id="rId4180" Type="http://schemas.openxmlformats.org/officeDocument/2006/relationships/hyperlink" Target="https://commons.wikimedia.org/wiki/File:Perfil_de_Piaya_cayana_en_h%C3%A1bitat_boscoso.jpg" TargetMode="External"/><Relationship Id="rId4183" Type="http://schemas.openxmlformats.org/officeDocument/2006/relationships/hyperlink" Target="https://upload.wikimedia.org/wikipedia/commons/a/aa/Perspectiva_laguna_del_Amor.jpg" TargetMode="External"/><Relationship Id="rId4182" Type="http://schemas.openxmlformats.org/officeDocument/2006/relationships/hyperlink" Target="https://commons.wikimedia.org/wiki/File:Perra_criolla_colombiana.jpg" TargetMode="External"/><Relationship Id="rId4185" Type="http://schemas.openxmlformats.org/officeDocument/2006/relationships/hyperlink" Target="https://upload.wikimedia.org/wikipedia/commons/6/65/Perspectiva_tridimensional_de_los_laberintos_de_Cuzco.jpg" TargetMode="External"/><Relationship Id="rId4184" Type="http://schemas.openxmlformats.org/officeDocument/2006/relationships/hyperlink" Target="https://commons.wikimedia.org/wiki/File:Perspectiva_laguna_del_Amor.jpg" TargetMode="External"/><Relationship Id="rId4187" Type="http://schemas.openxmlformats.org/officeDocument/2006/relationships/hyperlink" Target="https://upload.wikimedia.org/wikipedia/commons/c/c9/Pescadora_y_canoas_tradicionales_a_orillas_del_R%C3%ADo_Magdalena.jpg" TargetMode="External"/><Relationship Id="rId4186" Type="http://schemas.openxmlformats.org/officeDocument/2006/relationships/hyperlink" Target="https://commons.wikimedia.org/wiki/File:Perspectiva_tridimensional_de_los_laberintos_de_Cuzco.jpg" TargetMode="External"/><Relationship Id="rId4189" Type="http://schemas.openxmlformats.org/officeDocument/2006/relationships/hyperlink" Target="https://upload.wikimedia.org/wikipedia/commons/b/b3/Phaethornis_guy_Macho.jpg" TargetMode="External"/><Relationship Id="rId4188" Type="http://schemas.openxmlformats.org/officeDocument/2006/relationships/hyperlink" Target="https://commons.wikimedia.org/wiki/File:Pescadora_y_canoas_tradicionales_a_orillas_del_R%C3%ADo_Magdalena.jpg" TargetMode="External"/><Relationship Id="rId1900" Type="http://schemas.openxmlformats.org/officeDocument/2006/relationships/hyperlink" Target="https://commons.wikimedia.org/wiki/File:El_trepador_de_los_Andes.jpg" TargetMode="External"/><Relationship Id="rId1901" Type="http://schemas.openxmlformats.org/officeDocument/2006/relationships/hyperlink" Target="https://upload.wikimedia.org/wikipedia/commons/2/2d/El_verde_de_Termales_el_sif%C3%B3n.jpg" TargetMode="External"/><Relationship Id="rId1902" Type="http://schemas.openxmlformats.org/officeDocument/2006/relationships/hyperlink" Target="https://commons.wikimedia.org/wiki/File:El_verde_de_Termales_el_sif%C3%B3n.jpg" TargetMode="External"/><Relationship Id="rId1903" Type="http://schemas.openxmlformats.org/officeDocument/2006/relationships/hyperlink" Target="https://upload.wikimedia.org/wikipedia/commons/1/16/Elefante_en_la_Hacienda_N%C3%A1poles.jpg" TargetMode="External"/><Relationship Id="rId1904" Type="http://schemas.openxmlformats.org/officeDocument/2006/relationships/hyperlink" Target="https://commons.wikimedia.org/wiki/File:Elefante_en_la_Hacienda_N%C3%A1poles.jpg" TargetMode="External"/><Relationship Id="rId1905" Type="http://schemas.openxmlformats.org/officeDocument/2006/relationships/hyperlink" Target="https://upload.wikimedia.org/wikipedia/commons/d/d9/Elegancia_arb%C3%B3rea.jpg" TargetMode="External"/><Relationship Id="rId1906" Type="http://schemas.openxmlformats.org/officeDocument/2006/relationships/hyperlink" Target="https://commons.wikimedia.org/wiki/File:Elegancia_arb%C3%B3rea.jpg" TargetMode="External"/><Relationship Id="rId1907" Type="http://schemas.openxmlformats.org/officeDocument/2006/relationships/hyperlink" Target="https://upload.wikimedia.org/wikipedia/commons/f/fa/Elettaria_%28Zingiberaceae%29.jpg" TargetMode="External"/><Relationship Id="rId1908" Type="http://schemas.openxmlformats.org/officeDocument/2006/relationships/hyperlink" Target="https://commons.wikimedia.org/wiki/File:Elettaria_(Zingiberaceae).jpg" TargetMode="External"/><Relationship Id="rId1909" Type="http://schemas.openxmlformats.org/officeDocument/2006/relationships/hyperlink" Target="https://maps.google.com/?q=4.860950,-74.344986" TargetMode="External"/><Relationship Id="rId4170" Type="http://schemas.openxmlformats.org/officeDocument/2006/relationships/hyperlink" Target="https://commons.wikimedia.org/wiki/File:Peque%C3%B1os_guardianes.jpg" TargetMode="External"/><Relationship Id="rId4172" Type="http://schemas.openxmlformats.org/officeDocument/2006/relationships/hyperlink" Target="https://commons.wikimedia.org/wiki/File:Perfil_de_Aglaiocercus_kingii_en_h%C3%A1bitat_boscoso.jpg" TargetMode="External"/><Relationship Id="rId4171" Type="http://schemas.openxmlformats.org/officeDocument/2006/relationships/hyperlink" Target="https://upload.wikimedia.org/wikipedia/commons/c/c1/Perfil_de_Aglaiocercus_kingii_en_h%C3%A1bitat_boscoso.jpg" TargetMode="External"/><Relationship Id="rId4174" Type="http://schemas.openxmlformats.org/officeDocument/2006/relationships/hyperlink" Target="https://commons.wikimedia.org/wiki/File:Perfil_de_Aulacorhynchus_albivitta_en_h%C3%A1bitat_boscoso.jpg" TargetMode="External"/><Relationship Id="rId4173" Type="http://schemas.openxmlformats.org/officeDocument/2006/relationships/hyperlink" Target="https://upload.wikimedia.org/wikipedia/commons/1/10/Perfil_de_Aulacorhynchus_albivitta_en_h%C3%A1bitat_boscoso.jpg" TargetMode="External"/><Relationship Id="rId4176" Type="http://schemas.openxmlformats.org/officeDocument/2006/relationships/hyperlink" Target="https://commons.wikimedia.org/wiki/File:Perfil_de_Chamaepetes_goudotii_en_h%C3%A1bitat_boscoso.jpg" TargetMode="External"/><Relationship Id="rId4175" Type="http://schemas.openxmlformats.org/officeDocument/2006/relationships/hyperlink" Target="https://upload.wikimedia.org/wikipedia/commons/8/8e/Perfil_de_Chamaepetes_goudotii_en_h%C3%A1bitat_boscoso.jpg" TargetMode="External"/><Relationship Id="rId4178" Type="http://schemas.openxmlformats.org/officeDocument/2006/relationships/hyperlink" Target="https://commons.wikimedia.org/wiki/File:Perfil_de_Elaenia_pallatangae_en_h%C3%A1bitat_boscoso.jpg" TargetMode="External"/><Relationship Id="rId4177" Type="http://schemas.openxmlformats.org/officeDocument/2006/relationships/hyperlink" Target="https://upload.wikimedia.org/wikipedia/commons/f/f0/Perfil_de_Elaenia_pallatangae_en_h%C3%A1bitat_boscoso.jpg" TargetMode="External"/><Relationship Id="rId4179" Type="http://schemas.openxmlformats.org/officeDocument/2006/relationships/hyperlink" Target="https://upload.wikimedia.org/wikipedia/commons/7/7f/Perfil_de_Piaya_cayana_en_h%C3%A1bitat_boscoso.jpg" TargetMode="External"/><Relationship Id="rId4129" Type="http://schemas.openxmlformats.org/officeDocument/2006/relationships/hyperlink" Target="https://commons.wikimedia.org/wiki/File:Pava_Andina.jpg" TargetMode="External"/><Relationship Id="rId4128" Type="http://schemas.openxmlformats.org/officeDocument/2006/relationships/hyperlink" Target="https://upload.wikimedia.org/wikipedia/commons/f/f5/Pava_Andina.jpg" TargetMode="External"/><Relationship Id="rId5459" Type="http://schemas.openxmlformats.org/officeDocument/2006/relationships/hyperlink" Target="https://commons.wikimedia.org/wiki/File:Vocalizaci%C3%B3n_territorial_de_Cistothorus_platensis_en_h%C3%A1bitat_boscoso.jpg" TargetMode="External"/><Relationship Id="rId1090" Type="http://schemas.openxmlformats.org/officeDocument/2006/relationships/hyperlink" Target="https://upload.wikimedia.org/wikipedia/commons/b/b0/Centinela_del_bosque_seco_Mimus_gilvus_sobre_cactus_card%C3%B3n_en_la_Tatacoa.jpg" TargetMode="External"/><Relationship Id="rId1091" Type="http://schemas.openxmlformats.org/officeDocument/2006/relationships/hyperlink" Target="https://commons.wikimedia.org/wiki/File:Centinela_del_bosque_seco_Mimus_gilvus_sobre_cactus_card%C3%B3n_en_la_Tatacoa.jpg" TargetMode="External"/><Relationship Id="rId1092" Type="http://schemas.openxmlformats.org/officeDocument/2006/relationships/hyperlink" Target="https://upload.wikimedia.org/wikipedia/commons/f/f0/Centinelas_del_campo.jpg" TargetMode="External"/><Relationship Id="rId5450" Type="http://schemas.openxmlformats.org/officeDocument/2006/relationships/hyperlink" Target="https://upload.wikimedia.org/wikipedia/commons/a/a4/Viuda_Negra.jpg" TargetMode="External"/><Relationship Id="rId1093" Type="http://schemas.openxmlformats.org/officeDocument/2006/relationships/hyperlink" Target="https://commons.wikimedia.org/wiki/File:Centinelas_del_campo.jpg" TargetMode="External"/><Relationship Id="rId1094" Type="http://schemas.openxmlformats.org/officeDocument/2006/relationships/hyperlink" Target="https://upload.wikimedia.org/wikipedia/commons/3/38/CHICAMOCHA_NATIONAL_PARK.jpg" TargetMode="External"/><Relationship Id="rId1095" Type="http://schemas.openxmlformats.org/officeDocument/2006/relationships/hyperlink" Target="https://commons.wikimedia.org/wiki/File:CHICAMOCHA_NATIONAL_PARK.jpg" TargetMode="External"/><Relationship Id="rId4121" Type="http://schemas.openxmlformats.org/officeDocument/2006/relationships/hyperlink" Target="https://upload.wikimedia.org/wikipedia/commons/7/77/Patr%C3%B3n_de_erosi%C3%B3n_pluvial_en_el_sector_de_Cuzco.jpg" TargetMode="External"/><Relationship Id="rId5453" Type="http://schemas.openxmlformats.org/officeDocument/2006/relationships/hyperlink" Target="https://commons.wikimedia.org/wiki/File:Viudita_blanca_y_negra_Ca%C3%B1averles,_La_Guajra.jpg" TargetMode="External"/><Relationship Id="rId1096" Type="http://schemas.openxmlformats.org/officeDocument/2006/relationships/hyperlink" Target="https://upload.wikimedia.org/wikipedia/commons/a/a0/Centro_hist%C3%B3rico_nocturno_cartagena.jpg" TargetMode="External"/><Relationship Id="rId4120" Type="http://schemas.openxmlformats.org/officeDocument/2006/relationships/hyperlink" Target="https://commons.wikimedia.org/wiki/File:Pato_silb%C3%B3n_(Dendrocygna_autumnalis)_fotografiado_en_el_departamento_de_Casanare,_Colombia.jpg" TargetMode="External"/><Relationship Id="rId5454" Type="http://schemas.openxmlformats.org/officeDocument/2006/relationships/hyperlink" Target="https://upload.wikimedia.org/wikipedia/commons/b/be/Vi%C3%B1edo_en_Colombia.jpg" TargetMode="External"/><Relationship Id="rId1097" Type="http://schemas.openxmlformats.org/officeDocument/2006/relationships/hyperlink" Target="https://commons.wikimedia.org/wiki/File:Centro_hist%C3%B3rico_nocturno_cartagena.jpg" TargetMode="External"/><Relationship Id="rId4123" Type="http://schemas.openxmlformats.org/officeDocument/2006/relationships/hyperlink" Target="https://upload.wikimedia.org/wikipedia/commons/0/07/Patr%C3%B3n_geomorfol%C3%B3gico_de_un_r%C3%ADo_de_meandros_en_Sumapaz.jpg" TargetMode="External"/><Relationship Id="rId5451" Type="http://schemas.openxmlformats.org/officeDocument/2006/relationships/hyperlink" Target="https://commons.wikimedia.org/wiki/File:Viuda_Negra.jpg" TargetMode="External"/><Relationship Id="rId1098" Type="http://schemas.openxmlformats.org/officeDocument/2006/relationships/hyperlink" Target="https://maps.google.com/?q=4.667750,-74.099944" TargetMode="External"/><Relationship Id="rId4122" Type="http://schemas.openxmlformats.org/officeDocument/2006/relationships/hyperlink" Target="https://commons.wikimedia.org/wiki/File:Patr%C3%B3n_de_erosi%C3%B3n_pluvial_en_el_sector_de_Cuzco.jpg" TargetMode="External"/><Relationship Id="rId5452" Type="http://schemas.openxmlformats.org/officeDocument/2006/relationships/hyperlink" Target="https://upload.wikimedia.org/wikipedia/commons/7/70/Viudita_blanca_y_negra_Ca%C3%B1averles%2C_La_Guajra.jpg" TargetMode="External"/><Relationship Id="rId1099" Type="http://schemas.openxmlformats.org/officeDocument/2006/relationships/hyperlink" Target="https://upload.wikimedia.org/wikipedia/commons/0/01/Cereus_Hilmannianus.jpg" TargetMode="External"/><Relationship Id="rId4125" Type="http://schemas.openxmlformats.org/officeDocument/2006/relationships/hyperlink" Target="https://upload.wikimedia.org/wikipedia/commons/0/0a/Patr%C3%B3n_natural_de_un_bosque_de_frailejones_en_el_Ruiz.jpg" TargetMode="External"/><Relationship Id="rId5457" Type="http://schemas.openxmlformats.org/officeDocument/2006/relationships/hyperlink" Target="https://commons.wikimedia.org/wiki/File:Vi%C3%B1edos_en_La_Uni%C3%B3n,_Valle_del_Cauca.jpg" TargetMode="External"/><Relationship Id="rId4124" Type="http://schemas.openxmlformats.org/officeDocument/2006/relationships/hyperlink" Target="https://commons.wikimedia.org/wiki/File:Patr%C3%B3n_geomorfol%C3%B3gico_de_un_r%C3%ADo_de_meandros_en_Sumapaz.jpg" TargetMode="External"/><Relationship Id="rId5458" Type="http://schemas.openxmlformats.org/officeDocument/2006/relationships/hyperlink" Target="https://upload.wikimedia.org/wikipedia/commons/2/2a/Vocalizaci%C3%B3n_territorial_de_Cistothorus_platensis_en_h%C3%A1bitat_boscoso.jpg" TargetMode="External"/><Relationship Id="rId4127" Type="http://schemas.openxmlformats.org/officeDocument/2006/relationships/hyperlink" Target="https://maps.google.com/?q=6.226906,-75.640814" TargetMode="External"/><Relationship Id="rId5455" Type="http://schemas.openxmlformats.org/officeDocument/2006/relationships/hyperlink" Target="https://commons.wikimedia.org/wiki/File:Vi%C3%B1edo_en_Colombia.jpg" TargetMode="External"/><Relationship Id="rId4126" Type="http://schemas.openxmlformats.org/officeDocument/2006/relationships/hyperlink" Target="https://commons.wikimedia.org/wiki/File:Patr%C3%B3n_natural_de_un_bosque_de_frailejones_en_el_Ruiz.jpg" TargetMode="External"/><Relationship Id="rId5456" Type="http://schemas.openxmlformats.org/officeDocument/2006/relationships/hyperlink" Target="https://upload.wikimedia.org/wikipedia/commons/1/16/Vi%C3%B1edos_en_La_Uni%C3%B3n%2C_Valle_del_Cauca.jpg" TargetMode="External"/><Relationship Id="rId4118" Type="http://schemas.openxmlformats.org/officeDocument/2006/relationships/hyperlink" Target="https://commons.wikimedia.org/wiki/File:PEQUE%C3%91A_PALMA.jpg" TargetMode="External"/><Relationship Id="rId4117" Type="http://schemas.openxmlformats.org/officeDocument/2006/relationships/hyperlink" Target="https://upload.wikimedia.org/wikipedia/commons/8/86/PEQUE%C3%91A_PALMA.jpg" TargetMode="External"/><Relationship Id="rId5448" Type="http://schemas.openxmlformats.org/officeDocument/2006/relationships/hyperlink" Target="https://upload.wikimedia.org/wikipedia/commons/c/cb/Vitoria_regia_%28amaz%C3%B3nica%29.jpg" TargetMode="External"/><Relationship Id="rId4119" Type="http://schemas.openxmlformats.org/officeDocument/2006/relationships/hyperlink" Target="https://upload.wikimedia.org/wikipedia/commons/4/44/Pato_silb%C3%B3n_%28Dendrocygna_autumnalis%29_fotografiado_en_el_departamento_de_Casanare%2C_Colombia.jpg" TargetMode="External"/><Relationship Id="rId5449" Type="http://schemas.openxmlformats.org/officeDocument/2006/relationships/hyperlink" Target="https://commons.wikimedia.org/wiki/File:Vitoria_regia_(amaz%C3%B3nica).jpg" TargetMode="External"/><Relationship Id="rId1080" Type="http://schemas.openxmlformats.org/officeDocument/2006/relationships/hyperlink" Target="https://upload.wikimedia.org/wikipedia/commons/8/8b/Ceiba_3.jpg" TargetMode="External"/><Relationship Id="rId1081" Type="http://schemas.openxmlformats.org/officeDocument/2006/relationships/hyperlink" Target="https://commons.wikimedia.org/wiki/File:Ceiba_3.jpg" TargetMode="External"/><Relationship Id="rId1082" Type="http://schemas.openxmlformats.org/officeDocument/2006/relationships/hyperlink" Target="https://upload.wikimedia.org/wikipedia/commons/a/ad/Ceiba_Ibague.jpg" TargetMode="External"/><Relationship Id="rId1083" Type="http://schemas.openxmlformats.org/officeDocument/2006/relationships/hyperlink" Target="https://commons.wikimedia.org/wiki/File:Ceiba_Ibague.jpg" TargetMode="External"/><Relationship Id="rId1084" Type="http://schemas.openxmlformats.org/officeDocument/2006/relationships/hyperlink" Target="https://maps.google.com/?q=4.667750,-74.099944" TargetMode="External"/><Relationship Id="rId4110" Type="http://schemas.openxmlformats.org/officeDocument/2006/relationships/hyperlink" Target="https://commons.wikimedia.org/wiki/File:Pastizal_de_Mosquera.jpg" TargetMode="External"/><Relationship Id="rId5442" Type="http://schemas.openxmlformats.org/officeDocument/2006/relationships/hyperlink" Target="https://upload.wikimedia.org/wikipedia/commons/2/26/Vistas_desde_la_plaza.jpg" TargetMode="External"/><Relationship Id="rId1085" Type="http://schemas.openxmlformats.org/officeDocument/2006/relationships/hyperlink" Target="https://upload.wikimedia.org/wikipedia/commons/3/3e/Ceiba_amarilla.jpg" TargetMode="External"/><Relationship Id="rId5443" Type="http://schemas.openxmlformats.org/officeDocument/2006/relationships/hyperlink" Target="https://commons.wikimedia.org/wiki/File:Vistas_desde_la_plaza.jpg" TargetMode="External"/><Relationship Id="rId1086" Type="http://schemas.openxmlformats.org/officeDocument/2006/relationships/hyperlink" Target="https://commons.wikimedia.org/wiki/File:Ceiba_amarilla.jpg" TargetMode="External"/><Relationship Id="rId4112" Type="http://schemas.openxmlformats.org/officeDocument/2006/relationships/hyperlink" Target="https://commons.wikimedia.org/wiki/File:Patagonia_argentina.jpg" TargetMode="External"/><Relationship Id="rId5440" Type="http://schemas.openxmlformats.org/officeDocument/2006/relationships/hyperlink" Target="https://commons.wikimedia.org/wiki/File:Vistas_boyacenses.jpg" TargetMode="External"/><Relationship Id="rId1087" Type="http://schemas.openxmlformats.org/officeDocument/2006/relationships/hyperlink" Target="https://maps.google.com/?q=4.667750,-74.099944" TargetMode="External"/><Relationship Id="rId4111" Type="http://schemas.openxmlformats.org/officeDocument/2006/relationships/hyperlink" Target="https://upload.wikimedia.org/wikipedia/commons/2/2b/Patagonia_argentina.jpg" TargetMode="External"/><Relationship Id="rId5441" Type="http://schemas.openxmlformats.org/officeDocument/2006/relationships/hyperlink" Target="https://maps.google.com/?q=5.634014,-73.523697" TargetMode="External"/><Relationship Id="rId1088" Type="http://schemas.openxmlformats.org/officeDocument/2006/relationships/hyperlink" Target="https://upload.wikimedia.org/wikipedia/commons/7/79/Ceiba_amarilla2.jpg" TargetMode="External"/><Relationship Id="rId4114" Type="http://schemas.openxmlformats.org/officeDocument/2006/relationships/hyperlink" Target="https://commons.wikimedia.org/wiki/File:Pato_Criollo.jpg" TargetMode="External"/><Relationship Id="rId5446" Type="http://schemas.openxmlformats.org/officeDocument/2006/relationships/hyperlink" Target="https://commons.wikimedia.org/wiki/File:Vistazo_a_la_Isla_Gorgonilla.jpg" TargetMode="External"/><Relationship Id="rId1089" Type="http://schemas.openxmlformats.org/officeDocument/2006/relationships/hyperlink" Target="https://commons.wikimedia.org/wiki/File:Ceiba_amarilla2.jpg" TargetMode="External"/><Relationship Id="rId4113" Type="http://schemas.openxmlformats.org/officeDocument/2006/relationships/hyperlink" Target="https://upload.wikimedia.org/wikipedia/commons/3/32/Pato_Criollo.jpg" TargetMode="External"/><Relationship Id="rId5447" Type="http://schemas.openxmlformats.org/officeDocument/2006/relationships/hyperlink" Target="https://maps.google.com/?q=4.667814,-74.099953" TargetMode="External"/><Relationship Id="rId4116" Type="http://schemas.openxmlformats.org/officeDocument/2006/relationships/hyperlink" Target="https://commons.wikimedia.org/wiki/File:Pato_silb%C3%B3n_(Dendrocygna_autumnalis)_fotografiado_en_el_departamento_de_Casanare,_Colombia_(cropped).jpg" TargetMode="External"/><Relationship Id="rId5444" Type="http://schemas.openxmlformats.org/officeDocument/2006/relationships/hyperlink" Target="https://maps.google.com/?q=2.944734,-78.198383" TargetMode="External"/><Relationship Id="rId4115" Type="http://schemas.openxmlformats.org/officeDocument/2006/relationships/hyperlink" Target="https://upload.wikimedia.org/wikipedia/commons/0/00/Pato_silb%C3%B3n_%28Dendrocygna_autumnalis%29_fotografiado_en_el_departamento_de_Casanare%2C_Colombia_%28cropped%29.jpg" TargetMode="External"/><Relationship Id="rId5445" Type="http://schemas.openxmlformats.org/officeDocument/2006/relationships/hyperlink" Target="https://upload.wikimedia.org/wikipedia/commons/5/59/Vistazo_a_la_Isla_Gorgonilla.jpg" TargetMode="External"/><Relationship Id="rId5471" Type="http://schemas.openxmlformats.org/officeDocument/2006/relationships/hyperlink" Target="https://commons.wikimedia.org/wiki/File:Wasp_nest_in_Plinio_Purpurata.jpg" TargetMode="External"/><Relationship Id="rId5472" Type="http://schemas.openxmlformats.org/officeDocument/2006/relationships/hyperlink" Target="https://maps.google.com/?q=5.375900,-7.331320" TargetMode="External"/><Relationship Id="rId4141" Type="http://schemas.openxmlformats.org/officeDocument/2006/relationships/hyperlink" Target="https://commons.wikimedia.org/wiki/File:Pedo_de_lobo_(Lycoperdon_sp.).jpg" TargetMode="External"/><Relationship Id="rId4140" Type="http://schemas.openxmlformats.org/officeDocument/2006/relationships/hyperlink" Target="https://upload.wikimedia.org/wikipedia/commons/7/7e/Pedo_de_lobo_%28Lycoperdon_sp.%29.jpg" TargetMode="External"/><Relationship Id="rId5470" Type="http://schemas.openxmlformats.org/officeDocument/2006/relationships/hyperlink" Target="https://upload.wikimedia.org/wikipedia/commons/1/17/Wasp_nest_in_Plinio_Purpurata.jpg" TargetMode="External"/><Relationship Id="rId4143" Type="http://schemas.openxmlformats.org/officeDocument/2006/relationships/hyperlink" Target="https://upload.wikimedia.org/wikipedia/commons/0/0c/Pelargonium_en_Jard%C3%ADn_Botanico.jpg" TargetMode="External"/><Relationship Id="rId5475" Type="http://schemas.openxmlformats.org/officeDocument/2006/relationships/hyperlink" Target="https://upload.wikimedia.org/wikipedia/commons/3/35/Wax_Palms_in_the_Cocora_Valley%2C_2025.jpg" TargetMode="External"/><Relationship Id="rId4142" Type="http://schemas.openxmlformats.org/officeDocument/2006/relationships/hyperlink" Target="https://maps.google.com/?q=4.667880,-74.099779" TargetMode="External"/><Relationship Id="rId5476" Type="http://schemas.openxmlformats.org/officeDocument/2006/relationships/hyperlink" Target="https://commons.wikimedia.org/wiki/File:Wax_Palms_in_the_Cocora_Valley,_2025.jpg" TargetMode="External"/><Relationship Id="rId4145" Type="http://schemas.openxmlformats.org/officeDocument/2006/relationships/hyperlink" Target="https://maps.google.com/?q=11.141583,-74.226852" TargetMode="External"/><Relationship Id="rId5473" Type="http://schemas.openxmlformats.org/officeDocument/2006/relationships/hyperlink" Target="https://upload.wikimedia.org/wikipedia/commons/b/b3/Waterlily_or_lotus.jpg" TargetMode="External"/><Relationship Id="rId4144" Type="http://schemas.openxmlformats.org/officeDocument/2006/relationships/hyperlink" Target="https://commons.wikimedia.org/wiki/File:Pelargonium_en_Jard%C3%ADn_Botanico.jpg" TargetMode="External"/><Relationship Id="rId5474" Type="http://schemas.openxmlformats.org/officeDocument/2006/relationships/hyperlink" Target="https://commons.wikimedia.org/wiki/File:Waterlily_or_lotus.jpg" TargetMode="External"/><Relationship Id="rId4147" Type="http://schemas.openxmlformats.org/officeDocument/2006/relationships/hyperlink" Target="https://commons.wikimedia.org/wiki/File:Pelecanus_occidentalis_-_Santa_Marta,_Magdalena,_Colombia_-_24_Jun_2025_-_Diferoch_-_1.jpg" TargetMode="External"/><Relationship Id="rId5479" Type="http://schemas.openxmlformats.org/officeDocument/2006/relationships/hyperlink" Target="https://upload.wikimedia.org/wikipedia/commons/c/c8/Weathered_sandstone_boulders_on_an_eroded_hillside_near_Villa_de_Leyva%2C_2026.jpg" TargetMode="External"/><Relationship Id="rId4146" Type="http://schemas.openxmlformats.org/officeDocument/2006/relationships/hyperlink" Target="https://upload.wikimedia.org/wikipedia/commons/6/6c/Pelecanus_occidentalis_-_Santa_Marta%2C_Magdalena%2C_Colombia_-_24_Jun_2025_-_Diferoch_-_1.jpg" TargetMode="External"/><Relationship Id="rId4149" Type="http://schemas.openxmlformats.org/officeDocument/2006/relationships/hyperlink" Target="https://upload.wikimedia.org/wikipedia/commons/5/5d/Pelecanus_occidentalis_-_Santa_Marta%2C_Magdalena%2C_Colombia_-_24_Jun_2025_-_Diferoch_-_2.jpg" TargetMode="External"/><Relationship Id="rId5477" Type="http://schemas.openxmlformats.org/officeDocument/2006/relationships/hyperlink" Target="https://upload.wikimedia.org/wikipedia/commons/7/70/Wearing_Colombia_Colors.jpg" TargetMode="External"/><Relationship Id="rId4148" Type="http://schemas.openxmlformats.org/officeDocument/2006/relationships/hyperlink" Target="https://maps.google.com/?q=11.141598,-74.226943" TargetMode="External"/><Relationship Id="rId5478" Type="http://schemas.openxmlformats.org/officeDocument/2006/relationships/hyperlink" Target="https://commons.wikimedia.org/wiki/File:Wearing_Colombia_Colors.jpg" TargetMode="External"/><Relationship Id="rId4139" Type="http://schemas.openxmlformats.org/officeDocument/2006/relationships/hyperlink" Target="https://maps.google.com/?q=4.575927,-74.047900" TargetMode="External"/><Relationship Id="rId5460" Type="http://schemas.openxmlformats.org/officeDocument/2006/relationships/hyperlink" Target="https://upload.wikimedia.org/wikipedia/commons/0/04/Vuelo_esmeralda.jpg" TargetMode="External"/><Relationship Id="rId5461" Type="http://schemas.openxmlformats.org/officeDocument/2006/relationships/hyperlink" Target="https://commons.wikimedia.org/wiki/File:Vuelo_esmeralda.jpg" TargetMode="External"/><Relationship Id="rId4130" Type="http://schemas.openxmlformats.org/officeDocument/2006/relationships/hyperlink" Target="https://upload.wikimedia.org/wikipedia/commons/3/3f/Pavo_Real_Colombiano.jpg" TargetMode="External"/><Relationship Id="rId4132" Type="http://schemas.openxmlformats.org/officeDocument/2006/relationships/hyperlink" Target="https://upload.wikimedia.org/wikipedia/commons/b/ba/Pavo_real_de_la_India.png" TargetMode="External"/><Relationship Id="rId5464" Type="http://schemas.openxmlformats.org/officeDocument/2006/relationships/hyperlink" Target="https://upload.wikimedia.org/wikipedia/commons/2/2d/V%C3%ADa_L%C3%A1ctea_sobre_el_horizonte_de_la_Tatacoa.jpg" TargetMode="External"/><Relationship Id="rId4131" Type="http://schemas.openxmlformats.org/officeDocument/2006/relationships/hyperlink" Target="https://commons.wikimedia.org/wiki/File:Pavo_Real_Colombiano.jpg" TargetMode="External"/><Relationship Id="rId5465" Type="http://schemas.openxmlformats.org/officeDocument/2006/relationships/hyperlink" Target="https://commons.wikimedia.org/wiki/File:V%C3%ADa_L%C3%A1ctea_sobre_el_horizonte_de_la_Tatacoa.jpg" TargetMode="External"/><Relationship Id="rId4134" Type="http://schemas.openxmlformats.org/officeDocument/2006/relationships/hyperlink" Target="https://maps.google.com/?q=4.360644,-74.335404" TargetMode="External"/><Relationship Id="rId5462" Type="http://schemas.openxmlformats.org/officeDocument/2006/relationships/hyperlink" Target="https://upload.wikimedia.org/wikipedia/commons/4/45/Vuelo_hacia_el_n%C3%A9ctar_de_vida.jpg" TargetMode="External"/><Relationship Id="rId4133" Type="http://schemas.openxmlformats.org/officeDocument/2006/relationships/hyperlink" Target="https://commons.wikimedia.org/wiki/File:Pavo_real_de_la_India.png" TargetMode="External"/><Relationship Id="rId5463" Type="http://schemas.openxmlformats.org/officeDocument/2006/relationships/hyperlink" Target="https://commons.wikimedia.org/wiki/File:Vuelo_hacia_el_n%C3%A9ctar_de_vida.jpg" TargetMode="External"/><Relationship Id="rId4136" Type="http://schemas.openxmlformats.org/officeDocument/2006/relationships/hyperlink" Target="https://commons.wikimedia.org/wiki/File:Payador_canela_(Diglossa_sittoides)_en_Paque_Verde_Y_Agua,_Fusagasug%C3%A1,_(Cundinamarca).jpg" TargetMode="External"/><Relationship Id="rId5468" Type="http://schemas.openxmlformats.org/officeDocument/2006/relationships/hyperlink" Target="https://upload.wikimedia.org/wikipedia/commons/e/ed/Walking_toward_paradise_in_Palomino.jpg" TargetMode="External"/><Relationship Id="rId4135" Type="http://schemas.openxmlformats.org/officeDocument/2006/relationships/hyperlink" Target="https://upload.wikimedia.org/wikipedia/commons/b/b4/Payador_canela_%28Diglossa_sittoides%29_en_Paque_Verde_Y_Agua%2C_Fusagasug%C3%A1%2C_%28Cundinamarca%29.jpg" TargetMode="External"/><Relationship Id="rId5469" Type="http://schemas.openxmlformats.org/officeDocument/2006/relationships/hyperlink" Target="https://commons.wikimedia.org/wiki/File:Walking_toward_paradise_in_Palomino.jpg" TargetMode="External"/><Relationship Id="rId4138" Type="http://schemas.openxmlformats.org/officeDocument/2006/relationships/hyperlink" Target="https://commons.wikimedia.org/wiki/File:Paz_con_la_naturaleza.jpg" TargetMode="External"/><Relationship Id="rId5466" Type="http://schemas.openxmlformats.org/officeDocument/2006/relationships/hyperlink" Target="https://upload.wikimedia.org/wikipedia/commons/4/4a/Wajira_Beaches.jpg" TargetMode="External"/><Relationship Id="rId4137" Type="http://schemas.openxmlformats.org/officeDocument/2006/relationships/hyperlink" Target="https://upload.wikimedia.org/wikipedia/commons/a/a7/Paz_con_la_naturaleza.jpg" TargetMode="External"/><Relationship Id="rId5467" Type="http://schemas.openxmlformats.org/officeDocument/2006/relationships/hyperlink" Target="https://commons.wikimedia.org/wiki/File:Wajira_Beaches.jpg" TargetMode="External"/><Relationship Id="rId1972" Type="http://schemas.openxmlformats.org/officeDocument/2006/relationships/hyperlink" Target="https://maps.google.com/?q=5.953556,-75.155795" TargetMode="External"/><Relationship Id="rId1973" Type="http://schemas.openxmlformats.org/officeDocument/2006/relationships/hyperlink" Target="https://upload.wikimedia.org/wikipedia/commons/f/f6/Eremurus_stenophyllus.jpg" TargetMode="External"/><Relationship Id="rId1974" Type="http://schemas.openxmlformats.org/officeDocument/2006/relationships/hyperlink" Target="https://commons.wikimedia.org/wiki/File:Eremurus_stenophyllus.jpg" TargetMode="External"/><Relationship Id="rId1975" Type="http://schemas.openxmlformats.org/officeDocument/2006/relationships/hyperlink" Target="https://maps.google.com/?q=6.369967,-72.318475" TargetMode="External"/><Relationship Id="rId1976" Type="http://schemas.openxmlformats.org/officeDocument/2006/relationships/hyperlink" Target="https://upload.wikimedia.org/wikipedia/commons/e/e7/Erigon.jpg" TargetMode="External"/><Relationship Id="rId1977" Type="http://schemas.openxmlformats.org/officeDocument/2006/relationships/hyperlink" Target="https://commons.wikimedia.org/wiki/File:Erigon.jpg" TargetMode="External"/><Relationship Id="rId1978" Type="http://schemas.openxmlformats.org/officeDocument/2006/relationships/hyperlink" Target="https://upload.wikimedia.org/wikipedia/commons/d/de/Eristalis_sp._hoverfly_on_Achillea_flowers.jpg" TargetMode="External"/><Relationship Id="rId1979" Type="http://schemas.openxmlformats.org/officeDocument/2006/relationships/hyperlink" Target="https://commons.wikimedia.org/wiki/File:Eristalis_sp._hoverfly_on_Achillea_flowers.jpg" TargetMode="External"/><Relationship Id="rId1970" Type="http://schemas.openxmlformats.org/officeDocument/2006/relationships/hyperlink" Target="https://upload.wikimedia.org/wikipedia/commons/4/4f/Equino_dom%C3%A9stico_en_la_zona_de_amortiguaci%C3%B3n_del_Nevado_del_Ruiz.jpg" TargetMode="External"/><Relationship Id="rId1971" Type="http://schemas.openxmlformats.org/officeDocument/2006/relationships/hyperlink" Target="https://commons.wikimedia.org/wiki/File:Equino_dom%C3%A9stico_en_la_zona_de_amortiguaci%C3%B3n_del_Nevado_del_Ruiz.jpg" TargetMode="External"/><Relationship Id="rId1961" Type="http://schemas.openxmlformats.org/officeDocument/2006/relationships/hyperlink" Target="https://maps.google.com/?q=4.669437,-74.097702" TargetMode="External"/><Relationship Id="rId1962" Type="http://schemas.openxmlformats.org/officeDocument/2006/relationships/hyperlink" Target="https://upload.wikimedia.org/wikipedia/commons/9/99/Epifitismo_en_%C3%A1rbol.jpg" TargetMode="External"/><Relationship Id="rId1963" Type="http://schemas.openxmlformats.org/officeDocument/2006/relationships/hyperlink" Target="https://commons.wikimedia.org/wiki/File:Epifitismo_en_%C3%A1rbol.jpg" TargetMode="External"/><Relationship Id="rId1964" Type="http://schemas.openxmlformats.org/officeDocument/2006/relationships/hyperlink" Target="https://maps.google.com/?q=4.700031,-74.360916" TargetMode="External"/><Relationship Id="rId1965" Type="http://schemas.openxmlformats.org/officeDocument/2006/relationships/hyperlink" Target="https://upload.wikimedia.org/wikipedia/commons/a/ae/Epilachna_sp._en_Bojac%C3%A1%2C_COL.jpg" TargetMode="External"/><Relationship Id="rId1966" Type="http://schemas.openxmlformats.org/officeDocument/2006/relationships/hyperlink" Target="https://commons.wikimedia.org/wiki/File:Epilachna_sp._en_Bojac%C3%A1,_COL.jpg" TargetMode="External"/><Relationship Id="rId1967" Type="http://schemas.openxmlformats.org/officeDocument/2006/relationships/hyperlink" Target="https://maps.google.com/?q=4.700031,-74.360916" TargetMode="External"/><Relationship Id="rId1968" Type="http://schemas.openxmlformats.org/officeDocument/2006/relationships/hyperlink" Target="https://upload.wikimedia.org/wikipedia/commons/c/c8/Epilachna_sp._en_Bojac%C3%A1%2C_Colombia.jpg" TargetMode="External"/><Relationship Id="rId1969" Type="http://schemas.openxmlformats.org/officeDocument/2006/relationships/hyperlink" Target="https://commons.wikimedia.org/wiki/File:Epilachna_sp._en_Bojac%C3%A1,_Colombia.jpg" TargetMode="External"/><Relationship Id="rId1960" Type="http://schemas.openxmlformats.org/officeDocument/2006/relationships/hyperlink" Target="https://commons.wikimedia.org/wiki/File:Epifitismo_1.jpg" TargetMode="External"/><Relationship Id="rId1994" Type="http://schemas.openxmlformats.org/officeDocument/2006/relationships/hyperlink" Target="https://maps.google.com/?q=4.968432,-74.322032" TargetMode="External"/><Relationship Id="rId1995" Type="http://schemas.openxmlformats.org/officeDocument/2006/relationships/hyperlink" Target="https://upload.wikimedia.org/wikipedia/commons/e/e4/Escarabajo_de_hoja_de_menta_azul.jpg" TargetMode="External"/><Relationship Id="rId1996" Type="http://schemas.openxmlformats.org/officeDocument/2006/relationships/hyperlink" Target="https://commons.wikimedia.org/wiki/File:Escarabajo_de_hoja_de_menta_azul.jpg" TargetMode="External"/><Relationship Id="rId1997" Type="http://schemas.openxmlformats.org/officeDocument/2006/relationships/hyperlink" Target="https://upload.wikimedia.org/wikipedia/commons/a/a5/Escarabajo_de_hoja_de_menta_azul_%2871827%29.jpg" TargetMode="External"/><Relationship Id="rId1998" Type="http://schemas.openxmlformats.org/officeDocument/2006/relationships/hyperlink" Target="https://commons.wikimedia.org/wiki/File:Escarabajo_de_hoja_de_menta_azul_(71827).jpg" TargetMode="External"/><Relationship Id="rId1999" Type="http://schemas.openxmlformats.org/officeDocument/2006/relationships/hyperlink" Target="https://upload.wikimedia.org/wikipedia/commons/c/c5/Escarabajo_longuicornio.jpg" TargetMode="External"/><Relationship Id="rId1990" Type="http://schemas.openxmlformats.org/officeDocument/2006/relationships/hyperlink" Target="https://commons.wikimedia.org/wiki/File:Escarabajo_(Euchroma_gigantea).jpg" TargetMode="External"/><Relationship Id="rId1991" Type="http://schemas.openxmlformats.org/officeDocument/2006/relationships/hyperlink" Target="https://maps.google.com/?q=4.325333,-75.834167" TargetMode="External"/><Relationship Id="rId1992" Type="http://schemas.openxmlformats.org/officeDocument/2006/relationships/hyperlink" Target="https://upload.wikimedia.org/wikipedia/commons/e/e9/Escarabajo_Tenebrionidae.jpg" TargetMode="External"/><Relationship Id="rId1993" Type="http://schemas.openxmlformats.org/officeDocument/2006/relationships/hyperlink" Target="https://commons.wikimedia.org/wiki/File:Escarabajo_Tenebrionidae.jpg" TargetMode="External"/><Relationship Id="rId1983" Type="http://schemas.openxmlformats.org/officeDocument/2006/relationships/hyperlink" Target="https://commons.wikimedia.org/wiki/File:Escala_natural_en_los_laberintos_sobre_el_Desierto_de_la_Tatacoa.jpg" TargetMode="External"/><Relationship Id="rId1984" Type="http://schemas.openxmlformats.org/officeDocument/2006/relationships/hyperlink" Target="https://upload.wikimedia.org/wikipedia/commons/b/b7/Escalada_de_P._tarsius.jpg" TargetMode="External"/><Relationship Id="rId1985" Type="http://schemas.openxmlformats.org/officeDocument/2006/relationships/hyperlink" Target="https://commons.wikimedia.org/wiki/File:Escalada_de_P._tarsius.jpg" TargetMode="External"/><Relationship Id="rId1986" Type="http://schemas.openxmlformats.org/officeDocument/2006/relationships/hyperlink" Target="https://maps.google.com/?q=4.984191,-74.278295" TargetMode="External"/><Relationship Id="rId1987" Type="http://schemas.openxmlformats.org/officeDocument/2006/relationships/hyperlink" Target="https://upload.wikimedia.org/wikipedia/commons/e/eb/Escarabajo_%2888516%29.jpg" TargetMode="External"/><Relationship Id="rId1988" Type="http://schemas.openxmlformats.org/officeDocument/2006/relationships/hyperlink" Target="https://commons.wikimedia.org/wiki/File:Escarabajo_(88516).jpg" TargetMode="External"/><Relationship Id="rId1989" Type="http://schemas.openxmlformats.org/officeDocument/2006/relationships/hyperlink" Target="https://upload.wikimedia.org/wikipedia/commons/0/0a/Escarabajo_%28Euchroma_gigantea%29.jpg" TargetMode="External"/><Relationship Id="rId1980" Type="http://schemas.openxmlformats.org/officeDocument/2006/relationships/hyperlink" Target="https://upload.wikimedia.org/wikipedia/commons/1/1e/Eroded_hillside_landscape_with_exposed_clay_strata_near_Villa_de_Leyva%2C_2026.jpg" TargetMode="External"/><Relationship Id="rId1981" Type="http://schemas.openxmlformats.org/officeDocument/2006/relationships/hyperlink" Target="https://commons.wikimedia.org/wiki/File:Eroded_hillside_landscape_with_exposed_clay_strata_near_Villa_de_Leyva,_2026.jpg" TargetMode="External"/><Relationship Id="rId1982" Type="http://schemas.openxmlformats.org/officeDocument/2006/relationships/hyperlink" Target="https://upload.wikimedia.org/wikipedia/commons/b/b5/Escala_natural_en_los_laberintos_sobre_el_Desierto_de_la_Tatacoa.jpg" TargetMode="External"/><Relationship Id="rId1930" Type="http://schemas.openxmlformats.org/officeDocument/2006/relationships/hyperlink" Target="https://commons.wikimedia.org/wiki/File:En_la_cima_de_Bogot%C3%A1.jpg" TargetMode="External"/><Relationship Id="rId1931" Type="http://schemas.openxmlformats.org/officeDocument/2006/relationships/hyperlink" Target="https://upload.wikimedia.org/wikipedia/commons/2/2a/En_lejan%C3%ADa.jpg" TargetMode="External"/><Relationship Id="rId1932" Type="http://schemas.openxmlformats.org/officeDocument/2006/relationships/hyperlink" Target="https://commons.wikimedia.org/wiki/File:En_lejan%C3%ADa.jpg" TargetMode="External"/><Relationship Id="rId1933" Type="http://schemas.openxmlformats.org/officeDocument/2006/relationships/hyperlink" Target="https://upload.wikimedia.org/wikipedia/commons/9/92/En_medio_del_bosque.jpg" TargetMode="External"/><Relationship Id="rId1934" Type="http://schemas.openxmlformats.org/officeDocument/2006/relationships/hyperlink" Target="https://commons.wikimedia.org/wiki/File:En_medio_del_bosque.jpg" TargetMode="External"/><Relationship Id="rId1935" Type="http://schemas.openxmlformats.org/officeDocument/2006/relationships/hyperlink" Target="https://maps.google.com/?q=4.172187,-74.146794" TargetMode="External"/><Relationship Id="rId1936" Type="http://schemas.openxmlformats.org/officeDocument/2006/relationships/hyperlink" Target="https://upload.wikimedia.org/wikipedia/commons/a/a2/Enamorados_2.jpg" TargetMode="External"/><Relationship Id="rId1937" Type="http://schemas.openxmlformats.org/officeDocument/2006/relationships/hyperlink" Target="https://commons.wikimedia.org/wiki/File:Enamorados_2.jpg" TargetMode="External"/><Relationship Id="rId1938" Type="http://schemas.openxmlformats.org/officeDocument/2006/relationships/hyperlink" Target="https://upload.wikimedia.org/wikipedia/commons/9/9e/Entangled_in_paradise_at_Quebrada_Valencia.jpg" TargetMode="External"/><Relationship Id="rId1939" Type="http://schemas.openxmlformats.org/officeDocument/2006/relationships/hyperlink" Target="https://commons.wikimedia.org/wiki/File:Entangled_in_paradise_at_Quebrada_Valencia.jpg" TargetMode="External"/><Relationship Id="rId1920" Type="http://schemas.openxmlformats.org/officeDocument/2006/relationships/hyperlink" Target="https://maps.google.com/?q=4.934418,-73.842360" TargetMode="External"/><Relationship Id="rId1921" Type="http://schemas.openxmlformats.org/officeDocument/2006/relationships/hyperlink" Target="https://upload.wikimedia.org/wikipedia/commons/7/70/Embalse_de_Tomin%C3%A9%2C_Guatavita_2024.jpg" TargetMode="External"/><Relationship Id="rId1922" Type="http://schemas.openxmlformats.org/officeDocument/2006/relationships/hyperlink" Target="https://commons.wikimedia.org/wiki/File:Embalse_de_Tomin%C3%A9,_Guatavita_2024.jpg" TargetMode="External"/><Relationship Id="rId1923" Type="http://schemas.openxmlformats.org/officeDocument/2006/relationships/hyperlink" Target="https://maps.google.com/?q=5.16943311,-73.95256042" TargetMode="External"/><Relationship Id="rId1924" Type="http://schemas.openxmlformats.org/officeDocument/2006/relationships/hyperlink" Target="https://upload.wikimedia.org/wikipedia/commons/c/ce/Embalse_de_tomin%C3%A9.jpg" TargetMode="External"/><Relationship Id="rId1925" Type="http://schemas.openxmlformats.org/officeDocument/2006/relationships/hyperlink" Target="https://commons.wikimedia.org/wiki/File:Embalse_de_tomin%C3%A9.jpg" TargetMode="External"/><Relationship Id="rId1926" Type="http://schemas.openxmlformats.org/officeDocument/2006/relationships/hyperlink" Target="https://maps.google.com/?q=4.96035289,-73.82216642" TargetMode="External"/><Relationship Id="rId1927" Type="http://schemas.openxmlformats.org/officeDocument/2006/relationships/hyperlink" Target="https://upload.wikimedia.org/wikipedia/commons/d/d2/Embalse_de_tomin%C3%A9_%28_con_pasta_y_camarones%29.jpg" TargetMode="External"/><Relationship Id="rId1928" Type="http://schemas.openxmlformats.org/officeDocument/2006/relationships/hyperlink" Target="https://commons.wikimedia.org/wiki/File:Embalse_de_tomin%C3%A9_(_con_pasta_y_camarones).jpg" TargetMode="External"/><Relationship Id="rId1929" Type="http://schemas.openxmlformats.org/officeDocument/2006/relationships/hyperlink" Target="https://upload.wikimedia.org/wikipedia/commons/e/ee/En_la_cima_de_Bogot%C3%A1.jpg" TargetMode="External"/><Relationship Id="rId4190" Type="http://schemas.openxmlformats.org/officeDocument/2006/relationships/hyperlink" Target="https://commons.wikimedia.org/wiki/File:Phaethornis_guy_Macho.jpg" TargetMode="External"/><Relationship Id="rId4192" Type="http://schemas.openxmlformats.org/officeDocument/2006/relationships/hyperlink" Target="https://commons.wikimedia.org/wiki/File:Pheucticus_aureoventris_en_paisaje_antropizado_con_infraestructura_el%C3%A9ctrica.jpg" TargetMode="External"/><Relationship Id="rId4191" Type="http://schemas.openxmlformats.org/officeDocument/2006/relationships/hyperlink" Target="https://upload.wikimedia.org/wikipedia/commons/2/25/Pheucticus_aureoventris_en_paisaje_antropizado_con_infraestructura_el%C3%A9ctrica.jpg" TargetMode="External"/><Relationship Id="rId4194" Type="http://schemas.openxmlformats.org/officeDocument/2006/relationships/hyperlink" Target="https://commons.wikimedia.org/wiki/File:Photinia_(Rosaceae).jpg" TargetMode="External"/><Relationship Id="rId4193" Type="http://schemas.openxmlformats.org/officeDocument/2006/relationships/hyperlink" Target="https://upload.wikimedia.org/wikipedia/commons/b/bf/Photinia_%28Rosaceae%29.jpg" TargetMode="External"/><Relationship Id="rId4196" Type="http://schemas.openxmlformats.org/officeDocument/2006/relationships/hyperlink" Target="https://upload.wikimedia.org/wikipedia/commons/4/4c/Phyllomedusa_venusta_2026.jpg" TargetMode="External"/><Relationship Id="rId4195" Type="http://schemas.openxmlformats.org/officeDocument/2006/relationships/hyperlink" Target="https://maps.google.com/?q=5.862240,-74.870470" TargetMode="External"/><Relationship Id="rId4198" Type="http://schemas.openxmlformats.org/officeDocument/2006/relationships/hyperlink" Target="https://maps.google.com/?q=7.096085,-73.756287" TargetMode="External"/><Relationship Id="rId4197" Type="http://schemas.openxmlformats.org/officeDocument/2006/relationships/hyperlink" Target="https://commons.wikimedia.org/wiki/File:Phyllomedusa_venusta_2026.jpg" TargetMode="External"/><Relationship Id="rId4199" Type="http://schemas.openxmlformats.org/officeDocument/2006/relationships/hyperlink" Target="https://upload.wikimedia.org/wikipedia/commons/8/89/Phyllostomus_hastatus_-_Barrancabermeja%2C_Santander%2C_Colombia_-_14_Jun_2026_-_Diferoch.jpg" TargetMode="External"/><Relationship Id="rId1950" Type="http://schemas.openxmlformats.org/officeDocument/2006/relationships/hyperlink" Target="https://upload.wikimedia.org/wikipedia/commons/3/30/Entre_p%C3%A1ramos_Colombianos.jpg" TargetMode="External"/><Relationship Id="rId1951" Type="http://schemas.openxmlformats.org/officeDocument/2006/relationships/hyperlink" Target="https://commons.wikimedia.org/wiki/File:Entre_p%C3%A1ramos_Colombianos.jpg" TargetMode="External"/><Relationship Id="rId1952" Type="http://schemas.openxmlformats.org/officeDocument/2006/relationships/hyperlink" Target="https://upload.wikimedia.org/wikipedia/commons/e/ea/Entre_sombras_del_bosque.jpg" TargetMode="External"/><Relationship Id="rId1953" Type="http://schemas.openxmlformats.org/officeDocument/2006/relationships/hyperlink" Target="https://commons.wikimedia.org/wiki/File:Entre_sombras_del_bosque.jpg" TargetMode="External"/><Relationship Id="rId1954" Type="http://schemas.openxmlformats.org/officeDocument/2006/relationships/hyperlink" Target="https://upload.wikimedia.org/wikipedia/commons/b/b2/Epidendrum_arachnoglossum_28%2C06%2C26_P%C3%A1ramo_de_Belmira.jpg" TargetMode="External"/><Relationship Id="rId1955" Type="http://schemas.openxmlformats.org/officeDocument/2006/relationships/hyperlink" Target="https://commons.wikimedia.org/wiki/File:Epidendrum_arachnoglossum_28,06,26_P%C3%A1ramo_de_Belmira.jpg" TargetMode="External"/><Relationship Id="rId1956" Type="http://schemas.openxmlformats.org/officeDocument/2006/relationships/hyperlink" Target="https://upload.wikimedia.org/wikipedia/commons/6/65/Epidendrum_radicans_Bojac%C3%A1.jpg" TargetMode="External"/><Relationship Id="rId1957" Type="http://schemas.openxmlformats.org/officeDocument/2006/relationships/hyperlink" Target="https://commons.wikimedia.org/wiki/File:Epidendrum_radicans_Bojac%C3%A1.jpg" TargetMode="External"/><Relationship Id="rId1958" Type="http://schemas.openxmlformats.org/officeDocument/2006/relationships/hyperlink" Target="https://maps.google.com/?q=4.667750,-74.099944" TargetMode="External"/><Relationship Id="rId1959" Type="http://schemas.openxmlformats.org/officeDocument/2006/relationships/hyperlink" Target="https://upload.wikimedia.org/wikipedia/commons/3/32/Epifitismo_1.jpg" TargetMode="External"/><Relationship Id="rId1940" Type="http://schemas.openxmlformats.org/officeDocument/2006/relationships/hyperlink" Target="https://upload.wikimedia.org/wikipedia/commons/e/e4/Entre_Flores_y_Horizonte.jpg" TargetMode="External"/><Relationship Id="rId1941" Type="http://schemas.openxmlformats.org/officeDocument/2006/relationships/hyperlink" Target="https://commons.wikimedia.org/wiki/File:Entre_Flores_y_Horizonte.jpg" TargetMode="External"/><Relationship Id="rId1942" Type="http://schemas.openxmlformats.org/officeDocument/2006/relationships/hyperlink" Target="https://upload.wikimedia.org/wikipedia/commons/c/c0/Entre_aguas_y_monta%C3%B1as_santandereanas.jpg" TargetMode="External"/><Relationship Id="rId1943" Type="http://schemas.openxmlformats.org/officeDocument/2006/relationships/hyperlink" Target="https://commons.wikimedia.org/wiki/File:Entre_aguas_y_monta%C3%B1as_santandereanas.jpg" TargetMode="External"/><Relationship Id="rId1944" Type="http://schemas.openxmlformats.org/officeDocument/2006/relationships/hyperlink" Target="https://upload.wikimedia.org/wikipedia/commons/f/fe/Entre_bigotes_y_flores.jpg" TargetMode="External"/><Relationship Id="rId1945" Type="http://schemas.openxmlformats.org/officeDocument/2006/relationships/hyperlink" Target="https://commons.wikimedia.org/wiki/File:Entre_bigotes_y_flores.jpg" TargetMode="External"/><Relationship Id="rId1946" Type="http://schemas.openxmlformats.org/officeDocument/2006/relationships/hyperlink" Target="https://maps.google.com/?q=4.883333,-75.316667" TargetMode="External"/><Relationship Id="rId1947" Type="http://schemas.openxmlformats.org/officeDocument/2006/relationships/hyperlink" Target="https://upload.wikimedia.org/wikipedia/commons/a/ac/Entre_monta%C3%B1as_frias.jpg" TargetMode="External"/><Relationship Id="rId1948" Type="http://schemas.openxmlformats.org/officeDocument/2006/relationships/hyperlink" Target="https://commons.wikimedia.org/wiki/File:Entre_monta%C3%B1as_frias.jpg" TargetMode="External"/><Relationship Id="rId1949" Type="http://schemas.openxmlformats.org/officeDocument/2006/relationships/hyperlink" Target="https://maps.google.com/?q=4.932139,-75.324708" TargetMode="External"/><Relationship Id="rId2423" Type="http://schemas.openxmlformats.org/officeDocument/2006/relationships/hyperlink" Target="https://commons.wikimedia.org/wiki/File:Grillo_posado_en_una_hoja.jpg" TargetMode="External"/><Relationship Id="rId3755" Type="http://schemas.openxmlformats.org/officeDocument/2006/relationships/hyperlink" Target="https://upload.wikimedia.org/wikipedia/commons/9/9c/Otro_d%C3%ADa_normal.jpg" TargetMode="External"/><Relationship Id="rId2424" Type="http://schemas.openxmlformats.org/officeDocument/2006/relationships/hyperlink" Target="https://upload.wikimedia.org/wikipedia/commons/f/fb/Grillo_posando_en_una_hoja.jpg" TargetMode="External"/><Relationship Id="rId3754" Type="http://schemas.openxmlformats.org/officeDocument/2006/relationships/hyperlink" Target="https://maps.google.com/?q=8.071933,-74.786572" TargetMode="External"/><Relationship Id="rId2425" Type="http://schemas.openxmlformats.org/officeDocument/2006/relationships/hyperlink" Target="https://commons.wikimedia.org/wiki/File:Grillo_posando_en_una_hoja.jpg" TargetMode="External"/><Relationship Id="rId3757" Type="http://schemas.openxmlformats.org/officeDocument/2006/relationships/hyperlink" Target="https://maps.google.com/?q=5.625032,-77.420753" TargetMode="External"/><Relationship Id="rId2426" Type="http://schemas.openxmlformats.org/officeDocument/2006/relationships/hyperlink" Target="https://upload.wikimedia.org/wikipedia/commons/c/cf/Grupo_de_Spinus_magellanicus_en_vegetaci%C3%B3n_arbustiva.jpg" TargetMode="External"/><Relationship Id="rId3756" Type="http://schemas.openxmlformats.org/officeDocument/2006/relationships/hyperlink" Target="https://commons.wikimedia.org/wiki/File:Otro_d%C3%ADa_normal.jpg" TargetMode="External"/><Relationship Id="rId2427" Type="http://schemas.openxmlformats.org/officeDocument/2006/relationships/hyperlink" Target="https://commons.wikimedia.org/wiki/File:Grupo_de_Spinus_magellanicus_en_vegetaci%C3%B3n_arbustiva.jpg" TargetMode="External"/><Relationship Id="rId3759" Type="http://schemas.openxmlformats.org/officeDocument/2006/relationships/hyperlink" Target="https://commons.wikimedia.org/wiki/File:Pacific_Ocean_-_Nuqu%C3%AD,_Choc%C3%B3,_Colombia_-_22_Oct_2025_-_Diferoch.jpg" TargetMode="External"/><Relationship Id="rId2428" Type="http://schemas.openxmlformats.org/officeDocument/2006/relationships/hyperlink" Target="https://upload.wikimedia.org/wikipedia/commons/d/dd/Grupo_de_flores_p%C3%BArpuras.jpg" TargetMode="External"/><Relationship Id="rId3758" Type="http://schemas.openxmlformats.org/officeDocument/2006/relationships/hyperlink" Target="https://upload.wikimedia.org/wikipedia/commons/0/0e/Pacific_Ocean_-_Nuqu%C3%AD%2C_Choc%C3%B3%2C_Colombia_-_22_Oct_2025_-_Diferoch.jpg" TargetMode="External"/><Relationship Id="rId2429" Type="http://schemas.openxmlformats.org/officeDocument/2006/relationships/hyperlink" Target="https://commons.wikimedia.org/wiki/File:Grupo_de_flores_p%C3%BArpuras.jpg" TargetMode="External"/><Relationship Id="rId509" Type="http://schemas.openxmlformats.org/officeDocument/2006/relationships/hyperlink" Target="https://upload.wikimedia.org/wikipedia/commons/d/dd/Avifauna_Cienaga_de_Malambo_02.webp" TargetMode="External"/><Relationship Id="rId508" Type="http://schemas.openxmlformats.org/officeDocument/2006/relationships/hyperlink" Target="https://commons.wikimedia.org/wiki/File:Avifauna_Cienaga_de_Malambo_01.jpg" TargetMode="External"/><Relationship Id="rId503" Type="http://schemas.openxmlformats.org/officeDocument/2006/relationships/hyperlink" Target="https://upload.wikimedia.org/wikipedia/commons/5/5a/Aves_urbanas.jpg" TargetMode="External"/><Relationship Id="rId502" Type="http://schemas.openxmlformats.org/officeDocument/2006/relationships/hyperlink" Target="https://commons.wikimedia.org/wiki/File:Aves_de_Cali.jpg" TargetMode="External"/><Relationship Id="rId501" Type="http://schemas.openxmlformats.org/officeDocument/2006/relationships/hyperlink" Target="https://upload.wikimedia.org/wikipedia/commons/2/2e/Aves_de_Cali.jpg" TargetMode="External"/><Relationship Id="rId500" Type="http://schemas.openxmlformats.org/officeDocument/2006/relationships/hyperlink" Target="https://commons.wikimedia.org/wiki/File:Ave_ribere%C3%B1a_en_el_ecosistema_del_R%C3%ADo_Magdalena.jpg" TargetMode="External"/><Relationship Id="rId507" Type="http://schemas.openxmlformats.org/officeDocument/2006/relationships/hyperlink" Target="https://upload.wikimedia.org/wikipedia/commons/6/6f/Avifauna_Cienaga_de_Malambo_01.jpg" TargetMode="External"/><Relationship Id="rId506" Type="http://schemas.openxmlformats.org/officeDocument/2006/relationships/hyperlink" Target="https://commons.wikimedia.org/wiki/File:Avicultura_de_peque%C3%B1a_escala_en_el_entorno_rural_del_Magdalena.jpg" TargetMode="External"/><Relationship Id="rId505" Type="http://schemas.openxmlformats.org/officeDocument/2006/relationships/hyperlink" Target="https://upload.wikimedia.org/wikipedia/commons/a/a4/Avicultura_de_peque%C3%B1a_escala_en_el_entorno_rural_del_Magdalena.jpg" TargetMode="External"/><Relationship Id="rId504" Type="http://schemas.openxmlformats.org/officeDocument/2006/relationships/hyperlink" Target="https://commons.wikimedia.org/wiki/File:Aves_urbanas.jpg" TargetMode="External"/><Relationship Id="rId3751" Type="http://schemas.openxmlformats.org/officeDocument/2006/relationships/hyperlink" Target="https://maps.google.com/?q=8.072294,-74.786069" TargetMode="External"/><Relationship Id="rId2420" Type="http://schemas.openxmlformats.org/officeDocument/2006/relationships/hyperlink" Target="https://upload.wikimedia.org/wikipedia/commons/a/a9/Grillo_%2839545%29.jpg" TargetMode="External"/><Relationship Id="rId3750" Type="http://schemas.openxmlformats.org/officeDocument/2006/relationships/hyperlink" Target="https://commons.wikimedia.org/wiki/File:Orugas.jpg" TargetMode="External"/><Relationship Id="rId2421" Type="http://schemas.openxmlformats.org/officeDocument/2006/relationships/hyperlink" Target="https://commons.wikimedia.org/wiki/File:Grillo_(39545).jpg" TargetMode="External"/><Relationship Id="rId3753" Type="http://schemas.openxmlformats.org/officeDocument/2006/relationships/hyperlink" Target="https://commons.wikimedia.org/wiki/File:Otro_d%C3%ADa.jpg" TargetMode="External"/><Relationship Id="rId2422" Type="http://schemas.openxmlformats.org/officeDocument/2006/relationships/hyperlink" Target="https://upload.wikimedia.org/wikipedia/commons/3/3d/Grillo_posado_en_una_hoja.jpg" TargetMode="External"/><Relationship Id="rId3752" Type="http://schemas.openxmlformats.org/officeDocument/2006/relationships/hyperlink" Target="https://upload.wikimedia.org/wikipedia/commons/1/14/Otro_d%C3%ADa.jpg" TargetMode="External"/><Relationship Id="rId2412" Type="http://schemas.openxmlformats.org/officeDocument/2006/relationships/hyperlink" Target="https://commons.wikimedia.org/wiki/File:Gota_de_agua_2026.jpg" TargetMode="External"/><Relationship Id="rId3744" Type="http://schemas.openxmlformats.org/officeDocument/2006/relationships/hyperlink" Target="https://commons.wikimedia.org/wiki/File:Oruga_de_polilla_cesta_de_oro.jpg" TargetMode="External"/><Relationship Id="rId2413" Type="http://schemas.openxmlformats.org/officeDocument/2006/relationships/hyperlink" Target="https://maps.google.com/?q=5.070000,-75.440000" TargetMode="External"/><Relationship Id="rId3743" Type="http://schemas.openxmlformats.org/officeDocument/2006/relationships/hyperlink" Target="https://upload.wikimedia.org/wikipedia/commons/a/a3/Oruga_de_polilla_cesta_de_oro.jpg" TargetMode="External"/><Relationship Id="rId2414" Type="http://schemas.openxmlformats.org/officeDocument/2006/relationships/hyperlink" Target="https://upload.wikimedia.org/wikipedia/commons/e/e0/Green-and-black_fruiteater_%28Pipreola_riefferii_riefferii%29_Caldas_2.jpg" TargetMode="External"/><Relationship Id="rId3746" Type="http://schemas.openxmlformats.org/officeDocument/2006/relationships/hyperlink" Target="https://upload.wikimedia.org/wikipedia/commons/d/d1/Oruga_en_San_Francisco%2C_Cundinamarca.jpg" TargetMode="External"/><Relationship Id="rId2415" Type="http://schemas.openxmlformats.org/officeDocument/2006/relationships/hyperlink" Target="https://commons.wikimedia.org/wiki/File:Green-and-black_fruiteater_(Pipreola_riefferii_riefferii)_Caldas_2.jpg" TargetMode="External"/><Relationship Id="rId3745" Type="http://schemas.openxmlformats.org/officeDocument/2006/relationships/hyperlink" Target="https://maps.google.com/?q=4.972394,-74.290662" TargetMode="External"/><Relationship Id="rId2416" Type="http://schemas.openxmlformats.org/officeDocument/2006/relationships/hyperlink" Target="https://maps.google.com/?q=5.020000,-75.360000" TargetMode="External"/><Relationship Id="rId3748" Type="http://schemas.openxmlformats.org/officeDocument/2006/relationships/hyperlink" Target="https://maps.google.com/?q=4.976074,-74.295378" TargetMode="External"/><Relationship Id="rId2417" Type="http://schemas.openxmlformats.org/officeDocument/2006/relationships/hyperlink" Target="https://upload.wikimedia.org/wikipedia/commons/a/ae/Grey-breasted_mountain_toucan_%28Andigena_hypoglauca%29_Caldas_5.jpg" TargetMode="External"/><Relationship Id="rId3747" Type="http://schemas.openxmlformats.org/officeDocument/2006/relationships/hyperlink" Target="https://commons.wikimedia.org/wiki/File:Oruga_en_San_Francisco,_Cundinamarca.jpg" TargetMode="External"/><Relationship Id="rId2418" Type="http://schemas.openxmlformats.org/officeDocument/2006/relationships/hyperlink" Target="https://commons.wikimedia.org/wiki/File:Grey-breasted_mountain_toucan_(Andigena_hypoglauca)_Caldas_5.jpg" TargetMode="External"/><Relationship Id="rId2419" Type="http://schemas.openxmlformats.org/officeDocument/2006/relationships/hyperlink" Target="https://maps.google.com/?q=4.330608,-75.845553" TargetMode="External"/><Relationship Id="rId3749" Type="http://schemas.openxmlformats.org/officeDocument/2006/relationships/hyperlink" Target="https://upload.wikimedia.org/wikipedia/commons/7/70/Orugas.jpg" TargetMode="External"/><Relationship Id="rId3740" Type="http://schemas.openxmlformats.org/officeDocument/2006/relationships/hyperlink" Target="https://upload.wikimedia.org/wikipedia/commons/8/8e/Oruga_Paipa.jpg" TargetMode="External"/><Relationship Id="rId2410" Type="http://schemas.openxmlformats.org/officeDocument/2006/relationships/hyperlink" Target="https://commons.wikimedia.org/wiki/File:Gordonia_en_la_reserva_el_gualiv%C3%A1.jpg" TargetMode="External"/><Relationship Id="rId3742" Type="http://schemas.openxmlformats.org/officeDocument/2006/relationships/hyperlink" Target="https://maps.google.com/?q=2.494485,-72.636197" TargetMode="External"/><Relationship Id="rId2411" Type="http://schemas.openxmlformats.org/officeDocument/2006/relationships/hyperlink" Target="https://upload.wikimedia.org/wikipedia/commons/2/23/Gota_de_agua_2026.jpg" TargetMode="External"/><Relationship Id="rId3741" Type="http://schemas.openxmlformats.org/officeDocument/2006/relationships/hyperlink" Target="https://commons.wikimedia.org/wiki/File:Oruga_Paipa.jpg" TargetMode="External"/><Relationship Id="rId1114" Type="http://schemas.openxmlformats.org/officeDocument/2006/relationships/hyperlink" Target="https://commons.wikimedia.org/wiki/File:Cerros_Mavicure,_Pajarito_y_El_Mono.jpg" TargetMode="External"/><Relationship Id="rId2445" Type="http://schemas.openxmlformats.org/officeDocument/2006/relationships/hyperlink" Target="https://upload.wikimedia.org/wikipedia/commons/2/27/Guajira_Beaches.jpg" TargetMode="External"/><Relationship Id="rId3777" Type="http://schemas.openxmlformats.org/officeDocument/2006/relationships/hyperlink" Target="https://commons.wikimedia.org/wiki/File:Paisaje_Desierto_Tatacoa_01.jpg" TargetMode="External"/><Relationship Id="rId1115" Type="http://schemas.openxmlformats.org/officeDocument/2006/relationships/hyperlink" Target="https://maps.google.com/?q=4.605830,-74.056390" TargetMode="External"/><Relationship Id="rId2446" Type="http://schemas.openxmlformats.org/officeDocument/2006/relationships/hyperlink" Target="https://commons.wikimedia.org/wiki/File:Guajira_Beaches.jpg" TargetMode="External"/><Relationship Id="rId3776" Type="http://schemas.openxmlformats.org/officeDocument/2006/relationships/hyperlink" Target="https://upload.wikimedia.org/wikipedia/commons/8/8b/Paisaje_Desierto_Tatacoa_01.jpg" TargetMode="External"/><Relationship Id="rId1116" Type="http://schemas.openxmlformats.org/officeDocument/2006/relationships/hyperlink" Target="https://upload.wikimedia.org/wikipedia/commons/1/1e/Cerros_de_Monserrate.jpg" TargetMode="External"/><Relationship Id="rId2447" Type="http://schemas.openxmlformats.org/officeDocument/2006/relationships/hyperlink" Target="https://upload.wikimedia.org/wikipedia/commons/a/a2/Guajira_Colombia.jpg" TargetMode="External"/><Relationship Id="rId3779" Type="http://schemas.openxmlformats.org/officeDocument/2006/relationships/hyperlink" Target="https://commons.wikimedia.org/wiki/File:Paisaje_Desierto_Tatacoa_02.jpg" TargetMode="External"/><Relationship Id="rId1117" Type="http://schemas.openxmlformats.org/officeDocument/2006/relationships/hyperlink" Target="https://commons.wikimedia.org/wiki/File:Cerros_de_Monserrate.jpg" TargetMode="External"/><Relationship Id="rId2448" Type="http://schemas.openxmlformats.org/officeDocument/2006/relationships/hyperlink" Target="https://commons.wikimedia.org/wiki/File:Guajira_Colombia.jpg" TargetMode="External"/><Relationship Id="rId3778" Type="http://schemas.openxmlformats.org/officeDocument/2006/relationships/hyperlink" Target="https://upload.wikimedia.org/wikipedia/commons/6/62/Paisaje_Desierto_Tatacoa_02.jpg" TargetMode="External"/><Relationship Id="rId1118" Type="http://schemas.openxmlformats.org/officeDocument/2006/relationships/hyperlink" Target="https://upload.wikimedia.org/wikipedia/commons/0/0a/Cestro_%28Cestrum_elegans%29.jpg" TargetMode="External"/><Relationship Id="rId2449" Type="http://schemas.openxmlformats.org/officeDocument/2006/relationships/hyperlink" Target="https://upload.wikimedia.org/wikipedia/commons/7/76/Guajira_desierto.jpg" TargetMode="External"/><Relationship Id="rId1119" Type="http://schemas.openxmlformats.org/officeDocument/2006/relationships/hyperlink" Target="https://commons.wikimedia.org/wiki/File:Cestro_(Cestrum_elegans).jpg" TargetMode="External"/><Relationship Id="rId525" Type="http://schemas.openxmlformats.org/officeDocument/2006/relationships/hyperlink" Target="https://upload.wikimedia.org/wikipedia/commons/c/c7/Avispas_cazadoras_de_tarantulas._Pepsis_sp.jpg" TargetMode="External"/><Relationship Id="rId524" Type="http://schemas.openxmlformats.org/officeDocument/2006/relationships/hyperlink" Target="https://commons.wikimedia.org/wiki/File:Avispa_cazadora_de_tarantulas,_genero_Pepsis.jpg" TargetMode="External"/><Relationship Id="rId523" Type="http://schemas.openxmlformats.org/officeDocument/2006/relationships/hyperlink" Target="https://upload.wikimedia.org/wikipedia/commons/1/18/Avispa_cazadora_de_tarantulas%2C_genero_Pepsis.jpg" TargetMode="External"/><Relationship Id="rId522" Type="http://schemas.openxmlformats.org/officeDocument/2006/relationships/hyperlink" Target="https://maps.google.com/?q=4.873370,-74.082910" TargetMode="External"/><Relationship Id="rId529" Type="http://schemas.openxmlformats.org/officeDocument/2006/relationships/hyperlink" Target="https://maps.google.com/?q=5.066608,-75.301217" TargetMode="External"/><Relationship Id="rId528" Type="http://schemas.openxmlformats.org/officeDocument/2006/relationships/hyperlink" Target="https://commons.wikimedia.org/wiki/File:Azul_entre_sombras.jpg" TargetMode="External"/><Relationship Id="rId527" Type="http://schemas.openxmlformats.org/officeDocument/2006/relationships/hyperlink" Target="https://upload.wikimedia.org/wikipedia/commons/1/19/Azul_entre_sombras.jpg" TargetMode="External"/><Relationship Id="rId526" Type="http://schemas.openxmlformats.org/officeDocument/2006/relationships/hyperlink" Target="https://commons.wikimedia.org/wiki/File:Avispas_cazadoras_de_tarantulas._Pepsis_sp.jpg" TargetMode="External"/><Relationship Id="rId3771" Type="http://schemas.openxmlformats.org/officeDocument/2006/relationships/hyperlink" Target="https://maps.google.com/?q=11.046700,-74.844200" TargetMode="External"/><Relationship Id="rId2440" Type="http://schemas.openxmlformats.org/officeDocument/2006/relationships/hyperlink" Target="https://upload.wikimedia.org/wikipedia/commons/4/4a/Guaco2.jpg" TargetMode="External"/><Relationship Id="rId3770" Type="http://schemas.openxmlformats.org/officeDocument/2006/relationships/hyperlink" Target="https://commons.wikimedia.org/wiki/File:Paisaje_Barichara.jpg" TargetMode="External"/><Relationship Id="rId521" Type="http://schemas.openxmlformats.org/officeDocument/2006/relationships/hyperlink" Target="https://commons.wikimedia.org/wiki/File:Avispa_caza_tar%C3%A1ntula.jpg" TargetMode="External"/><Relationship Id="rId1110" Type="http://schemas.openxmlformats.org/officeDocument/2006/relationships/hyperlink" Target="https://commons.wikimedia.org/wiki/File:Cerro_de_Monserrate_(56500).jpg" TargetMode="External"/><Relationship Id="rId2441" Type="http://schemas.openxmlformats.org/officeDocument/2006/relationships/hyperlink" Target="https://commons.wikimedia.org/wiki/File:Guaco2.jpg" TargetMode="External"/><Relationship Id="rId3773" Type="http://schemas.openxmlformats.org/officeDocument/2006/relationships/hyperlink" Target="https://commons.wikimedia.org/wiki/File:Paisaje_Ci%C3%A9naga_de_Mallorqu%C3%ADn.jpg" TargetMode="External"/><Relationship Id="rId520" Type="http://schemas.openxmlformats.org/officeDocument/2006/relationships/hyperlink" Target="https://upload.wikimedia.org/wikipedia/commons/3/30/Avispa_caza_tar%C3%A1ntula.jpg" TargetMode="External"/><Relationship Id="rId1111" Type="http://schemas.openxmlformats.org/officeDocument/2006/relationships/hyperlink" Target="https://upload.wikimedia.org/wikipedia/commons/7/71/Cerro_de_las_antenas.jpg" TargetMode="External"/><Relationship Id="rId2442" Type="http://schemas.openxmlformats.org/officeDocument/2006/relationships/hyperlink" Target="https://maps.google.com/?q=4.667750,-74.099944" TargetMode="External"/><Relationship Id="rId3772" Type="http://schemas.openxmlformats.org/officeDocument/2006/relationships/hyperlink" Target="https://upload.wikimedia.org/wikipedia/commons/0/09/Paisaje_Ci%C3%A9naga_de_Mallorqu%C3%ADn.jpg" TargetMode="External"/><Relationship Id="rId1112" Type="http://schemas.openxmlformats.org/officeDocument/2006/relationships/hyperlink" Target="https://commons.wikimedia.org/wiki/File:Cerro_de_las_antenas.jpg" TargetMode="External"/><Relationship Id="rId2443" Type="http://schemas.openxmlformats.org/officeDocument/2006/relationships/hyperlink" Target="https://upload.wikimedia.org/wikipedia/commons/e/ea/Guaco_mayo_de_2026.jpg" TargetMode="External"/><Relationship Id="rId3775" Type="http://schemas.openxmlformats.org/officeDocument/2006/relationships/hyperlink" Target="https://commons.wikimedia.org/wiki/File:Paisaje_Desierto_Gris.jpg" TargetMode="External"/><Relationship Id="rId1113" Type="http://schemas.openxmlformats.org/officeDocument/2006/relationships/hyperlink" Target="https://upload.wikimedia.org/wikipedia/commons/0/0b/Cerros_Mavicure%2C_Pajarito_y_El_Mono.jpg" TargetMode="External"/><Relationship Id="rId2444" Type="http://schemas.openxmlformats.org/officeDocument/2006/relationships/hyperlink" Target="https://commons.wikimedia.org/wiki/File:Guaco_mayo_de_2026.jpg" TargetMode="External"/><Relationship Id="rId3774" Type="http://schemas.openxmlformats.org/officeDocument/2006/relationships/hyperlink" Target="https://upload.wikimedia.org/wikipedia/commons/b/bc/Paisaje_Desierto_Gris.jpg" TargetMode="External"/><Relationship Id="rId1103" Type="http://schemas.openxmlformats.org/officeDocument/2006/relationships/hyperlink" Target="https://commons.wikimedia.org/wiki/File:Cereus_Hilmanniaunus2.jpg" TargetMode="External"/><Relationship Id="rId2434" Type="http://schemas.openxmlformats.org/officeDocument/2006/relationships/hyperlink" Target="https://upload.wikimedia.org/wikipedia/commons/c/c6/Guacamayo_azul_y_amarillo_-_Ara_ararauna.jpg" TargetMode="External"/><Relationship Id="rId3766" Type="http://schemas.openxmlformats.org/officeDocument/2006/relationships/hyperlink" Target="https://commons.wikimedia.org/wiki/File:Pair_of_%22Barranqueros%22_in_the_woods_of_Santa_Elena.jpg" TargetMode="External"/><Relationship Id="rId1104" Type="http://schemas.openxmlformats.org/officeDocument/2006/relationships/hyperlink" Target="https://upload.wikimedia.org/wikipedia/commons/8/8e/Cerezo_%28Rosaceae%29.jpg" TargetMode="External"/><Relationship Id="rId2435" Type="http://schemas.openxmlformats.org/officeDocument/2006/relationships/hyperlink" Target="https://commons.wikimedia.org/wiki/File:Guacamayo_azul_y_amarillo_-_Ara_ararauna.jpg" TargetMode="External"/><Relationship Id="rId3765" Type="http://schemas.openxmlformats.org/officeDocument/2006/relationships/hyperlink" Target="https://upload.wikimedia.org/wikipedia/commons/2/21/Pair_of_%22Barranqueros%22_in_the_woods_of_Santa_Elena.jpg" TargetMode="External"/><Relationship Id="rId1105" Type="http://schemas.openxmlformats.org/officeDocument/2006/relationships/hyperlink" Target="https://commons.wikimedia.org/wiki/File:Cerezo_(Rosaceae).jpg" TargetMode="External"/><Relationship Id="rId2436" Type="http://schemas.openxmlformats.org/officeDocument/2006/relationships/hyperlink" Target="https://maps.google.com/?q=4.667750,-74.099940" TargetMode="External"/><Relationship Id="rId3768" Type="http://schemas.openxmlformats.org/officeDocument/2006/relationships/hyperlink" Target="https://commons.wikimedia.org/wiki/File:Paisaje_-_Parque_de_los_novios.jpg" TargetMode="External"/><Relationship Id="rId1106" Type="http://schemas.openxmlformats.org/officeDocument/2006/relationships/hyperlink" Target="https://upload.wikimedia.org/wikipedia/commons/3/3d/Cerrando_el_d%C3%ADa.jpg" TargetMode="External"/><Relationship Id="rId2437" Type="http://schemas.openxmlformats.org/officeDocument/2006/relationships/hyperlink" Target="https://upload.wikimedia.org/wikipedia/commons/5/51/Guaco1.jpg" TargetMode="External"/><Relationship Id="rId3767" Type="http://schemas.openxmlformats.org/officeDocument/2006/relationships/hyperlink" Target="https://upload.wikimedia.org/wikipedia/commons/8/89/Paisaje_-_Parque_de_los_novios.jpg" TargetMode="External"/><Relationship Id="rId1107" Type="http://schemas.openxmlformats.org/officeDocument/2006/relationships/hyperlink" Target="https://commons.wikimedia.org/wiki/File:Cerrando_el_d%C3%ADa.jpg" TargetMode="External"/><Relationship Id="rId2438" Type="http://schemas.openxmlformats.org/officeDocument/2006/relationships/hyperlink" Target="https://commons.wikimedia.org/wiki/File:Guaco1.jpg" TargetMode="External"/><Relationship Id="rId1108" Type="http://schemas.openxmlformats.org/officeDocument/2006/relationships/hyperlink" Target="https://maps.google.com/?q=4.614518,-74.066319" TargetMode="External"/><Relationship Id="rId2439" Type="http://schemas.openxmlformats.org/officeDocument/2006/relationships/hyperlink" Target="https://maps.google.com/?q=4.667750,-74.099940" TargetMode="External"/><Relationship Id="rId3769" Type="http://schemas.openxmlformats.org/officeDocument/2006/relationships/hyperlink" Target="https://upload.wikimedia.org/wikipedia/commons/c/cf/Paisaje_Barichara.jpg" TargetMode="External"/><Relationship Id="rId1109" Type="http://schemas.openxmlformats.org/officeDocument/2006/relationships/hyperlink" Target="https://upload.wikimedia.org/wikipedia/commons/b/bd/Cerro_de_Monserrate_%2856500%29.jpg" TargetMode="External"/><Relationship Id="rId519" Type="http://schemas.openxmlformats.org/officeDocument/2006/relationships/hyperlink" Target="https://maps.google.com/?q=4.666700,-75.500000" TargetMode="External"/><Relationship Id="rId514" Type="http://schemas.openxmlformats.org/officeDocument/2006/relationships/hyperlink" Target="https://commons.wikimedia.org/wiki/File:Avifauna_Cienaga_de_Malambo_04.jpg" TargetMode="External"/><Relationship Id="rId513" Type="http://schemas.openxmlformats.org/officeDocument/2006/relationships/hyperlink" Target="https://upload.wikimedia.org/wikipedia/commons/a/a6/Avifauna_Cienaga_de_Malambo_04.jpg" TargetMode="External"/><Relationship Id="rId512" Type="http://schemas.openxmlformats.org/officeDocument/2006/relationships/hyperlink" Target="https://commons.wikimedia.org/wiki/File:Avifauna_Cienaga_de_Malambo_03.jpg" TargetMode="External"/><Relationship Id="rId511" Type="http://schemas.openxmlformats.org/officeDocument/2006/relationships/hyperlink" Target="https://upload.wikimedia.org/wikipedia/commons/1/1a/Avifauna_Cienaga_de_Malambo_03.jpg" TargetMode="External"/><Relationship Id="rId518" Type="http://schemas.openxmlformats.org/officeDocument/2006/relationships/hyperlink" Target="https://commons.wikimedia.org/wiki/File:Avifauna_de_alta_monta%C3%B1a_en_el_P%C3%A1ramo_de_Sumapaz.jpg" TargetMode="External"/><Relationship Id="rId517" Type="http://schemas.openxmlformats.org/officeDocument/2006/relationships/hyperlink" Target="https://upload.wikimedia.org/wikipedia/commons/2/2f/Avifauna_de_alta_monta%C3%B1a_en_el_P%C3%A1ramo_de_Sumapaz.jpg" TargetMode="External"/><Relationship Id="rId516" Type="http://schemas.openxmlformats.org/officeDocument/2006/relationships/hyperlink" Target="https://commons.wikimedia.org/wiki/File:Avifauna_Cienaga_de_Malambo_05.jpg" TargetMode="External"/><Relationship Id="rId515" Type="http://schemas.openxmlformats.org/officeDocument/2006/relationships/hyperlink" Target="https://upload.wikimedia.org/wikipedia/commons/e/ed/Avifauna_Cienaga_de_Malambo_05.jpg" TargetMode="External"/><Relationship Id="rId3760" Type="http://schemas.openxmlformats.org/officeDocument/2006/relationships/hyperlink" Target="https://maps.google.com/?q=5.633037,-77.445740" TargetMode="External"/><Relationship Id="rId510" Type="http://schemas.openxmlformats.org/officeDocument/2006/relationships/hyperlink" Target="https://commons.wikimedia.org/wiki/File:Avifauna_Cienaga_de_Malambo_02.webp" TargetMode="External"/><Relationship Id="rId2430" Type="http://schemas.openxmlformats.org/officeDocument/2006/relationships/hyperlink" Target="https://upload.wikimedia.org/wikipedia/commons/2/2d/Guacamaya_Colombiana.jpg" TargetMode="External"/><Relationship Id="rId3762" Type="http://schemas.openxmlformats.org/officeDocument/2006/relationships/hyperlink" Target="https://commons.wikimedia.org/wiki/File:Pacific_Ocean_-_Nuqu%C3%AD,_Choc%C3%B3,_Colombia_-_23_Oct_2025_-_Diferoch.jpg" TargetMode="External"/><Relationship Id="rId1100" Type="http://schemas.openxmlformats.org/officeDocument/2006/relationships/hyperlink" Target="https://commons.wikimedia.org/wiki/File:Cereus_Hilmannianus.jpg" TargetMode="External"/><Relationship Id="rId2431" Type="http://schemas.openxmlformats.org/officeDocument/2006/relationships/hyperlink" Target="https://commons.wikimedia.org/wiki/File:Guacamaya_Colombiana.jpg" TargetMode="External"/><Relationship Id="rId3761" Type="http://schemas.openxmlformats.org/officeDocument/2006/relationships/hyperlink" Target="https://upload.wikimedia.org/wikipedia/commons/b/bc/Pacific_Ocean_-_Nuqu%C3%AD%2C_Choc%C3%B3%2C_Colombia_-_23_Oct_2025_-_Diferoch.jpg" TargetMode="External"/><Relationship Id="rId1101" Type="http://schemas.openxmlformats.org/officeDocument/2006/relationships/hyperlink" Target="https://maps.google.com/?q=4.667750,-74.099944" TargetMode="External"/><Relationship Id="rId2432" Type="http://schemas.openxmlformats.org/officeDocument/2006/relationships/hyperlink" Target="https://upload.wikimedia.org/wikipedia/commons/3/36/Guacamayo_Escarlata_-_Ara_macao.jpg" TargetMode="External"/><Relationship Id="rId3764" Type="http://schemas.openxmlformats.org/officeDocument/2006/relationships/hyperlink" Target="https://commons.wikimedia.org/wiki/File:Paipa,_Boyac%C3%A1,_2026.jpg" TargetMode="External"/><Relationship Id="rId1102" Type="http://schemas.openxmlformats.org/officeDocument/2006/relationships/hyperlink" Target="https://upload.wikimedia.org/wikipedia/commons/8/8f/Cereus_Hilmanniaunus2.jpg" TargetMode="External"/><Relationship Id="rId2433" Type="http://schemas.openxmlformats.org/officeDocument/2006/relationships/hyperlink" Target="https://commons.wikimedia.org/wiki/File:Guacamayo_Escarlata_-_Ara_macao.jpg" TargetMode="External"/><Relationship Id="rId3763" Type="http://schemas.openxmlformats.org/officeDocument/2006/relationships/hyperlink" Target="https://upload.wikimedia.org/wikipedia/commons/4/4a/Paipa%2C_Boyac%C3%A1%2C_2026.jpg" TargetMode="External"/><Relationship Id="rId3711" Type="http://schemas.openxmlformats.org/officeDocument/2006/relationships/hyperlink" Target="https://commons.wikimedia.org/wiki/File:Orqu%C3%ADdeas_(25083).jpg" TargetMode="External"/><Relationship Id="rId3710" Type="http://schemas.openxmlformats.org/officeDocument/2006/relationships/hyperlink" Target="https://upload.wikimedia.org/wikipedia/commons/c/c1/Orqu%C3%ADdeas_%2825083%29.jpg" TargetMode="External"/><Relationship Id="rId3713" Type="http://schemas.openxmlformats.org/officeDocument/2006/relationships/hyperlink" Target="https://upload.wikimedia.org/wikipedia/commons/f/fd/Orqu%C3%ADdeas_%2843127%29.jpg" TargetMode="External"/><Relationship Id="rId3712" Type="http://schemas.openxmlformats.org/officeDocument/2006/relationships/hyperlink" Target="https://maps.google.com/?q=4.974434,-74.854865" TargetMode="External"/><Relationship Id="rId3715" Type="http://schemas.openxmlformats.org/officeDocument/2006/relationships/hyperlink" Target="https://maps.google.com/?q=4.926758,-74.821796" TargetMode="External"/><Relationship Id="rId3714" Type="http://schemas.openxmlformats.org/officeDocument/2006/relationships/hyperlink" Target="https://commons.wikimedia.org/wiki/File:Orqu%C3%ADdeas_(43127).jpg" TargetMode="External"/><Relationship Id="rId3717" Type="http://schemas.openxmlformats.org/officeDocument/2006/relationships/hyperlink" Target="https://commons.wikimedia.org/wiki/File:Orqu%C3%ADdeas_(58671).jpg" TargetMode="External"/><Relationship Id="rId3716" Type="http://schemas.openxmlformats.org/officeDocument/2006/relationships/hyperlink" Target="https://upload.wikimedia.org/wikipedia/commons/e/e0/Orqu%C3%ADdeas_%2858671%29.jpg" TargetMode="External"/><Relationship Id="rId3719" Type="http://schemas.openxmlformats.org/officeDocument/2006/relationships/hyperlink" Target="https://upload.wikimedia.org/wikipedia/commons/e/ec/Orqu%C3%ADdeas_%2879044%29.jpg" TargetMode="External"/><Relationship Id="rId3718" Type="http://schemas.openxmlformats.org/officeDocument/2006/relationships/hyperlink" Target="https://maps.google.com/?q=5.055419,-74.894363" TargetMode="External"/><Relationship Id="rId3700" Type="http://schemas.openxmlformats.org/officeDocument/2006/relationships/hyperlink" Target="https://commons.wikimedia.org/wiki/File:Orqu%C3%ADdea_de_mata_redonda.jpg" TargetMode="External"/><Relationship Id="rId3702" Type="http://schemas.openxmlformats.org/officeDocument/2006/relationships/hyperlink" Target="https://upload.wikimedia.org/wikipedia/commons/8/8a/Orqu%C3%ADdea_de_tierra_-_Spathoglottis_plicata_Blume.jpg" TargetMode="External"/><Relationship Id="rId3701" Type="http://schemas.openxmlformats.org/officeDocument/2006/relationships/hyperlink" Target="https://maps.google.com/?q=4.669437,-74.097702" TargetMode="External"/><Relationship Id="rId3704" Type="http://schemas.openxmlformats.org/officeDocument/2006/relationships/hyperlink" Target="https://upload.wikimedia.org/wikipedia/commons/4/4c/Orqu%C3%ADdea_del_g%C3%A9nero_Oncidium_en_la_Reserva_Biol%C3%B3gica_Encenillo%2C_Colombia.jpg" TargetMode="External"/><Relationship Id="rId3703" Type="http://schemas.openxmlformats.org/officeDocument/2006/relationships/hyperlink" Target="https://commons.wikimedia.org/wiki/File:Orqu%C3%ADdea_de_tierra_-_Spathoglottis_plicata_Blume.jpg" TargetMode="External"/><Relationship Id="rId3706" Type="http://schemas.openxmlformats.org/officeDocument/2006/relationships/hyperlink" Target="https://maps.google.com/?q=4.941262,-75.095430" TargetMode="External"/><Relationship Id="rId3705" Type="http://schemas.openxmlformats.org/officeDocument/2006/relationships/hyperlink" Target="https://commons.wikimedia.org/wiki/File:Orqu%C3%ADdea_del_g%C3%A9nero_Oncidium_en_la_Reserva_Biol%C3%B3gica_Encenillo,_Colombia.jpg" TargetMode="External"/><Relationship Id="rId3708" Type="http://schemas.openxmlformats.org/officeDocument/2006/relationships/hyperlink" Target="https://commons.wikimedia.org/wiki/File:Orqu%C3%ADdeas_(13744).jpg" TargetMode="External"/><Relationship Id="rId3707" Type="http://schemas.openxmlformats.org/officeDocument/2006/relationships/hyperlink" Target="https://upload.wikimedia.org/wikipedia/commons/6/68/Orqu%C3%ADdeas_%2813744%29.jpg" TargetMode="External"/><Relationship Id="rId3709" Type="http://schemas.openxmlformats.org/officeDocument/2006/relationships/hyperlink" Target="https://maps.google.com/?q=4.949794,-74.884624" TargetMode="External"/><Relationship Id="rId2401" Type="http://schemas.openxmlformats.org/officeDocument/2006/relationships/hyperlink" Target="https://upload.wikimedia.org/wikipedia/commons/5/52/Glaucidium_brasilianum%2C_Colombia.jpg" TargetMode="External"/><Relationship Id="rId3733" Type="http://schemas.openxmlformats.org/officeDocument/2006/relationships/hyperlink" Target="https://upload.wikimedia.org/wikipedia/commons/7/71/Orthoptero_en_Iza%2C_Boyac%C3%A1.jpg" TargetMode="External"/><Relationship Id="rId2402" Type="http://schemas.openxmlformats.org/officeDocument/2006/relationships/hyperlink" Target="https://commons.wikimedia.org/wiki/File:Glaucidium_brasilianum,_Colombia.jpg" TargetMode="External"/><Relationship Id="rId3732" Type="http://schemas.openxmlformats.org/officeDocument/2006/relationships/hyperlink" Target="https://commons.wikimedia.org/wiki/File:Orthoptera_-_Cimitarra,_Santander,_Colombia_-_30_Sep_2025_-_Diferoch.jpg" TargetMode="External"/><Relationship Id="rId2403" Type="http://schemas.openxmlformats.org/officeDocument/2006/relationships/hyperlink" Target="https://maps.google.com/?q=5.375900,-7.331320" TargetMode="External"/><Relationship Id="rId3735" Type="http://schemas.openxmlformats.org/officeDocument/2006/relationships/hyperlink" Target="https://upload.wikimedia.org/wikipedia/commons/5/5b/Oruga_de_la_mariposa_monarca_sudamericana.jpg" TargetMode="External"/><Relationship Id="rId2404" Type="http://schemas.openxmlformats.org/officeDocument/2006/relationships/hyperlink" Target="https://upload.wikimedia.org/wikipedia/commons/0/0e/Golden_Kangaroo_Paw_%28Anigozanthos_pulcherrimus%29.tif" TargetMode="External"/><Relationship Id="rId3734" Type="http://schemas.openxmlformats.org/officeDocument/2006/relationships/hyperlink" Target="https://commons.wikimedia.org/wiki/File:Orthoptero_en_Iza,_Boyac%C3%A1.jpg" TargetMode="External"/><Relationship Id="rId2405" Type="http://schemas.openxmlformats.org/officeDocument/2006/relationships/hyperlink" Target="https://commons.wikimedia.org/wiki/File:Golden_Kangaroo_Paw_(Anigozanthos_pulcherrimus).tif" TargetMode="External"/><Relationship Id="rId3737" Type="http://schemas.openxmlformats.org/officeDocument/2006/relationships/hyperlink" Target="https://upload.wikimedia.org/wikipedia/commons/f/f0/Oruga_de_mariposa_monarca.jpg" TargetMode="External"/><Relationship Id="rId2406" Type="http://schemas.openxmlformats.org/officeDocument/2006/relationships/hyperlink" Target="https://upload.wikimedia.org/wikipedia/commons/9/9f/Golofa_sp._male_in_Nari%C3%B1o%2C_Colombia.jpg" TargetMode="External"/><Relationship Id="rId3736" Type="http://schemas.openxmlformats.org/officeDocument/2006/relationships/hyperlink" Target="https://commons.wikimedia.org/wiki/File:Oruga_de_la_mariposa_monarca_sudamericana.jpg" TargetMode="External"/><Relationship Id="rId2407" Type="http://schemas.openxmlformats.org/officeDocument/2006/relationships/hyperlink" Target="https://commons.wikimedia.org/wiki/File:Golofa_sp._male_in_Nari%C3%B1o,_Colombia.jpg" TargetMode="External"/><Relationship Id="rId3739" Type="http://schemas.openxmlformats.org/officeDocument/2006/relationships/hyperlink" Target="https://maps.google.com/?q=5.780000,-73.117500" TargetMode="External"/><Relationship Id="rId2408" Type="http://schemas.openxmlformats.org/officeDocument/2006/relationships/hyperlink" Target="https://maps.google.com/?q=4.894333,-74.354194" TargetMode="External"/><Relationship Id="rId3738" Type="http://schemas.openxmlformats.org/officeDocument/2006/relationships/hyperlink" Target="https://commons.wikimedia.org/wiki/File:Oruga_de_mariposa_monarca.jpg" TargetMode="External"/><Relationship Id="rId2409" Type="http://schemas.openxmlformats.org/officeDocument/2006/relationships/hyperlink" Target="https://upload.wikimedia.org/wikipedia/commons/4/4e/Gordonia_en_la_reserva_el_gualiv%C3%A1.jpg" TargetMode="External"/><Relationship Id="rId3731" Type="http://schemas.openxmlformats.org/officeDocument/2006/relationships/hyperlink" Target="https://upload.wikimedia.org/wikipedia/commons/7/7c/Orthoptera_-_Cimitarra%2C_Santander%2C_Colombia_-_30_Sep_2025_-_Diferoch.jpg" TargetMode="External"/><Relationship Id="rId2400" Type="http://schemas.openxmlformats.org/officeDocument/2006/relationships/hyperlink" Target="https://commons.wikimedia.org/wiki/File:Glandulas_ceiba_amarilla.jpg" TargetMode="External"/><Relationship Id="rId3730" Type="http://schemas.openxmlformats.org/officeDocument/2006/relationships/hyperlink" Target="https://maps.google.com/?q=6.711032,-74.146180" TargetMode="External"/><Relationship Id="rId3722" Type="http://schemas.openxmlformats.org/officeDocument/2006/relationships/hyperlink" Target="https://upload.wikimedia.org/wikipedia/commons/7/77/Orqu%C3%ADdeas_%2881266%29.jpg" TargetMode="External"/><Relationship Id="rId3721" Type="http://schemas.openxmlformats.org/officeDocument/2006/relationships/hyperlink" Target="https://maps.google.com/?q=4.880582,-74.862736" TargetMode="External"/><Relationship Id="rId3724" Type="http://schemas.openxmlformats.org/officeDocument/2006/relationships/hyperlink" Target="https://maps.google.com/?q=4.925383,-74.850895" TargetMode="External"/><Relationship Id="rId3723" Type="http://schemas.openxmlformats.org/officeDocument/2006/relationships/hyperlink" Target="https://commons.wikimedia.org/wiki/File:Orqu%C3%ADdeas_(81266).jpg" TargetMode="External"/><Relationship Id="rId3726" Type="http://schemas.openxmlformats.org/officeDocument/2006/relationships/hyperlink" Target="https://commons.wikimedia.org/wiki/File:Orqu%C3%ADdeas_(81617).jpg" TargetMode="External"/><Relationship Id="rId3725" Type="http://schemas.openxmlformats.org/officeDocument/2006/relationships/hyperlink" Target="https://upload.wikimedia.org/wikipedia/commons/0/06/Orqu%C3%ADdeas_%2881617%29.jpg" TargetMode="External"/><Relationship Id="rId3728" Type="http://schemas.openxmlformats.org/officeDocument/2006/relationships/hyperlink" Target="https://upload.wikimedia.org/wikipedia/commons/a/ae/Orqu%C3%ADdeas_%2886734%29.jpg" TargetMode="External"/><Relationship Id="rId3727" Type="http://schemas.openxmlformats.org/officeDocument/2006/relationships/hyperlink" Target="https://maps.google.com/?q=4.943229,-74.845714" TargetMode="External"/><Relationship Id="rId3729" Type="http://schemas.openxmlformats.org/officeDocument/2006/relationships/hyperlink" Target="https://commons.wikimedia.org/wiki/File:Orqu%C3%ADdeas_(86734).jpg" TargetMode="External"/><Relationship Id="rId3720" Type="http://schemas.openxmlformats.org/officeDocument/2006/relationships/hyperlink" Target="https://commons.wikimedia.org/wiki/File:Orqu%C3%ADdeas_(79044).jpg" TargetMode="External"/><Relationship Id="rId4206" Type="http://schemas.openxmlformats.org/officeDocument/2006/relationships/hyperlink" Target="https://maps.google.com/?q=4.546453,-73.320335" TargetMode="External"/><Relationship Id="rId5538" Type="http://schemas.openxmlformats.org/officeDocument/2006/relationships/hyperlink" Target="https://commons.wikimedia.org/wiki/File:WLE2026_CO_-_Frailej%C3%B3n_individual,_P%C3%A1ramo_de_Guerrero_(99).jpg" TargetMode="External"/><Relationship Id="rId4205" Type="http://schemas.openxmlformats.org/officeDocument/2006/relationships/hyperlink" Target="https://commons.wikimedia.org/wiki/File:Pico_m%C3%A1s_alto_en_piojo-atlantico.jpg" TargetMode="External"/><Relationship Id="rId5539" Type="http://schemas.openxmlformats.org/officeDocument/2006/relationships/hyperlink" Target="https://upload.wikimedia.org/wikipedia/commons/4/4d/WLE2026_CO_-_Inflorescencia_de_Puya_en_el_P%C3%A1ramo_de_Guerrero_%2889%29.jpg" TargetMode="External"/><Relationship Id="rId4208" Type="http://schemas.openxmlformats.org/officeDocument/2006/relationships/hyperlink" Target="https://commons.wikimedia.org/wiki/File:Piedemonte_llanero,_Medina,_Colombia.jpg" TargetMode="External"/><Relationship Id="rId5536" Type="http://schemas.openxmlformats.org/officeDocument/2006/relationships/hyperlink" Target="https://commons.wikimedia.org/wiki/File:WLE2026_CO_-_Frailejones_(Espeletia_grandiflora)_en_flor,_P%C3%A1ramo_de_Guerrero_(88).jpg" TargetMode="External"/><Relationship Id="rId4207" Type="http://schemas.openxmlformats.org/officeDocument/2006/relationships/hyperlink" Target="https://upload.wikimedia.org/wikipedia/commons/e/e5/Piedemonte_llanero%2C_Medina%2C_Colombia.jpg" TargetMode="External"/><Relationship Id="rId5537" Type="http://schemas.openxmlformats.org/officeDocument/2006/relationships/hyperlink" Target="https://upload.wikimedia.org/wikipedia/commons/2/23/WLE2026_CO_-_Frailej%C3%B3n_individual%2C_P%C3%A1ramo_de_Guerrero_%2899%29.jpg" TargetMode="External"/><Relationship Id="rId590" Type="http://schemas.openxmlformats.org/officeDocument/2006/relationships/hyperlink" Target="https://maps.google.com/?q=10.407097,-75.465147" TargetMode="External"/><Relationship Id="rId4209" Type="http://schemas.openxmlformats.org/officeDocument/2006/relationships/hyperlink" Target="https://upload.wikimedia.org/wikipedia/commons/3/38/Piedra_del_Indio.jpg" TargetMode="External"/><Relationship Id="rId589" Type="http://schemas.openxmlformats.org/officeDocument/2006/relationships/hyperlink" Target="https://commons.wikimedia.org/wiki/File:Belleza_que_advierte.jpg" TargetMode="External"/><Relationship Id="rId588" Type="http://schemas.openxmlformats.org/officeDocument/2006/relationships/hyperlink" Target="https://upload.wikimedia.org/wikipedia/commons/b/b2/Belleza_que_advierte.jpg" TargetMode="External"/><Relationship Id="rId1170" Type="http://schemas.openxmlformats.org/officeDocument/2006/relationships/hyperlink" Target="https://maps.google.com/?q=6.700988,-74.152512" TargetMode="External"/><Relationship Id="rId1171" Type="http://schemas.openxmlformats.org/officeDocument/2006/relationships/hyperlink" Target="https://upload.wikimedia.org/wikipedia/commons/1/17/Cicadidae_-_Cimitarra%2C_Santander%2C_Colombia_-_03_Oct_2025_-_Diferoch.jpg" TargetMode="External"/><Relationship Id="rId583" Type="http://schemas.openxmlformats.org/officeDocument/2006/relationships/hyperlink" Target="https://upload.wikimedia.org/wikipedia/commons/6/6e/Belalcazar_Cauca.jpg" TargetMode="External"/><Relationship Id="rId1172" Type="http://schemas.openxmlformats.org/officeDocument/2006/relationships/hyperlink" Target="https://commons.wikimedia.org/wiki/File:Cicadidae_-_Cimitarra,_Santander,_Colombia_-_03_Oct_2025_-_Diferoch.jpg" TargetMode="External"/><Relationship Id="rId5530" Type="http://schemas.openxmlformats.org/officeDocument/2006/relationships/hyperlink" Target="https://commons.wikimedia.org/wiki/File:Whooping_Motmot_in_Tayrona_National_Park.jpg" TargetMode="External"/><Relationship Id="rId582" Type="http://schemas.openxmlformats.org/officeDocument/2006/relationships/hyperlink" Target="https://commons.wikimedia.org/wiki/File:Beautiful_Roads_in_Colombia.jpg" TargetMode="External"/><Relationship Id="rId1173" Type="http://schemas.openxmlformats.org/officeDocument/2006/relationships/hyperlink" Target="https://maps.google.com/?q=10.426667,-75.550833" TargetMode="External"/><Relationship Id="rId5531" Type="http://schemas.openxmlformats.org/officeDocument/2006/relationships/hyperlink" Target="https://upload.wikimedia.org/wikipedia/commons/3/37/Wild_Montbretia_%28Crocosmia%29%2C_near_the_way%2C_cloud_forest%2C_Minca%2C_2025.jpg" TargetMode="External"/><Relationship Id="rId581" Type="http://schemas.openxmlformats.org/officeDocument/2006/relationships/hyperlink" Target="https://upload.wikimedia.org/wikipedia/commons/d/de/Beautiful_Roads_in_Colombia.jpg" TargetMode="External"/><Relationship Id="rId1174" Type="http://schemas.openxmlformats.org/officeDocument/2006/relationships/hyperlink" Target="https://upload.wikimedia.org/wikipedia/commons/d/de/Cielo_Cartagenero.jpg" TargetMode="External"/><Relationship Id="rId4200" Type="http://schemas.openxmlformats.org/officeDocument/2006/relationships/hyperlink" Target="https://commons.wikimedia.org/wiki/File:Phyllostomus_hastatus_-_Barrancabermeja,_Santander,_Colombia_-_14_Jun_2026_-_Diferoch.jpg" TargetMode="External"/><Relationship Id="rId580" Type="http://schemas.openxmlformats.org/officeDocument/2006/relationships/hyperlink" Target="https://commons.wikimedia.org/wiki/File:Beard_Lichen_of_the_Cloud_Forest,_near_Minca,_2025.jpg" TargetMode="External"/><Relationship Id="rId1175" Type="http://schemas.openxmlformats.org/officeDocument/2006/relationships/hyperlink" Target="https://commons.wikimedia.org/wiki/File:Cielo_Cartagenero.jpg" TargetMode="External"/><Relationship Id="rId587" Type="http://schemas.openxmlformats.org/officeDocument/2006/relationships/hyperlink" Target="https://commons.wikimedia.org/wiki/File:Bella_hasta_las_once.jpg" TargetMode="External"/><Relationship Id="rId1176" Type="http://schemas.openxmlformats.org/officeDocument/2006/relationships/hyperlink" Target="https://upload.wikimedia.org/wikipedia/commons/e/e1/Cielo_estrellado_en_el_desierto_de_la_Tatacoa.jpg" TargetMode="External"/><Relationship Id="rId4202" Type="http://schemas.openxmlformats.org/officeDocument/2006/relationships/hyperlink" Target="https://commons.wikimedia.org/wiki/File:Pico_concavo.jpg" TargetMode="External"/><Relationship Id="rId5534" Type="http://schemas.openxmlformats.org/officeDocument/2006/relationships/hyperlink" Target="https://commons.wikimedia.org/wiki/File:Wild_orchid_(Epidendrum)_blooming_on_a_rocky_slope_near_Villa_de_Leyva,_2026.jpg" TargetMode="External"/><Relationship Id="rId586" Type="http://schemas.openxmlformats.org/officeDocument/2006/relationships/hyperlink" Target="https://upload.wikimedia.org/wikipedia/commons/a/a2/Bella_hasta_las_once.jpg" TargetMode="External"/><Relationship Id="rId1177" Type="http://schemas.openxmlformats.org/officeDocument/2006/relationships/hyperlink" Target="https://commons.wikimedia.org/wiki/File:Cielo_estrellado_en_el_desierto_de_la_Tatacoa.jpg" TargetMode="External"/><Relationship Id="rId4201" Type="http://schemas.openxmlformats.org/officeDocument/2006/relationships/hyperlink" Target="https://upload.wikimedia.org/wikipedia/commons/e/eb/Pico_concavo.jpg" TargetMode="External"/><Relationship Id="rId5535" Type="http://schemas.openxmlformats.org/officeDocument/2006/relationships/hyperlink" Target="https://upload.wikimedia.org/wikipedia/commons/8/80/WLE2026_CO_-_Frailejones_%28Espeletia_grandiflora%29_en_flor%2C_P%C3%A1ramo_de_Guerrero_%2888%29.jpg" TargetMode="External"/><Relationship Id="rId585" Type="http://schemas.openxmlformats.org/officeDocument/2006/relationships/hyperlink" Target="https://maps.google.com/?q=4.667750,-74.099944" TargetMode="External"/><Relationship Id="rId1178" Type="http://schemas.openxmlformats.org/officeDocument/2006/relationships/hyperlink" Target="https://maps.google.com/?q=8.079061,-74.780725" TargetMode="External"/><Relationship Id="rId4204" Type="http://schemas.openxmlformats.org/officeDocument/2006/relationships/hyperlink" Target="https://upload.wikimedia.org/wikipedia/commons/c/c2/Pico_m%C3%A1s_alto_en_piojo-atlantico.jpg" TargetMode="External"/><Relationship Id="rId5532" Type="http://schemas.openxmlformats.org/officeDocument/2006/relationships/hyperlink" Target="https://commons.wikimedia.org/wiki/File:Wild_Montbretia_(Crocosmia),_near_the_way,_cloud_forest,_Minca,_2025.jpg" TargetMode="External"/><Relationship Id="rId584" Type="http://schemas.openxmlformats.org/officeDocument/2006/relationships/hyperlink" Target="https://commons.wikimedia.org/wiki/File:Belalcazar_Cauca.jpg" TargetMode="External"/><Relationship Id="rId1179" Type="http://schemas.openxmlformats.org/officeDocument/2006/relationships/hyperlink" Target="https://upload.wikimedia.org/wikipedia/commons/7/7c/Cielo_parcialmente_despejado.jpg" TargetMode="External"/><Relationship Id="rId4203" Type="http://schemas.openxmlformats.org/officeDocument/2006/relationships/hyperlink" Target="https://maps.google.com/?q=10.983889,-74.950556" TargetMode="External"/><Relationship Id="rId5533" Type="http://schemas.openxmlformats.org/officeDocument/2006/relationships/hyperlink" Target="https://upload.wikimedia.org/wikipedia/commons/1/1d/Wild_orchid_%28Epidendrum%29_blooming_on_a_rocky_slope_near_Villa_de_Leyva%2C_2026.jpg" TargetMode="External"/><Relationship Id="rId1169" Type="http://schemas.openxmlformats.org/officeDocument/2006/relationships/hyperlink" Target="https://commons.wikimedia.org/wiki/File:Chuguac%C3%A1_(Icacinaceae).jpg" TargetMode="External"/><Relationship Id="rId5527" Type="http://schemas.openxmlformats.org/officeDocument/2006/relationships/hyperlink" Target="https://commons.wikimedia.org/wiki/File:White-tailed_deer_(Odocoileus_virginianus)_buck-goudotii.jpg" TargetMode="External"/><Relationship Id="rId5528" Type="http://schemas.openxmlformats.org/officeDocument/2006/relationships/hyperlink" Target="https://maps.google.com/?q=11.308901,-73.936915" TargetMode="External"/><Relationship Id="rId5525" Type="http://schemas.openxmlformats.org/officeDocument/2006/relationships/hyperlink" Target="https://maps.google.com/?q=4.527990,-73.752840" TargetMode="External"/><Relationship Id="rId5526" Type="http://schemas.openxmlformats.org/officeDocument/2006/relationships/hyperlink" Target="https://upload.wikimedia.org/wikipedia/commons/e/e6/White-tailed_deer_%28Odocoileus_virginianus%29_buck-goudotii.jpg" TargetMode="External"/><Relationship Id="rId5529" Type="http://schemas.openxmlformats.org/officeDocument/2006/relationships/hyperlink" Target="https://upload.wikimedia.org/wikipedia/commons/f/f5/Whooping_Motmot_in_Tayrona_National_Park.jpg" TargetMode="External"/><Relationship Id="rId579" Type="http://schemas.openxmlformats.org/officeDocument/2006/relationships/hyperlink" Target="https://upload.wikimedia.org/wikipedia/commons/c/ce/Beard_Lichen_of_the_Cloud_Forest%2C_near_Minca%2C_2025.jpg" TargetMode="External"/><Relationship Id="rId578" Type="http://schemas.openxmlformats.org/officeDocument/2006/relationships/hyperlink" Target="https://commons.wikimedia.org/wiki/File:Beach_in_Riohacha.jpg" TargetMode="External"/><Relationship Id="rId577" Type="http://schemas.openxmlformats.org/officeDocument/2006/relationships/hyperlink" Target="https://upload.wikimedia.org/wikipedia/commons/a/af/Beach_in_Riohacha.jpg" TargetMode="External"/><Relationship Id="rId2490" Type="http://schemas.openxmlformats.org/officeDocument/2006/relationships/hyperlink" Target="https://commons.wikimedia.org/wiki/File:Gusano_medidor_(30062).jpg" TargetMode="External"/><Relationship Id="rId1160" Type="http://schemas.openxmlformats.org/officeDocument/2006/relationships/hyperlink" Target="https://maps.google.com/?q=7.094522,-73.756050" TargetMode="External"/><Relationship Id="rId2491" Type="http://schemas.openxmlformats.org/officeDocument/2006/relationships/hyperlink" Target="https://maps.google.com/?q=4.969160,-74.252786" TargetMode="External"/><Relationship Id="rId572" Type="http://schemas.openxmlformats.org/officeDocument/2006/relationships/hyperlink" Target="https://commons.wikimedia.org/wiki/File:Batara_Mayor.jpg" TargetMode="External"/><Relationship Id="rId1161" Type="http://schemas.openxmlformats.org/officeDocument/2006/relationships/hyperlink" Target="https://upload.wikimedia.org/wikipedia/commons/c/c3/Chironius_spixii_-_Barrancabermeja%2C_Santander%2C_Colombia_-_14_Jun_2026_-_Diferoch_-_1.jpg" TargetMode="External"/><Relationship Id="rId2492" Type="http://schemas.openxmlformats.org/officeDocument/2006/relationships/hyperlink" Target="https://upload.wikimedia.org/wikipedia/commons/8/83/Gusano_medidor_%2891486%29.jpg" TargetMode="External"/><Relationship Id="rId571" Type="http://schemas.openxmlformats.org/officeDocument/2006/relationships/hyperlink" Target="https://upload.wikimedia.org/wikipedia/commons/5/54/Batara_Mayor.jpg" TargetMode="External"/><Relationship Id="rId1162" Type="http://schemas.openxmlformats.org/officeDocument/2006/relationships/hyperlink" Target="https://commons.wikimedia.org/wiki/File:Chironius_spixii_-_Barrancabermeja,_Santander,_Colombia_-_14_Jun_2026_-_Diferoch_-_1.jpg" TargetMode="External"/><Relationship Id="rId2493" Type="http://schemas.openxmlformats.org/officeDocument/2006/relationships/hyperlink" Target="https://commons.wikimedia.org/wiki/File:Gusano_medidor_(91486).jpg" TargetMode="External"/><Relationship Id="rId5520" Type="http://schemas.openxmlformats.org/officeDocument/2006/relationships/hyperlink" Target="https://commons.wikimedia.org/wiki/File:WLE2026_CO_-_Embalse_de_Chuza,_PNN_Chingaza_(43).jpg" TargetMode="External"/><Relationship Id="rId570" Type="http://schemas.openxmlformats.org/officeDocument/2006/relationships/hyperlink" Target="https://commons.wikimedia.org/wiki/File:Basiliscus_galeritus_2026.jpg" TargetMode="External"/><Relationship Id="rId1163" Type="http://schemas.openxmlformats.org/officeDocument/2006/relationships/hyperlink" Target="https://maps.google.com/?q=7.094518,-73.756050" TargetMode="External"/><Relationship Id="rId2494" Type="http://schemas.openxmlformats.org/officeDocument/2006/relationships/hyperlink" Target="https://upload.wikimedia.org/wikipedia/commons/3/3c/Gusano_rojo_me_observa.png" TargetMode="External"/><Relationship Id="rId1164" Type="http://schemas.openxmlformats.org/officeDocument/2006/relationships/hyperlink" Target="https://upload.wikimedia.org/wikipedia/commons/f/f5/Chironius_spixii_-_Barrancabermeja%2C_Santander%2C_Colombia_-_14_Jun_2026_-_Diferoch_-_2.jpg" TargetMode="External"/><Relationship Id="rId2495" Type="http://schemas.openxmlformats.org/officeDocument/2006/relationships/hyperlink" Target="https://commons.wikimedia.org/wiki/File:Gusano_rojo_me_observa.png" TargetMode="External"/><Relationship Id="rId576" Type="http://schemas.openxmlformats.org/officeDocument/2006/relationships/hyperlink" Target="https://commons.wikimedia.org/wiki/File:Beach_in_Colombia.jpg" TargetMode="External"/><Relationship Id="rId1165" Type="http://schemas.openxmlformats.org/officeDocument/2006/relationships/hyperlink" Target="https://commons.wikimedia.org/wiki/File:Chironius_spixii_-_Barrancabermeja,_Santander,_Colombia_-_14_Jun_2026_-_Diferoch_-_2.jpg" TargetMode="External"/><Relationship Id="rId2496" Type="http://schemas.openxmlformats.org/officeDocument/2006/relationships/hyperlink" Target="https://maps.google.com/?q=4.861056,-74.345047" TargetMode="External"/><Relationship Id="rId5523" Type="http://schemas.openxmlformats.org/officeDocument/2006/relationships/hyperlink" Target="https://upload.wikimedia.org/wikipedia/commons/e/eb/WLE2026_CO_-_Floraci%C3%B3n_masiva_de_Espeletia_grandiflora_%2892%29.jpg" TargetMode="External"/><Relationship Id="rId575" Type="http://schemas.openxmlformats.org/officeDocument/2006/relationships/hyperlink" Target="https://upload.wikimedia.org/wikipedia/commons/d/de/Beach_in_Colombia.jpg" TargetMode="External"/><Relationship Id="rId1166" Type="http://schemas.openxmlformats.org/officeDocument/2006/relationships/hyperlink" Target="https://upload.wikimedia.org/wikipedia/commons/2/26/Chlorophonia_pyrrhophrys_-_Chestnut-breasted_Chlorophonia.jpg" TargetMode="External"/><Relationship Id="rId2497" Type="http://schemas.openxmlformats.org/officeDocument/2006/relationships/hyperlink" Target="https://upload.wikimedia.org/wikipedia/commons/d/d6/Guzmania_reserva_Moravia.jpg" TargetMode="External"/><Relationship Id="rId5524" Type="http://schemas.openxmlformats.org/officeDocument/2006/relationships/hyperlink" Target="https://commons.wikimedia.org/wiki/File:WLE2026_CO_-_Floraci%C3%B3n_masiva_de_Espeletia_grandiflora_(92).jpg" TargetMode="External"/><Relationship Id="rId574" Type="http://schemas.openxmlformats.org/officeDocument/2006/relationships/hyperlink" Target="https://commons.wikimedia.org/wiki/File:Ba%C3%B1o_de_p%C3%A1ramo_-_PNN_Chingaza_(PRIMER_PLANO).jpg" TargetMode="External"/><Relationship Id="rId1167" Type="http://schemas.openxmlformats.org/officeDocument/2006/relationships/hyperlink" Target="https://commons.wikimedia.org/wiki/File:Chlorophonia_pyrrhophrys_-_Chestnut-breasted_Chlorophonia.jpg" TargetMode="External"/><Relationship Id="rId2498" Type="http://schemas.openxmlformats.org/officeDocument/2006/relationships/hyperlink" Target="https://commons.wikimedia.org/wiki/File:Guzmania_reserva_Moravia.jpg" TargetMode="External"/><Relationship Id="rId5521" Type="http://schemas.openxmlformats.org/officeDocument/2006/relationships/hyperlink" Target="https://upload.wikimedia.org/wikipedia/commons/7/7f/WLE2026_CO_-_Flor_de_Bejaria_%28familia_Ericaceae%29%2C_PNN_Chingaza_%2845%29.jpg" TargetMode="External"/><Relationship Id="rId573" Type="http://schemas.openxmlformats.org/officeDocument/2006/relationships/hyperlink" Target="https://upload.wikimedia.org/wikipedia/commons/3/3a/Ba%C3%B1o_de_p%C3%A1ramo_-_PNN_Chingaza_%28PRIMER_PLANO%29.jpg" TargetMode="External"/><Relationship Id="rId1168" Type="http://schemas.openxmlformats.org/officeDocument/2006/relationships/hyperlink" Target="https://upload.wikimedia.org/wikipedia/commons/8/8d/Chuguac%C3%A1_%28Icacinaceae%29.jpg" TargetMode="External"/><Relationship Id="rId2499" Type="http://schemas.openxmlformats.org/officeDocument/2006/relationships/hyperlink" Target="https://upload.wikimedia.org/wikipedia/commons/4/4c/Guzmania_sp._en_el_JBB.jpg" TargetMode="External"/><Relationship Id="rId5522" Type="http://schemas.openxmlformats.org/officeDocument/2006/relationships/hyperlink" Target="https://commons.wikimedia.org/wiki/File:WLE2026_CO_-_Flor_de_Bejaria_(familia_Ericaceae),_PNN_Chingaza_(45).jpg" TargetMode="External"/><Relationship Id="rId4228" Type="http://schemas.openxmlformats.org/officeDocument/2006/relationships/hyperlink" Target="https://upload.wikimedia.org/wikipedia/commons/e/ee/Pinos_en_el_Jard%C3%ADn_Bot%C3%A1nico.jpg" TargetMode="External"/><Relationship Id="rId4227" Type="http://schemas.openxmlformats.org/officeDocument/2006/relationships/hyperlink" Target="https://commons.wikimedia.org/wiki/File:Pino_romer%C3%B3n_(26809).jpg" TargetMode="External"/><Relationship Id="rId5558" Type="http://schemas.openxmlformats.org/officeDocument/2006/relationships/hyperlink" Target="https://commons.wikimedia.org/wiki/File:WLE2026_CO_-_Roseta_de_frailej%C3%B3n_en_floraci%C3%B3n_(96).jpg" TargetMode="External"/><Relationship Id="rId4229" Type="http://schemas.openxmlformats.org/officeDocument/2006/relationships/hyperlink" Target="https://commons.wikimedia.org/wiki/File:Pinos_en_el_Jard%C3%ADn_Bot%C3%A1nico.jpg" TargetMode="External"/><Relationship Id="rId5559" Type="http://schemas.openxmlformats.org/officeDocument/2006/relationships/hyperlink" Target="https://upload.wikimedia.org/wikipedia/commons/f/fc/WLE2026_CO_-_Senderismo_en_el_P%C3%A1ramo_de_Guerrero_%2887%29.jpg" TargetMode="External"/><Relationship Id="rId1190" Type="http://schemas.openxmlformats.org/officeDocument/2006/relationships/hyperlink" Target="https://upload.wikimedia.org/wikipedia/commons/8/8d/Cienaga_2.jpg" TargetMode="External"/><Relationship Id="rId1191" Type="http://schemas.openxmlformats.org/officeDocument/2006/relationships/hyperlink" Target="https://commons.wikimedia.org/wiki/File:Cienaga_2.jpg" TargetMode="External"/><Relationship Id="rId1192" Type="http://schemas.openxmlformats.org/officeDocument/2006/relationships/hyperlink" Target="https://upload.wikimedia.org/wikipedia/commons/5/55/Cienaga_In_Guajira.jpg" TargetMode="External"/><Relationship Id="rId1193" Type="http://schemas.openxmlformats.org/officeDocument/2006/relationships/hyperlink" Target="https://commons.wikimedia.org/wiki/File:Cienaga_In_Guajira.jpg" TargetMode="External"/><Relationship Id="rId1194" Type="http://schemas.openxmlformats.org/officeDocument/2006/relationships/hyperlink" Target="https://maps.google.com/?q=11.046389,-74.846667" TargetMode="External"/><Relationship Id="rId4220" Type="http://schemas.openxmlformats.org/officeDocument/2006/relationships/hyperlink" Target="https://upload.wikimedia.org/wikipedia/commons/2/24/Pino_doncel_%28pinaceae%29.jpg" TargetMode="External"/><Relationship Id="rId5552" Type="http://schemas.openxmlformats.org/officeDocument/2006/relationships/hyperlink" Target="https://commons.wikimedia.org/wiki/File:WLE2026_CO_-_P%C3%A1ramo_de_Guerrero_bajo_nubes_(95).jpg" TargetMode="External"/><Relationship Id="rId1195" Type="http://schemas.openxmlformats.org/officeDocument/2006/relationships/hyperlink" Target="https://upload.wikimedia.org/wikipedia/commons/8/8d/Cig%C3%BCe%C3%B1uela_Cuellinegra.jpg" TargetMode="External"/><Relationship Id="rId5553" Type="http://schemas.openxmlformats.org/officeDocument/2006/relationships/hyperlink" Target="https://upload.wikimedia.org/wikipedia/commons/8/88/WLE2026_CO_-_P%C3%A1ramo_de_Guerrero_con_cordillera_al_fondo_%2897%29.jpg" TargetMode="External"/><Relationship Id="rId1196" Type="http://schemas.openxmlformats.org/officeDocument/2006/relationships/hyperlink" Target="https://commons.wikimedia.org/wiki/File:Cig%C3%BCe%C3%B1uela_Cuellinegra.jpg" TargetMode="External"/><Relationship Id="rId4222" Type="http://schemas.openxmlformats.org/officeDocument/2006/relationships/hyperlink" Target="https://maps.google.com/?q=4.987165,-74.969861" TargetMode="External"/><Relationship Id="rId5550" Type="http://schemas.openxmlformats.org/officeDocument/2006/relationships/hyperlink" Target="https://commons.wikimedia.org/wiki/File:WLE2026_CO_-_P%C3%A1ramo_de_Guerrero,_Tausa_(86).jpg" TargetMode="External"/><Relationship Id="rId1197" Type="http://schemas.openxmlformats.org/officeDocument/2006/relationships/hyperlink" Target="https://upload.wikimedia.org/wikipedia/commons/6/6f/Ciudad_amurallada_cartagena.jpg" TargetMode="External"/><Relationship Id="rId4221" Type="http://schemas.openxmlformats.org/officeDocument/2006/relationships/hyperlink" Target="https://commons.wikimedia.org/wiki/File:Pino_doncel_(pinaceae).jpg" TargetMode="External"/><Relationship Id="rId5551" Type="http://schemas.openxmlformats.org/officeDocument/2006/relationships/hyperlink" Target="https://upload.wikimedia.org/wikipedia/commons/1/16/WLE2026_CO_-_P%C3%A1ramo_de_Guerrero_bajo_nubes_%2895%29.jpg" TargetMode="External"/><Relationship Id="rId1198" Type="http://schemas.openxmlformats.org/officeDocument/2006/relationships/hyperlink" Target="https://commons.wikimedia.org/wiki/File:Ciudad_amurallada_cartagena.jpg" TargetMode="External"/><Relationship Id="rId4224" Type="http://schemas.openxmlformats.org/officeDocument/2006/relationships/hyperlink" Target="https://commons.wikimedia.org/wiki/File:Pino_romer%C3%B3n.jpg" TargetMode="External"/><Relationship Id="rId5556" Type="http://schemas.openxmlformats.org/officeDocument/2006/relationships/hyperlink" Target="https://commons.wikimedia.org/wiki/File:WLE2026_CO_-_P%C3%A1ramo_del_PNN_Chingaza_con_embalse_al_fondo_(41).jpg" TargetMode="External"/><Relationship Id="rId1199" Type="http://schemas.openxmlformats.org/officeDocument/2006/relationships/hyperlink" Target="https://upload.wikimedia.org/wikipedia/commons/6/63/Ciudad_de_Pasto%2C_a_las_faldas_del_majestuoso_Volc%C3%A1n_Galeras._Conjunci%C3%B3n_Luna%2C_Venus%2C_Mercurio_y_J%C3%BApiter.jpg" TargetMode="External"/><Relationship Id="rId4223" Type="http://schemas.openxmlformats.org/officeDocument/2006/relationships/hyperlink" Target="https://upload.wikimedia.org/wikipedia/commons/7/76/Pino_romer%C3%B3n.jpg" TargetMode="External"/><Relationship Id="rId5557" Type="http://schemas.openxmlformats.org/officeDocument/2006/relationships/hyperlink" Target="https://upload.wikimedia.org/wikipedia/commons/6/65/WLE2026_CO_-_Roseta_de_frailej%C3%B3n_en_floraci%C3%B3n_%2896%29.jpg" TargetMode="External"/><Relationship Id="rId4226" Type="http://schemas.openxmlformats.org/officeDocument/2006/relationships/hyperlink" Target="https://upload.wikimedia.org/wikipedia/commons/f/fd/Pino_romer%C3%B3n_%2826809%29.jpg" TargetMode="External"/><Relationship Id="rId5554" Type="http://schemas.openxmlformats.org/officeDocument/2006/relationships/hyperlink" Target="https://commons.wikimedia.org/wiki/File:WLE2026_CO_-_P%C3%A1ramo_de_Guerrero_con_cordillera_al_fondo_(97).jpg" TargetMode="External"/><Relationship Id="rId4225" Type="http://schemas.openxmlformats.org/officeDocument/2006/relationships/hyperlink" Target="https://maps.google.com/?q=4.940995,-75.153550" TargetMode="External"/><Relationship Id="rId5555" Type="http://schemas.openxmlformats.org/officeDocument/2006/relationships/hyperlink" Target="https://upload.wikimedia.org/wikipedia/commons/8/8b/WLE2026_CO_-_P%C3%A1ramo_del_PNN_Chingaza_con_embalse_al_fondo_%2841%29.jpg" TargetMode="External"/><Relationship Id="rId4217" Type="http://schemas.openxmlformats.org/officeDocument/2006/relationships/hyperlink" Target="https://commons.wikimedia.org/wiki/File:Pino_chaquero_(podocarpaceae).jpg" TargetMode="External"/><Relationship Id="rId5549" Type="http://schemas.openxmlformats.org/officeDocument/2006/relationships/hyperlink" Target="https://upload.wikimedia.org/wikipedia/commons/8/8f/WLE2026_CO_-_P%C3%A1ramo_de_Guerrero%2C_Tausa_%2886%29.jpg" TargetMode="External"/><Relationship Id="rId4216" Type="http://schemas.openxmlformats.org/officeDocument/2006/relationships/hyperlink" Target="https://upload.wikimedia.org/wikipedia/commons/2/28/Pino_chaquero_%28podocarpaceae%29.jpg" TargetMode="External"/><Relationship Id="rId4219" Type="http://schemas.openxmlformats.org/officeDocument/2006/relationships/hyperlink" Target="https://commons.wikimedia.org/wiki/File:Pino_colombiano_(Podocarpaceae).jpg" TargetMode="External"/><Relationship Id="rId5547" Type="http://schemas.openxmlformats.org/officeDocument/2006/relationships/hyperlink" Target="https://upload.wikimedia.org/wikipedia/commons/d/d3/WLE2026_CO_-_Palmas_de_cera_al_atardecer%2C_Valle_del_Cocora_%2835%29.jpg" TargetMode="External"/><Relationship Id="rId4218" Type="http://schemas.openxmlformats.org/officeDocument/2006/relationships/hyperlink" Target="https://upload.wikimedia.org/wikipedia/commons/f/fc/Pino_colombiano_%28Podocarpaceae%29.jpg" TargetMode="External"/><Relationship Id="rId5548" Type="http://schemas.openxmlformats.org/officeDocument/2006/relationships/hyperlink" Target="https://commons.wikimedia.org/wiki/File:WLE2026_CO_-_Palmas_de_cera_al_atardecer,_Valle_del_Cocora_(35).jpg" TargetMode="External"/><Relationship Id="rId599" Type="http://schemas.openxmlformats.org/officeDocument/2006/relationships/hyperlink" Target="https://commons.wikimedia.org/wiki/File:Bienparado-Parque_Nacional_Natural_Sierra_de_la_Macarena-Colombia-7.jpg" TargetMode="External"/><Relationship Id="rId1180" Type="http://schemas.openxmlformats.org/officeDocument/2006/relationships/hyperlink" Target="https://commons.wikimedia.org/wiki/File:Cielo_parcialmente_despejado.jpg" TargetMode="External"/><Relationship Id="rId1181" Type="http://schemas.openxmlformats.org/officeDocument/2006/relationships/hyperlink" Target="https://maps.google.com/?q=8.081753,-74.778411" TargetMode="External"/><Relationship Id="rId1182" Type="http://schemas.openxmlformats.org/officeDocument/2006/relationships/hyperlink" Target="https://upload.wikimedia.org/wikipedia/commons/b/be/Cielo_parcialmente_nublado_en_Nech%C3%AD.jpg" TargetMode="External"/><Relationship Id="rId594" Type="http://schemas.openxmlformats.org/officeDocument/2006/relationships/hyperlink" Target="https://upload.wikimedia.org/wikipedia/commons/3/37/Bicoloured_antpitta_%28Grallaria_rufocinerea_rufocinerea%29_Caldas_2.jpg" TargetMode="External"/><Relationship Id="rId1183" Type="http://schemas.openxmlformats.org/officeDocument/2006/relationships/hyperlink" Target="https://commons.wikimedia.org/wiki/File:Cielo_parcialmente_nublado_en_Nech%C3%AD.jpg" TargetMode="External"/><Relationship Id="rId5541" Type="http://schemas.openxmlformats.org/officeDocument/2006/relationships/hyperlink" Target="https://upload.wikimedia.org/wikipedia/commons/4/42/WLE2026_CO_-_Inflorescencias_secas_de_Espeletia%2C_P%C3%A1ramo_de_Guerrero_%2894%29.jpg" TargetMode="External"/><Relationship Id="rId593" Type="http://schemas.openxmlformats.org/officeDocument/2006/relationships/hyperlink" Target="https://maps.google.com/?q=5.070000,-75.440000" TargetMode="External"/><Relationship Id="rId1184" Type="http://schemas.openxmlformats.org/officeDocument/2006/relationships/hyperlink" Target="https://maps.google.com/?q=4.972988,-74.290768" TargetMode="External"/><Relationship Id="rId5542" Type="http://schemas.openxmlformats.org/officeDocument/2006/relationships/hyperlink" Target="https://commons.wikimedia.org/wiki/File:WLE2026_CO_-_Inflorescencias_secas_de_Espeletia,_P%C3%A1ramo_de_Guerrero_(94).jpg" TargetMode="External"/><Relationship Id="rId592" Type="http://schemas.openxmlformats.org/officeDocument/2006/relationships/hyperlink" Target="https://commons.wikimedia.org/wiki/File:Bicho_en_hoja.jpg" TargetMode="External"/><Relationship Id="rId1185" Type="http://schemas.openxmlformats.org/officeDocument/2006/relationships/hyperlink" Target="https://upload.wikimedia.org/wikipedia/commons/a/ad/Ciempi%C3%A9s_de_patas_de_fuego.jpg" TargetMode="External"/><Relationship Id="rId4211" Type="http://schemas.openxmlformats.org/officeDocument/2006/relationships/hyperlink" Target="https://maps.google.com/?q=4.862098,-73.868921" TargetMode="External"/><Relationship Id="rId591" Type="http://schemas.openxmlformats.org/officeDocument/2006/relationships/hyperlink" Target="https://upload.wikimedia.org/wikipedia/commons/4/4d/Bicho_en_hoja.jpg" TargetMode="External"/><Relationship Id="rId1186" Type="http://schemas.openxmlformats.org/officeDocument/2006/relationships/hyperlink" Target="https://commons.wikimedia.org/wiki/File:Ciempi%C3%A9s_de_patas_de_fuego.jpg" TargetMode="External"/><Relationship Id="rId4210" Type="http://schemas.openxmlformats.org/officeDocument/2006/relationships/hyperlink" Target="https://commons.wikimedia.org/wiki/File:Piedra_del_Indio.jpg" TargetMode="External"/><Relationship Id="rId5540" Type="http://schemas.openxmlformats.org/officeDocument/2006/relationships/hyperlink" Target="https://commons.wikimedia.org/wiki/File:WLE2026_CO_-_Inflorescencia_de_Puya_en_el_P%C3%A1ramo_de_Guerrero_(89).jpg" TargetMode="External"/><Relationship Id="rId598" Type="http://schemas.openxmlformats.org/officeDocument/2006/relationships/hyperlink" Target="https://upload.wikimedia.org/wikipedia/commons/8/87/Bienparado-Parque_Nacional_Natural_Sierra_de_la_Macarena-Colombia-7.jpg" TargetMode="External"/><Relationship Id="rId1187" Type="http://schemas.openxmlformats.org/officeDocument/2006/relationships/hyperlink" Target="https://maps.google.com/?q=10.990622,-74.287111" TargetMode="External"/><Relationship Id="rId4213" Type="http://schemas.openxmlformats.org/officeDocument/2006/relationships/hyperlink" Target="https://commons.wikimedia.org/wiki/File:Piedra_en_una_mini_cueva.jpg" TargetMode="External"/><Relationship Id="rId5545" Type="http://schemas.openxmlformats.org/officeDocument/2006/relationships/hyperlink" Target="https://upload.wikimedia.org/wikipedia/commons/9/9b/WLE2026_CO_-_Mirador_en_el_Parque_Natural_Chicaque_%2883%29.jpg" TargetMode="External"/><Relationship Id="rId597" Type="http://schemas.openxmlformats.org/officeDocument/2006/relationships/hyperlink" Target="https://commons.wikimedia.org/wiki/File:Bienparado-Parque_Nacional_Natural_Sierra_de_la_Macarena-Colombia-6.jpg" TargetMode="External"/><Relationship Id="rId1188" Type="http://schemas.openxmlformats.org/officeDocument/2006/relationships/hyperlink" Target="https://upload.wikimedia.org/wikipedia/commons/0/00/Cienaga%2C_Magdalena.jpg" TargetMode="External"/><Relationship Id="rId4212" Type="http://schemas.openxmlformats.org/officeDocument/2006/relationships/hyperlink" Target="https://upload.wikimedia.org/wikipedia/commons/4/4e/Piedra_en_una_mini_cueva.jpg" TargetMode="External"/><Relationship Id="rId5546" Type="http://schemas.openxmlformats.org/officeDocument/2006/relationships/hyperlink" Target="https://commons.wikimedia.org/wiki/File:WLE2026_CO_-_Mirador_en_el_Parque_Natural_Chicaque_(83).jpg" TargetMode="External"/><Relationship Id="rId596" Type="http://schemas.openxmlformats.org/officeDocument/2006/relationships/hyperlink" Target="https://upload.wikimedia.org/wikipedia/commons/d/d9/Bienparado-Parque_Nacional_Natural_Sierra_de_la_Macarena-Colombia-6.jpg" TargetMode="External"/><Relationship Id="rId1189" Type="http://schemas.openxmlformats.org/officeDocument/2006/relationships/hyperlink" Target="https://commons.wikimedia.org/wiki/File:Cienaga,_Magdalena.jpg" TargetMode="External"/><Relationship Id="rId4215" Type="http://schemas.openxmlformats.org/officeDocument/2006/relationships/hyperlink" Target="https://commons.wikimedia.org/wiki/File:Pilpih_ainki_(Calliandra_trinervia_Benth).jpg" TargetMode="External"/><Relationship Id="rId5543" Type="http://schemas.openxmlformats.org/officeDocument/2006/relationships/hyperlink" Target="https://upload.wikimedia.org/wikipedia/commons/c/c9/WLE2026_CO_-_Mirador_del_P%C3%A1ramo_de_Guerrero_%2898%29.jpg" TargetMode="External"/><Relationship Id="rId595" Type="http://schemas.openxmlformats.org/officeDocument/2006/relationships/hyperlink" Target="https://commons.wikimedia.org/wiki/File:Bicoloured_antpitta_(Grallaria_rufocinerea_rufocinerea)_Caldas_2.jpg" TargetMode="External"/><Relationship Id="rId4214" Type="http://schemas.openxmlformats.org/officeDocument/2006/relationships/hyperlink" Target="https://upload.wikimedia.org/wikipedia/commons/d/dc/Pilpih_ainki_%28Calliandra_trinervia_Benth%29.jpg" TargetMode="External"/><Relationship Id="rId5544" Type="http://schemas.openxmlformats.org/officeDocument/2006/relationships/hyperlink" Target="https://commons.wikimedia.org/wiki/File:WLE2026_CO_-_Mirador_del_P%C3%A1ramo_de_Guerrero_(98).jpg" TargetMode="External"/><Relationship Id="rId1136" Type="http://schemas.openxmlformats.org/officeDocument/2006/relationships/hyperlink" Target="https://upload.wikimedia.org/wikipedia/commons/1/10/Chasing_waterfalls_at_Quebrada_Valencia.jpg" TargetMode="External"/><Relationship Id="rId2467" Type="http://schemas.openxmlformats.org/officeDocument/2006/relationships/hyperlink" Target="https://upload.wikimedia.org/wikipedia/commons/0/01/Guardianes_del_piedemonte_llanero_06.png" TargetMode="External"/><Relationship Id="rId3799" Type="http://schemas.openxmlformats.org/officeDocument/2006/relationships/hyperlink" Target="https://upload.wikimedia.org/wikipedia/commons/d/da/Paisaje_de_Iza%2C_Boyac%C3%A1.jpg" TargetMode="External"/><Relationship Id="rId1137" Type="http://schemas.openxmlformats.org/officeDocument/2006/relationships/hyperlink" Target="https://commons.wikimedia.org/wiki/File:Chasing_waterfalls_at_Quebrada_Valencia.jpg" TargetMode="External"/><Relationship Id="rId2468" Type="http://schemas.openxmlformats.org/officeDocument/2006/relationships/hyperlink" Target="https://commons.wikimedia.org/wiki/File:Guardianes_del_piedemonte_llanero_06.png" TargetMode="External"/><Relationship Id="rId3798" Type="http://schemas.openxmlformats.org/officeDocument/2006/relationships/hyperlink" Target="https://commons.wikimedia.org/wiki/File:Paisaje_de_Guasca_-_La_Reserva_El_Zoque.jpg" TargetMode="External"/><Relationship Id="rId1138" Type="http://schemas.openxmlformats.org/officeDocument/2006/relationships/hyperlink" Target="https://maps.google.com/?q=6.717308,-74.134933" TargetMode="External"/><Relationship Id="rId2469" Type="http://schemas.openxmlformats.org/officeDocument/2006/relationships/hyperlink" Target="https://maps.google.com/?q=5.936661,-73.007276" TargetMode="External"/><Relationship Id="rId1139" Type="http://schemas.openxmlformats.org/officeDocument/2006/relationships/hyperlink" Target="https://upload.wikimedia.org/wikipedia/commons/2/23/Chauna_chavaria_-_Cimitarra%2C_Santander%2C_Colombia_-_01_Oct_2025_-_Diferoch.jpg" TargetMode="External"/><Relationship Id="rId547" Type="http://schemas.openxmlformats.org/officeDocument/2006/relationships/hyperlink" Target="https://commons.wikimedia.org/wiki/File:Ballena_jorobada_o_ballena_yubarta_(Megaptera_novaeangliae).jpg" TargetMode="External"/><Relationship Id="rId546" Type="http://schemas.openxmlformats.org/officeDocument/2006/relationships/hyperlink" Target="https://upload.wikimedia.org/wikipedia/commons/e/e0/Ballena_jorobada_o_ballena_yubarta_%28Megaptera_novaeangliae%29.jpg" TargetMode="External"/><Relationship Id="rId545" Type="http://schemas.openxmlformats.org/officeDocument/2006/relationships/hyperlink" Target="https://commons.wikimedia.org/wiki/File:Balazo2.jpg" TargetMode="External"/><Relationship Id="rId544" Type="http://schemas.openxmlformats.org/officeDocument/2006/relationships/hyperlink" Target="https://upload.wikimedia.org/wikipedia/commons/7/7a/Balazo2.jpg" TargetMode="External"/><Relationship Id="rId549" Type="http://schemas.openxmlformats.org/officeDocument/2006/relationships/hyperlink" Target="https://upload.wikimedia.org/wikipedia/commons/f/f3/Bananaquit_%28Coereba_flaveola%29_sobre_la_flor_de_un_banano.jpg" TargetMode="External"/><Relationship Id="rId548" Type="http://schemas.openxmlformats.org/officeDocument/2006/relationships/hyperlink" Target="https://maps.google.com/?q=4.581600,-7.417210" TargetMode="External"/><Relationship Id="rId3791" Type="http://schemas.openxmlformats.org/officeDocument/2006/relationships/hyperlink" Target="https://upload.wikimedia.org/wikipedia/commons/e/e8/Paisaje_de_Frailejones.jpg" TargetMode="External"/><Relationship Id="rId2460" Type="http://schemas.openxmlformats.org/officeDocument/2006/relationships/hyperlink" Target="https://commons.wikimedia.org/wiki/File:Guardianes_del_piedemonte_llanero_02.png" TargetMode="External"/><Relationship Id="rId3790" Type="http://schemas.openxmlformats.org/officeDocument/2006/relationships/hyperlink" Target="https://maps.google.com/?q=4.934704,-75.347230" TargetMode="External"/><Relationship Id="rId1130" Type="http://schemas.openxmlformats.org/officeDocument/2006/relationships/hyperlink" Target="https://upload.wikimedia.org/wikipedia/commons/2/22/Charadrius_semipalmatus_-_Nuqu%C3%AD%2C_Choc%C3%B3%2C_Colombia_-_23_Oct_2025_-_Diferoch.jpg" TargetMode="External"/><Relationship Id="rId2461" Type="http://schemas.openxmlformats.org/officeDocument/2006/relationships/hyperlink" Target="https://upload.wikimedia.org/wikipedia/commons/1/1c/Guardianes_del_piedemonte_llanero_03.png" TargetMode="External"/><Relationship Id="rId3793" Type="http://schemas.openxmlformats.org/officeDocument/2006/relationships/hyperlink" Target="https://maps.google.com/?q=4.842005,-73.834041" TargetMode="External"/><Relationship Id="rId1131" Type="http://schemas.openxmlformats.org/officeDocument/2006/relationships/hyperlink" Target="https://commons.wikimedia.org/wiki/File:Charadrius_semipalmatus_-_Nuqu%C3%AD,_Choc%C3%B3,_Colombia_-_23_Oct_2025_-_Diferoch.jpg" TargetMode="External"/><Relationship Id="rId2462" Type="http://schemas.openxmlformats.org/officeDocument/2006/relationships/hyperlink" Target="https://commons.wikimedia.org/wiki/File:Guardianes_del_piedemonte_llanero_03.png" TargetMode="External"/><Relationship Id="rId3792" Type="http://schemas.openxmlformats.org/officeDocument/2006/relationships/hyperlink" Target="https://commons.wikimedia.org/wiki/File:Paisaje_de_Frailejones.jpg" TargetMode="External"/><Relationship Id="rId543" Type="http://schemas.openxmlformats.org/officeDocument/2006/relationships/hyperlink" Target="https://maps.google.com/?q=4.667750,-74.099944" TargetMode="External"/><Relationship Id="rId1132" Type="http://schemas.openxmlformats.org/officeDocument/2006/relationships/hyperlink" Target="https://upload.wikimedia.org/wikipedia/commons/4/44/Charca_en_el_Parque_Nacional_Natural_El_Cocuy.jpg" TargetMode="External"/><Relationship Id="rId2463" Type="http://schemas.openxmlformats.org/officeDocument/2006/relationships/hyperlink" Target="https://upload.wikimedia.org/wikipedia/commons/d/de/Guardianes_del_piedemonte_llanero_04.png" TargetMode="External"/><Relationship Id="rId3795" Type="http://schemas.openxmlformats.org/officeDocument/2006/relationships/hyperlink" Target="https://commons.wikimedia.org/wiki/File:Paisaje_de_Guasca.jpg" TargetMode="External"/><Relationship Id="rId542" Type="http://schemas.openxmlformats.org/officeDocument/2006/relationships/hyperlink" Target="https://commons.wikimedia.org/wiki/File:Balazo.jpg" TargetMode="External"/><Relationship Id="rId1133" Type="http://schemas.openxmlformats.org/officeDocument/2006/relationships/hyperlink" Target="https://commons.wikimedia.org/wiki/File:Charca_en_el_Parque_Nacional_Natural_El_Cocuy.jpg" TargetMode="External"/><Relationship Id="rId2464" Type="http://schemas.openxmlformats.org/officeDocument/2006/relationships/hyperlink" Target="https://commons.wikimedia.org/wiki/File:Guardianes_del_piedemonte_llanero_04.png" TargetMode="External"/><Relationship Id="rId3794" Type="http://schemas.openxmlformats.org/officeDocument/2006/relationships/hyperlink" Target="https://upload.wikimedia.org/wikipedia/commons/4/47/Paisaje_de_Guasca.jpg" TargetMode="External"/><Relationship Id="rId541" Type="http://schemas.openxmlformats.org/officeDocument/2006/relationships/hyperlink" Target="https://upload.wikimedia.org/wikipedia/commons/1/19/Balazo.jpg" TargetMode="External"/><Relationship Id="rId1134" Type="http://schemas.openxmlformats.org/officeDocument/2006/relationships/hyperlink" Target="https://upload.wikimedia.org/wikipedia/commons/0/04/Charlas_de_familia_-_PNN_Sumapaz.jpg" TargetMode="External"/><Relationship Id="rId2465" Type="http://schemas.openxmlformats.org/officeDocument/2006/relationships/hyperlink" Target="https://upload.wikimedia.org/wikipedia/commons/2/2e/Guardianes_del_piedemonte_llanero_05.png" TargetMode="External"/><Relationship Id="rId3797" Type="http://schemas.openxmlformats.org/officeDocument/2006/relationships/hyperlink" Target="https://upload.wikimedia.org/wikipedia/commons/4/43/Paisaje_de_Guasca_-_La_Reserva_El_Zoque.jpg" TargetMode="External"/><Relationship Id="rId540" Type="http://schemas.openxmlformats.org/officeDocument/2006/relationships/hyperlink" Target="https://maps.google.com/?q=4.667750,-74.099944" TargetMode="External"/><Relationship Id="rId1135" Type="http://schemas.openxmlformats.org/officeDocument/2006/relationships/hyperlink" Target="https://commons.wikimedia.org/wiki/File:Charlas_de_familia_-_PNN_Sumapaz.jpg" TargetMode="External"/><Relationship Id="rId2466" Type="http://schemas.openxmlformats.org/officeDocument/2006/relationships/hyperlink" Target="https://commons.wikimedia.org/wiki/File:Guardianes_del_piedemonte_llanero_05.png" TargetMode="External"/><Relationship Id="rId3796" Type="http://schemas.openxmlformats.org/officeDocument/2006/relationships/hyperlink" Target="https://maps.google.com/?q=4.841970,-73.834124" TargetMode="External"/><Relationship Id="rId1125" Type="http://schemas.openxmlformats.org/officeDocument/2006/relationships/hyperlink" Target="https://commons.wikimedia.org/wiki/File:Chaparro_florecido.jpg" TargetMode="External"/><Relationship Id="rId2456" Type="http://schemas.openxmlformats.org/officeDocument/2006/relationships/hyperlink" Target="https://commons.wikimedia.org/wiki/File:Guardianes_del_agua_en_el_PNN_Purac%C3%A9.jpg" TargetMode="External"/><Relationship Id="rId3788" Type="http://schemas.openxmlformats.org/officeDocument/2006/relationships/hyperlink" Target="https://upload.wikimedia.org/wikipedia/commons/a/a3/Paisaje_boyacense.jpg" TargetMode="External"/><Relationship Id="rId1126" Type="http://schemas.openxmlformats.org/officeDocument/2006/relationships/hyperlink" Target="https://maps.google.com/?q=4.667750,-74.099944" TargetMode="External"/><Relationship Id="rId2457" Type="http://schemas.openxmlformats.org/officeDocument/2006/relationships/hyperlink" Target="https://upload.wikimedia.org/wikipedia/commons/8/8f/Guardianes_del_piedemonte_llanero_01.png" TargetMode="External"/><Relationship Id="rId3787" Type="http://schemas.openxmlformats.org/officeDocument/2006/relationships/hyperlink" Target="https://commons.wikimedia.org/wiki/File:Paisaje_bosque_seco_tropical_Tatacoa.jpg" TargetMode="External"/><Relationship Id="rId1127" Type="http://schemas.openxmlformats.org/officeDocument/2006/relationships/hyperlink" Target="https://upload.wikimedia.org/wikipedia/commons/5/57/Chaquiro_dulce.jpg" TargetMode="External"/><Relationship Id="rId2458" Type="http://schemas.openxmlformats.org/officeDocument/2006/relationships/hyperlink" Target="https://commons.wikimedia.org/wiki/File:Guardianes_del_piedemonte_llanero_01.png" TargetMode="External"/><Relationship Id="rId1128" Type="http://schemas.openxmlformats.org/officeDocument/2006/relationships/hyperlink" Target="https://commons.wikimedia.org/wiki/File:Chaquiro_dulce.jpg" TargetMode="External"/><Relationship Id="rId2459" Type="http://schemas.openxmlformats.org/officeDocument/2006/relationships/hyperlink" Target="https://upload.wikimedia.org/wikipedia/commons/9/96/Guardianes_del_piedemonte_llanero_02.png" TargetMode="External"/><Relationship Id="rId3789" Type="http://schemas.openxmlformats.org/officeDocument/2006/relationships/hyperlink" Target="https://commons.wikimedia.org/wiki/File:Paisaje_boyacense.jpg" TargetMode="External"/><Relationship Id="rId1129" Type="http://schemas.openxmlformats.org/officeDocument/2006/relationships/hyperlink" Target="https://maps.google.com/?q=5.609680,-77.438163" TargetMode="External"/><Relationship Id="rId536" Type="http://schemas.openxmlformats.org/officeDocument/2006/relationships/hyperlink" Target="https://upload.wikimedia.org/wikipedia/commons/2/2b/Bahia_el_Aguacate_en_Capurgan%C3%A1_Colombia.jpg" TargetMode="External"/><Relationship Id="rId535" Type="http://schemas.openxmlformats.org/officeDocument/2006/relationships/hyperlink" Target="https://commons.wikimedia.org/wiki/File:Babilla_(Caiman_crocodilus)_aliment%C3%A1ndose_de_una_zarig%C3%BCeya_en_Villavicencio,_Colombia.jpg" TargetMode="External"/><Relationship Id="rId534" Type="http://schemas.openxmlformats.org/officeDocument/2006/relationships/hyperlink" Target="https://upload.wikimedia.org/wikipedia/commons/c/cc/Babilla_%28Caiman_crocodilus%29_aliment%C3%A1ndose_de_una_zarig%C3%BCeya_en_Villavicencio%2C_Colombia.jpg" TargetMode="External"/><Relationship Id="rId533" Type="http://schemas.openxmlformats.org/officeDocument/2006/relationships/hyperlink" Target="https://commons.wikimedia.org/wiki/File:Az%C3%BAcar_del_pan_-_PNN_Sierra_Nevada_Guican.jpg" TargetMode="External"/><Relationship Id="rId539" Type="http://schemas.openxmlformats.org/officeDocument/2006/relationships/hyperlink" Target="https://commons.wikimedia.org/wiki/File:Bah%C3%ADa_de_Sapzurro_y_claridad_marina.jpg" TargetMode="External"/><Relationship Id="rId538" Type="http://schemas.openxmlformats.org/officeDocument/2006/relationships/hyperlink" Target="https://upload.wikimedia.org/wikipedia/commons/d/d4/Bah%C3%ADa_de_Sapzurro_y_claridad_marina.jpg" TargetMode="External"/><Relationship Id="rId537" Type="http://schemas.openxmlformats.org/officeDocument/2006/relationships/hyperlink" Target="https://commons.wikimedia.org/wiki/File:Bahia_el_Aguacate_en_Capurgan%C3%A1_Colombia.jpg" TargetMode="External"/><Relationship Id="rId3780" Type="http://schemas.openxmlformats.org/officeDocument/2006/relationships/hyperlink" Target="https://upload.wikimedia.org/wikipedia/commons/e/ea/Paisaje_Desierto_Tatacoa_03.jpg" TargetMode="External"/><Relationship Id="rId2450" Type="http://schemas.openxmlformats.org/officeDocument/2006/relationships/hyperlink" Target="https://commons.wikimedia.org/wiki/File:Guajira_desierto.jpg" TargetMode="External"/><Relationship Id="rId3782" Type="http://schemas.openxmlformats.org/officeDocument/2006/relationships/hyperlink" Target="https://upload.wikimedia.org/wikipedia/commons/5/5e/Paisaje_Jard%C3%ADn_Bot%C3%A1nico_de_Bogot%C3%A1.jpg" TargetMode="External"/><Relationship Id="rId1120" Type="http://schemas.openxmlformats.org/officeDocument/2006/relationships/hyperlink" Target="https://upload.wikimedia.org/wikipedia/commons/b/b1/Chaetolepis_microphylla_28%2C06%2C26_p%C3%A1ramo_de_Belmira.jpg" TargetMode="External"/><Relationship Id="rId2451" Type="http://schemas.openxmlformats.org/officeDocument/2006/relationships/hyperlink" Target="https://maps.google.com/?q=4.667750,-74.099944" TargetMode="External"/><Relationship Id="rId3781" Type="http://schemas.openxmlformats.org/officeDocument/2006/relationships/hyperlink" Target="https://commons.wikimedia.org/wiki/File:Paisaje_Desierto_Tatacoa_03.jpg" TargetMode="External"/><Relationship Id="rId532" Type="http://schemas.openxmlformats.org/officeDocument/2006/relationships/hyperlink" Target="https://upload.wikimedia.org/wikipedia/commons/5/53/Az%C3%BAcar_del_pan_-_PNN_Sierra_Nevada_Guican.jpg" TargetMode="External"/><Relationship Id="rId1121" Type="http://schemas.openxmlformats.org/officeDocument/2006/relationships/hyperlink" Target="https://commons.wikimedia.org/wiki/File:Chaetolepis_microphylla_28,06,26_p%C3%A1ramo_de_Belmira.jpg" TargetMode="External"/><Relationship Id="rId2452" Type="http://schemas.openxmlformats.org/officeDocument/2006/relationships/hyperlink" Target="https://upload.wikimedia.org/wikipedia/commons/6/62/Guama_mayo_de_2026.jpg" TargetMode="External"/><Relationship Id="rId3784" Type="http://schemas.openxmlformats.org/officeDocument/2006/relationships/hyperlink" Target="https://upload.wikimedia.org/wikipedia/commons/d/d6/Paisaje_av_68_con_3_bogota.jpg" TargetMode="External"/><Relationship Id="rId531" Type="http://schemas.openxmlformats.org/officeDocument/2006/relationships/hyperlink" Target="https://commons.wikimedia.org/wiki/File:Azul_y_mi_verde.jpg" TargetMode="External"/><Relationship Id="rId1122" Type="http://schemas.openxmlformats.org/officeDocument/2006/relationships/hyperlink" Target="https://upload.wikimedia.org/wikipedia/commons/d/df/Chagra_Yuca_Brava_-_Mira%C3%B1as_PNN_Cahuinari.jpg" TargetMode="External"/><Relationship Id="rId2453" Type="http://schemas.openxmlformats.org/officeDocument/2006/relationships/hyperlink" Target="https://commons.wikimedia.org/wiki/File:Guama_mayo_de_2026.jpg" TargetMode="External"/><Relationship Id="rId3783" Type="http://schemas.openxmlformats.org/officeDocument/2006/relationships/hyperlink" Target="https://commons.wikimedia.org/wiki/File:Paisaje_Jard%C3%ADn_Bot%C3%A1nico_de_Bogot%C3%A1.jpg" TargetMode="External"/><Relationship Id="rId530" Type="http://schemas.openxmlformats.org/officeDocument/2006/relationships/hyperlink" Target="https://upload.wikimedia.org/wikipedia/commons/c/cf/Azul_y_mi_verde.jpg" TargetMode="External"/><Relationship Id="rId1123" Type="http://schemas.openxmlformats.org/officeDocument/2006/relationships/hyperlink" Target="https://commons.wikimedia.org/wiki/File:Chagra_Yuca_Brava_-_Mira%C3%B1as_PNN_Cahuinari.jpg" TargetMode="External"/><Relationship Id="rId2454" Type="http://schemas.openxmlformats.org/officeDocument/2006/relationships/hyperlink" Target="https://maps.google.com/?q=2.128661,-76.429432" TargetMode="External"/><Relationship Id="rId3786" Type="http://schemas.openxmlformats.org/officeDocument/2006/relationships/hyperlink" Target="https://upload.wikimedia.org/wikipedia/commons/8/8f/Paisaje_bosque_seco_tropical_Tatacoa.jpg" TargetMode="External"/><Relationship Id="rId1124" Type="http://schemas.openxmlformats.org/officeDocument/2006/relationships/hyperlink" Target="https://upload.wikimedia.org/wikipedia/commons/a/a0/Chaparro_florecido.jpg" TargetMode="External"/><Relationship Id="rId2455" Type="http://schemas.openxmlformats.org/officeDocument/2006/relationships/hyperlink" Target="https://upload.wikimedia.org/wikipedia/commons/3/30/Guardianes_del_agua_en_el_PNN_Purac%C3%A9.jpg" TargetMode="External"/><Relationship Id="rId3785" Type="http://schemas.openxmlformats.org/officeDocument/2006/relationships/hyperlink" Target="https://commons.wikimedia.org/wiki/File:Paisaje_av_68_con_3_bogota.jpg" TargetMode="External"/><Relationship Id="rId1158" Type="http://schemas.openxmlformats.org/officeDocument/2006/relationships/hyperlink" Target="https://upload.wikimedia.org/wikipedia/commons/6/63/Chiraco_o_Pedro_Hern%C3%A1ndez.jpg" TargetMode="External"/><Relationship Id="rId2489" Type="http://schemas.openxmlformats.org/officeDocument/2006/relationships/hyperlink" Target="https://upload.wikimedia.org/wikipedia/commons/e/e7/Gusano_medidor_%2830062%29.jpg" TargetMode="External"/><Relationship Id="rId5516" Type="http://schemas.openxmlformats.org/officeDocument/2006/relationships/hyperlink" Target="https://commons.wikimedia.org/wiki/File:WLE2026_CO_-_Detalle_de_inflorescencia_de_Puya,_P%C3%A1ramo_de_Guerrero_(90).jpg" TargetMode="External"/><Relationship Id="rId1159" Type="http://schemas.openxmlformats.org/officeDocument/2006/relationships/hyperlink" Target="https://commons.wikimedia.org/wiki/File:Chiraco_o_Pedro_Hern%C3%A1ndez.jpg" TargetMode="External"/><Relationship Id="rId5517" Type="http://schemas.openxmlformats.org/officeDocument/2006/relationships/hyperlink" Target="https://upload.wikimedia.org/wikipedia/commons/c/c2/WLE2026_CO_-_Ecosistema_xerof%C3%ADtico_del_Ca%C3%B1%C3%B3n_del_Chicamocha_%2828%29.jpg" TargetMode="External"/><Relationship Id="rId5514" Type="http://schemas.openxmlformats.org/officeDocument/2006/relationships/hyperlink" Target="https://commons.wikimedia.org/wiki/File:WLE2026_CO_-_Cruz_de_la_cumbre_del_Cerro_de_Monserrate_(4).jpg" TargetMode="External"/><Relationship Id="rId5515" Type="http://schemas.openxmlformats.org/officeDocument/2006/relationships/hyperlink" Target="https://upload.wikimedia.org/wikipedia/commons/a/a4/WLE2026_CO_-_Detalle_de_inflorescencia_de_Puya%2C_P%C3%A1ramo_de_Guerrero_%2890%29.jpg" TargetMode="External"/><Relationship Id="rId5518" Type="http://schemas.openxmlformats.org/officeDocument/2006/relationships/hyperlink" Target="https://commons.wikimedia.org/wiki/File:WLE2026_CO_-_Ecosistema_xerof%C3%ADtico_del_Ca%C3%B1%C3%B3n_del_Chicamocha_(28).jpg" TargetMode="External"/><Relationship Id="rId5519" Type="http://schemas.openxmlformats.org/officeDocument/2006/relationships/hyperlink" Target="https://upload.wikimedia.org/wikipedia/commons/3/35/WLE2026_CO_-_Embalse_de_Chuza%2C_PNN_Chingaza_%2843%29.jpg" TargetMode="External"/><Relationship Id="rId569" Type="http://schemas.openxmlformats.org/officeDocument/2006/relationships/hyperlink" Target="https://upload.wikimedia.org/wikipedia/commons/d/db/Basiliscus_galeritus_2026.jpg" TargetMode="External"/><Relationship Id="rId568" Type="http://schemas.openxmlformats.org/officeDocument/2006/relationships/hyperlink" Target="https://maps.google.com/?q=5.862240,-74.870470" TargetMode="External"/><Relationship Id="rId567" Type="http://schemas.openxmlformats.org/officeDocument/2006/relationships/hyperlink" Target="https://commons.wikimedia.org/wiki/File:Barranquillo_o_Barranquero.jpg" TargetMode="External"/><Relationship Id="rId566" Type="http://schemas.openxmlformats.org/officeDocument/2006/relationships/hyperlink" Target="https://upload.wikimedia.org/wikipedia/commons/3/3b/Barranquillo_o_Barranquero.jpg" TargetMode="External"/><Relationship Id="rId2480" Type="http://schemas.openxmlformats.org/officeDocument/2006/relationships/hyperlink" Target="https://commons.wikimedia.org/wiki/File:Guayac%C3%A1n_de_Manizales.jpg" TargetMode="External"/><Relationship Id="rId561" Type="http://schemas.openxmlformats.org/officeDocument/2006/relationships/hyperlink" Target="https://commons.wikimedia.org/wiki/File:Barranco_Norcasia.jpg" TargetMode="External"/><Relationship Id="rId1150" Type="http://schemas.openxmlformats.org/officeDocument/2006/relationships/hyperlink" Target="https://maps.google.com/?q=4.581600,-7.417210" TargetMode="External"/><Relationship Id="rId2481" Type="http://schemas.openxmlformats.org/officeDocument/2006/relationships/hyperlink" Target="https://upload.wikimedia.org/wikipedia/commons/4/40/Guayac%C3%A1n_de_Manizales_%28Lythraceae%29.jpg" TargetMode="External"/><Relationship Id="rId560" Type="http://schemas.openxmlformats.org/officeDocument/2006/relationships/hyperlink" Target="https://upload.wikimedia.org/wikipedia/commons/3/38/Barranco_Norcasia.jpg" TargetMode="External"/><Relationship Id="rId1151" Type="http://schemas.openxmlformats.org/officeDocument/2006/relationships/hyperlink" Target="https://upload.wikimedia.org/wikipedia/commons/e/ef/Chicharra-Tettigades_chilensis.jpg" TargetMode="External"/><Relationship Id="rId2482" Type="http://schemas.openxmlformats.org/officeDocument/2006/relationships/hyperlink" Target="https://commons.wikimedia.org/wiki/File:Guayac%C3%A1n_de_Manizales_(Lythraceae).jpg" TargetMode="External"/><Relationship Id="rId1152" Type="http://schemas.openxmlformats.org/officeDocument/2006/relationships/hyperlink" Target="https://commons.wikimedia.org/wiki/File:Chicharra-Tettigades_chilensis.jpg" TargetMode="External"/><Relationship Id="rId2483" Type="http://schemas.openxmlformats.org/officeDocument/2006/relationships/hyperlink" Target="https://upload.wikimedia.org/wikipedia/commons/6/69/Guayac%C3%A1n_rosado.jpg" TargetMode="External"/><Relationship Id="rId1153" Type="http://schemas.openxmlformats.org/officeDocument/2006/relationships/hyperlink" Target="https://upload.wikimedia.org/wikipedia/commons/b/b8/Chig%C3%BCiros_-_Llanos_Orientales.jpg" TargetMode="External"/><Relationship Id="rId2484" Type="http://schemas.openxmlformats.org/officeDocument/2006/relationships/hyperlink" Target="https://commons.wikimedia.org/wiki/File:Guayac%C3%A1n_rosado.jpg" TargetMode="External"/><Relationship Id="rId565" Type="http://schemas.openxmlformats.org/officeDocument/2006/relationships/hyperlink" Target="https://commons.wikimedia.org/wiki/File:Barranquero_en_Chinchilla.jpg" TargetMode="External"/><Relationship Id="rId1154" Type="http://schemas.openxmlformats.org/officeDocument/2006/relationships/hyperlink" Target="https://commons.wikimedia.org/wiki/File:Chig%C3%BCiros_-_Llanos_Orientales.jpg" TargetMode="External"/><Relationship Id="rId2485" Type="http://schemas.openxmlformats.org/officeDocument/2006/relationships/hyperlink" Target="https://maps.google.com/?q=4.968263,-74.250233" TargetMode="External"/><Relationship Id="rId5512" Type="http://schemas.openxmlformats.org/officeDocument/2006/relationships/hyperlink" Target="https://commons.wikimedia.org/wiki/File:WLE2026_CO_-_Cordillera_entre_la_niebla,_Salto_del_Tequendama_(57).jpg" TargetMode="External"/><Relationship Id="rId564" Type="http://schemas.openxmlformats.org/officeDocument/2006/relationships/hyperlink" Target="https://upload.wikimedia.org/wikipedia/commons/5/54/Barranquero_en_Chinchilla.jpg" TargetMode="External"/><Relationship Id="rId1155" Type="http://schemas.openxmlformats.org/officeDocument/2006/relationships/hyperlink" Target="https://upload.wikimedia.org/wikipedia/commons/7/77/Chinche_verde.jpg" TargetMode="External"/><Relationship Id="rId2486" Type="http://schemas.openxmlformats.org/officeDocument/2006/relationships/hyperlink" Target="https://upload.wikimedia.org/wikipedia/commons/4/4c/Gusano_medidor.jpg" TargetMode="External"/><Relationship Id="rId5513" Type="http://schemas.openxmlformats.org/officeDocument/2006/relationships/hyperlink" Target="https://upload.wikimedia.org/wikipedia/commons/9/9d/WLE2026_CO_-_Cruz_de_la_cumbre_del_Cerro_de_Monserrate_%284%29.jpg" TargetMode="External"/><Relationship Id="rId563" Type="http://schemas.openxmlformats.org/officeDocument/2006/relationships/hyperlink" Target="https://commons.wikimedia.org/wiki/File:Barranquero_Andino.jpg" TargetMode="External"/><Relationship Id="rId1156" Type="http://schemas.openxmlformats.org/officeDocument/2006/relationships/hyperlink" Target="https://commons.wikimedia.org/wiki/File:Chinche_verde.jpg" TargetMode="External"/><Relationship Id="rId2487" Type="http://schemas.openxmlformats.org/officeDocument/2006/relationships/hyperlink" Target="https://commons.wikimedia.org/wiki/File:Gusano_medidor.jpg" TargetMode="External"/><Relationship Id="rId5510" Type="http://schemas.openxmlformats.org/officeDocument/2006/relationships/hyperlink" Target="https://commons.wikimedia.org/wiki/File:WLE2026_CO_-_Ca%C3%B1%C3%B3n_del_Chicamocha_desde_el_telef%C3%A9rico_(27).jpg" TargetMode="External"/><Relationship Id="rId562" Type="http://schemas.openxmlformats.org/officeDocument/2006/relationships/hyperlink" Target="https://upload.wikimedia.org/wikipedia/commons/5/59/Barranquero_Andino.jpg" TargetMode="External"/><Relationship Id="rId1157" Type="http://schemas.openxmlformats.org/officeDocument/2006/relationships/hyperlink" Target="https://maps.google.com/?q=4.970307,-74.292184" TargetMode="External"/><Relationship Id="rId2488" Type="http://schemas.openxmlformats.org/officeDocument/2006/relationships/hyperlink" Target="https://maps.google.com/?q=4.971446,-74.293691" TargetMode="External"/><Relationship Id="rId5511" Type="http://schemas.openxmlformats.org/officeDocument/2006/relationships/hyperlink" Target="https://upload.wikimedia.org/wikipedia/commons/2/21/WLE2026_CO_-_Cordillera_entre_la_niebla%2C_Salto_del_Tequendama_%2857%29.jpg" TargetMode="External"/><Relationship Id="rId1147" Type="http://schemas.openxmlformats.org/officeDocument/2006/relationships/hyperlink" Target="https://maps.google.com/?q=5.070000,-75.440000" TargetMode="External"/><Relationship Id="rId2478" Type="http://schemas.openxmlformats.org/officeDocument/2006/relationships/hyperlink" Target="https://commons.wikimedia.org/wiki/File:Guayac%C3%A1n_amarillo.jpg" TargetMode="External"/><Relationship Id="rId5505" Type="http://schemas.openxmlformats.org/officeDocument/2006/relationships/hyperlink" Target="https://upload.wikimedia.org/wikipedia/commons/8/8a/WLE2026_CO_-_Camino_entre_la_niebla_del_PNN_Chingaza_%2847%29.jpg" TargetMode="External"/><Relationship Id="rId1148" Type="http://schemas.openxmlformats.org/officeDocument/2006/relationships/hyperlink" Target="https://upload.wikimedia.org/wikipedia/commons/4/43/Chestnut-crowned_antpitta_%28Grallaria_ruficapilla%29_Caldas_2.jpg" TargetMode="External"/><Relationship Id="rId2479" Type="http://schemas.openxmlformats.org/officeDocument/2006/relationships/hyperlink" Target="https://upload.wikimedia.org/wikipedia/commons/1/19/Guayac%C3%A1n_de_Manizales.jpg" TargetMode="External"/><Relationship Id="rId5506" Type="http://schemas.openxmlformats.org/officeDocument/2006/relationships/hyperlink" Target="https://commons.wikimedia.org/wiki/File:WLE2026_CO_-_Camino_entre_la_niebla_del_PNN_Chingaza_(47).jpg" TargetMode="External"/><Relationship Id="rId1149" Type="http://schemas.openxmlformats.org/officeDocument/2006/relationships/hyperlink" Target="https://commons.wikimedia.org/wiki/File:Chestnut-crowned_antpitta_(Grallaria_ruficapilla)_Caldas_2.jpg" TargetMode="External"/><Relationship Id="rId5503" Type="http://schemas.openxmlformats.org/officeDocument/2006/relationships/hyperlink" Target="https://upload.wikimedia.org/wikipedia/commons/2/27/WLE2026_CO_-_Bosque_de_niebla_cerca_del_Salto_del_Tequendama_%2856%29.jpg" TargetMode="External"/><Relationship Id="rId5504" Type="http://schemas.openxmlformats.org/officeDocument/2006/relationships/hyperlink" Target="https://commons.wikimedia.org/wiki/File:WLE2026_CO_-_Bosque_de_niebla_cerca_del_Salto_del_Tequendama_(56).jpg" TargetMode="External"/><Relationship Id="rId5509" Type="http://schemas.openxmlformats.org/officeDocument/2006/relationships/hyperlink" Target="https://upload.wikimedia.org/wikipedia/commons/7/77/WLE2026_CO_-_Ca%C3%B1%C3%B3n_del_Chicamocha_desde_el_telef%C3%A9rico_%2827%29.jpg" TargetMode="External"/><Relationship Id="rId5507" Type="http://schemas.openxmlformats.org/officeDocument/2006/relationships/hyperlink" Target="https://upload.wikimedia.org/wikipedia/commons/d/dc/WLE2026_CO_-_Capilla_en_la_niebla%2C_PNN_Chingaza_%2848%29.jpg" TargetMode="External"/><Relationship Id="rId5508" Type="http://schemas.openxmlformats.org/officeDocument/2006/relationships/hyperlink" Target="https://commons.wikimedia.org/wiki/File:WLE2026_CO_-_Capilla_en_la_niebla,_PNN_Chingaza_(48).jpg" TargetMode="External"/><Relationship Id="rId558" Type="http://schemas.openxmlformats.org/officeDocument/2006/relationships/hyperlink" Target="https://commons.wikimedia.org/wiki/File:Barbas_en_Paipa.jpg" TargetMode="External"/><Relationship Id="rId557" Type="http://schemas.openxmlformats.org/officeDocument/2006/relationships/hyperlink" Target="https://upload.wikimedia.org/wikipedia/commons/0/0b/Barbas_en_Paipa.jpg" TargetMode="External"/><Relationship Id="rId556" Type="http://schemas.openxmlformats.org/officeDocument/2006/relationships/hyperlink" Target="https://commons.wikimedia.org/wiki/File:Barbas_de_viejo.jpg" TargetMode="External"/><Relationship Id="rId555" Type="http://schemas.openxmlformats.org/officeDocument/2006/relationships/hyperlink" Target="https://upload.wikimedia.org/wikipedia/commons/9/97/Barbas_de_viejo.jpg" TargetMode="External"/><Relationship Id="rId559" Type="http://schemas.openxmlformats.org/officeDocument/2006/relationships/hyperlink" Target="https://maps.google.com/?q=5.566756,-74.906822" TargetMode="External"/><Relationship Id="rId550" Type="http://schemas.openxmlformats.org/officeDocument/2006/relationships/hyperlink" Target="https://commons.wikimedia.org/wiki/File:Bananaquit_(Coereba_flaveola)_sobre_la_flor_de_un_banano.jpg" TargetMode="External"/><Relationship Id="rId2470" Type="http://schemas.openxmlformats.org/officeDocument/2006/relationships/hyperlink" Target="https://upload.wikimedia.org/wikipedia/commons/f/fa/Guardianes_en_familia.jpg" TargetMode="External"/><Relationship Id="rId1140" Type="http://schemas.openxmlformats.org/officeDocument/2006/relationships/hyperlink" Target="https://commons.wikimedia.org/wiki/File:Chauna_chavaria_-_Cimitarra,_Santander,_Colombia_-_01_Oct_2025_-_Diferoch.jpg" TargetMode="External"/><Relationship Id="rId2471" Type="http://schemas.openxmlformats.org/officeDocument/2006/relationships/hyperlink" Target="https://commons.wikimedia.org/wiki/File:Guardianes_en_familia.jpg" TargetMode="External"/><Relationship Id="rId1141" Type="http://schemas.openxmlformats.org/officeDocument/2006/relationships/hyperlink" Target="https://maps.google.com/?q=4.358534,-72.327617" TargetMode="External"/><Relationship Id="rId2472" Type="http://schemas.openxmlformats.org/officeDocument/2006/relationships/hyperlink" Target="https://upload.wikimedia.org/wikipedia/commons/0/07/Guardi%C3%A1n_de_las_alturas_Paramunas.jpg" TargetMode="External"/><Relationship Id="rId1142" Type="http://schemas.openxmlformats.org/officeDocument/2006/relationships/hyperlink" Target="https://upload.wikimedia.org/wikipedia/commons/d/dc/Chaviva_es_un_pueblo_en_el_municipio_de_puerto_lopez%2C_departamento_del_meta.jpg" TargetMode="External"/><Relationship Id="rId2473" Type="http://schemas.openxmlformats.org/officeDocument/2006/relationships/hyperlink" Target="https://commons.wikimedia.org/wiki/File:Guardi%C3%A1n_de_las_alturas_Paramunas.jpg" TargetMode="External"/><Relationship Id="rId554" Type="http://schemas.openxmlformats.org/officeDocument/2006/relationships/hyperlink" Target="https://maps.google.com/?q=4.667750,-74.099944" TargetMode="External"/><Relationship Id="rId1143" Type="http://schemas.openxmlformats.org/officeDocument/2006/relationships/hyperlink" Target="https://commons.wikimedia.org/wiki/File:Chaviva_es_un_pueblo_en_el_municipio_de_puerto_lopez,_departamento_del_meta.jpg" TargetMode="External"/><Relationship Id="rId2474" Type="http://schemas.openxmlformats.org/officeDocument/2006/relationships/hyperlink" Target="https://upload.wikimedia.org/wikipedia/commons/4/44/Guatape_mirador.jpg" TargetMode="External"/><Relationship Id="rId5501" Type="http://schemas.openxmlformats.org/officeDocument/2006/relationships/hyperlink" Target="https://upload.wikimedia.org/wikipedia/commons/c/cd/WLE2026_CO_-_Bosque_de_niebla%2C_Parque_Natural_Chicaque_%2881%29.jpg" TargetMode="External"/><Relationship Id="rId553" Type="http://schemas.openxmlformats.org/officeDocument/2006/relationships/hyperlink" Target="https://commons.wikimedia.org/wiki/File:Barbas_de_gallo.jpg" TargetMode="External"/><Relationship Id="rId1144" Type="http://schemas.openxmlformats.org/officeDocument/2006/relationships/hyperlink" Target="https://maps.google.com/?q=1.005889,-76.660463" TargetMode="External"/><Relationship Id="rId2475" Type="http://schemas.openxmlformats.org/officeDocument/2006/relationships/hyperlink" Target="https://commons.wikimedia.org/wiki/File:Guatape_mirador.jpg" TargetMode="External"/><Relationship Id="rId5502" Type="http://schemas.openxmlformats.org/officeDocument/2006/relationships/hyperlink" Target="https://commons.wikimedia.org/wiki/File:WLE2026_CO_-_Bosque_de_niebla,_Parque_Natural_Chicaque_(81).jpg" TargetMode="External"/><Relationship Id="rId552" Type="http://schemas.openxmlformats.org/officeDocument/2006/relationships/hyperlink" Target="https://upload.wikimedia.org/wikipedia/commons/7/7a/Barbas_de_gallo.jpg" TargetMode="External"/><Relationship Id="rId1145" Type="http://schemas.openxmlformats.org/officeDocument/2006/relationships/hyperlink" Target="https://upload.wikimedia.org/wikipedia/commons/7/77/Cheracebus_medemi.jpg" TargetMode="External"/><Relationship Id="rId2476" Type="http://schemas.openxmlformats.org/officeDocument/2006/relationships/hyperlink" Target="https://maps.google.com/?q=5.075699,-75.512623" TargetMode="External"/><Relationship Id="rId551" Type="http://schemas.openxmlformats.org/officeDocument/2006/relationships/hyperlink" Target="https://maps.google.com/?q=4.667750,-74.099944" TargetMode="External"/><Relationship Id="rId1146" Type="http://schemas.openxmlformats.org/officeDocument/2006/relationships/hyperlink" Target="https://commons.wikimedia.org/wiki/File:Cheracebus_medemi.jpg" TargetMode="External"/><Relationship Id="rId2477" Type="http://schemas.openxmlformats.org/officeDocument/2006/relationships/hyperlink" Target="https://upload.wikimedia.org/wikipedia/commons/f/ff/Guayac%C3%A1n_amarillo.jpg" TargetMode="External"/><Relationship Id="rId5500" Type="http://schemas.openxmlformats.org/officeDocument/2006/relationships/hyperlink" Target="https://commons.wikimedia.org/wiki/File:WLE2026_CO_-_Bosque_alto_andino_entre_nubes,_PNN_Chingaza_(44).jpg" TargetMode="External"/><Relationship Id="rId4280" Type="http://schemas.openxmlformats.org/officeDocument/2006/relationships/hyperlink" Target="https://maps.google.com/?q=11.283333,-74.183333" TargetMode="External"/><Relationship Id="rId4282" Type="http://schemas.openxmlformats.org/officeDocument/2006/relationships/hyperlink" Target="https://commons.wikimedia.org/wiki/File:Playa_Parque_Tayrona.jpg" TargetMode="External"/><Relationship Id="rId4281" Type="http://schemas.openxmlformats.org/officeDocument/2006/relationships/hyperlink" Target="https://upload.wikimedia.org/wikipedia/commons/d/d4/Playa_Parque_Tayrona.jpg" TargetMode="External"/><Relationship Id="rId4284" Type="http://schemas.openxmlformats.org/officeDocument/2006/relationships/hyperlink" Target="https://upload.wikimedia.org/wikipedia/commons/3/3a/Playa_en_Santa_Marta%2C_Colombia%2C_sept_2024.jpg" TargetMode="External"/><Relationship Id="rId4283" Type="http://schemas.openxmlformats.org/officeDocument/2006/relationships/hyperlink" Target="https://maps.google.com/?q=11.235728,-74.219582" TargetMode="External"/><Relationship Id="rId4286" Type="http://schemas.openxmlformats.org/officeDocument/2006/relationships/hyperlink" Target="https://upload.wikimedia.org/wikipedia/commons/7/73/Playaca.jpg" TargetMode="External"/><Relationship Id="rId4285" Type="http://schemas.openxmlformats.org/officeDocument/2006/relationships/hyperlink" Target="https://commons.wikimedia.org/wiki/File:Playa_en_Santa_Marta,_Colombia,_sept_2024.jpg" TargetMode="External"/><Relationship Id="rId4288" Type="http://schemas.openxmlformats.org/officeDocument/2006/relationships/hyperlink" Target="https://upload.wikimedia.org/wikipedia/commons/8/82/Playaca_Coast.jpg" TargetMode="External"/><Relationship Id="rId4287" Type="http://schemas.openxmlformats.org/officeDocument/2006/relationships/hyperlink" Target="https://commons.wikimedia.org/wiki/File:Playaca.jpg" TargetMode="External"/><Relationship Id="rId4289" Type="http://schemas.openxmlformats.org/officeDocument/2006/relationships/hyperlink" Target="https://commons.wikimedia.org/wiki/File:Playaca_Coast.jpg" TargetMode="External"/><Relationship Id="rId4271" Type="http://schemas.openxmlformats.org/officeDocument/2006/relationships/hyperlink" Target="https://commons.wikimedia.org/wiki/File:Planta_trepadora_en_flor_sobre_tronco.jpg" TargetMode="External"/><Relationship Id="rId4270" Type="http://schemas.openxmlformats.org/officeDocument/2006/relationships/hyperlink" Target="https://upload.wikimedia.org/wikipedia/commons/f/f1/Planta_trepadora_en_flor_sobre_tronco.jpg" TargetMode="External"/><Relationship Id="rId4273" Type="http://schemas.openxmlformats.org/officeDocument/2006/relationships/hyperlink" Target="https://commons.wikimedia.org/wiki/File:Plantas_nativas.jpg" TargetMode="External"/><Relationship Id="rId4272" Type="http://schemas.openxmlformats.org/officeDocument/2006/relationships/hyperlink" Target="https://upload.wikimedia.org/wikipedia/commons/1/12/Plantas_nativas.jpg" TargetMode="External"/><Relationship Id="rId4275" Type="http://schemas.openxmlformats.org/officeDocument/2006/relationships/hyperlink" Target="https://commons.wikimedia.org/wiki/File:Plantas_ruderales_Diente_de_Le%C3%B3n.jpg" TargetMode="External"/><Relationship Id="rId4274" Type="http://schemas.openxmlformats.org/officeDocument/2006/relationships/hyperlink" Target="https://upload.wikimedia.org/wikipedia/commons/1/1f/Plantas_ruderales_Diente_de_Le%C3%B3n.jpg" TargetMode="External"/><Relationship Id="rId4277" Type="http://schemas.openxmlformats.org/officeDocument/2006/relationships/hyperlink" Target="https://commons.wikimedia.org/wiki/File:Platanillo_(Heliconia_rostrata).jpg" TargetMode="External"/><Relationship Id="rId4276" Type="http://schemas.openxmlformats.org/officeDocument/2006/relationships/hyperlink" Target="https://upload.wikimedia.org/wikipedia/commons/3/39/Platanillo_%28Heliconia_rostrata%29.jpg" TargetMode="External"/><Relationship Id="rId4279" Type="http://schemas.openxmlformats.org/officeDocument/2006/relationships/hyperlink" Target="https://commons.wikimedia.org/wiki/File:Platanillo_(Heliconis_rostrata)_-_Jard%C3%ADn_bot%C3%A1nico_de_Cali,_Colombia.jpg" TargetMode="External"/><Relationship Id="rId4278" Type="http://schemas.openxmlformats.org/officeDocument/2006/relationships/hyperlink" Target="https://upload.wikimedia.org/wikipedia/commons/b/bd/Platanillo_%28Heliconis_rostrata%29_-_Jard%C3%ADn_bot%C3%A1nico_de_Cali%2C_Colombia.jpg" TargetMode="External"/><Relationship Id="rId4291" Type="http://schemas.openxmlformats.org/officeDocument/2006/relationships/hyperlink" Target="https://upload.wikimedia.org/wikipedia/commons/7/72/Playas_de_Bar%C3%BA.jpg" TargetMode="External"/><Relationship Id="rId4290" Type="http://schemas.openxmlformats.org/officeDocument/2006/relationships/hyperlink" Target="https://maps.google.com/?q=10.143890,-75.682500" TargetMode="External"/><Relationship Id="rId4293" Type="http://schemas.openxmlformats.org/officeDocument/2006/relationships/hyperlink" Target="https://maps.google.com/?q=4.847964,-74.323989" TargetMode="External"/><Relationship Id="rId4292" Type="http://schemas.openxmlformats.org/officeDocument/2006/relationships/hyperlink" Target="https://commons.wikimedia.org/wiki/File:Playas_de_Bar%C3%BA.jpg" TargetMode="External"/><Relationship Id="rId4295" Type="http://schemas.openxmlformats.org/officeDocument/2006/relationships/hyperlink" Target="https://commons.wikimedia.org/wiki/File:Pleurothallis.jpg" TargetMode="External"/><Relationship Id="rId4294" Type="http://schemas.openxmlformats.org/officeDocument/2006/relationships/hyperlink" Target="https://upload.wikimedia.org/wikipedia/commons/4/4e/Pleurothallis.jpg" TargetMode="External"/><Relationship Id="rId4297" Type="http://schemas.openxmlformats.org/officeDocument/2006/relationships/hyperlink" Target="https://commons.wikimedia.org/wiki/File:Pleurothallis_sp_en_Bojac%C3%A1.jpg" TargetMode="External"/><Relationship Id="rId4296" Type="http://schemas.openxmlformats.org/officeDocument/2006/relationships/hyperlink" Target="https://upload.wikimedia.org/wikipedia/commons/9/91/Pleurothallis_sp_en_Bojac%C3%A1.jpg" TargetMode="External"/><Relationship Id="rId4299" Type="http://schemas.openxmlformats.org/officeDocument/2006/relationships/hyperlink" Target="https://upload.wikimedia.org/wikipedia/commons/b/b5/Polilla_%2880986%29.jpg" TargetMode="External"/><Relationship Id="rId4298" Type="http://schemas.openxmlformats.org/officeDocument/2006/relationships/hyperlink" Target="https://maps.google.com/?q=4.888844,-74.945026" TargetMode="External"/><Relationship Id="rId4249" Type="http://schemas.openxmlformats.org/officeDocument/2006/relationships/hyperlink" Target="https://commons.wikimedia.org/wiki/File:Pi%C3%B1a_de_Danta1.jpg" TargetMode="External"/><Relationship Id="rId5570" Type="http://schemas.openxmlformats.org/officeDocument/2006/relationships/hyperlink" Target="https://upload.wikimedia.org/wikipedia/commons/c/c6/Xyleus_discoideus_-_Barrancabermeja%2C_Santander%2C_Colombia_-_21_Jul_2025_-_Diferoch.jpg" TargetMode="External"/><Relationship Id="rId5571" Type="http://schemas.openxmlformats.org/officeDocument/2006/relationships/hyperlink" Target="https://commons.wikimedia.org/wiki/File:Xyleus_discoideus_-_Barrancabermeja,_Santander,_Colombia_-_21_Jul_2025_-_Diferoch.jpg" TargetMode="External"/><Relationship Id="rId4240" Type="http://schemas.openxmlformats.org/officeDocument/2006/relationships/hyperlink" Target="https://commons.wikimedia.org/wiki/File:Pitahaya_(84472).jpg" TargetMode="External"/><Relationship Id="rId4242" Type="http://schemas.openxmlformats.org/officeDocument/2006/relationships/hyperlink" Target="https://upload.wikimedia.org/wikipedia/commons/4/41/Pitahaya_%2888608%29.jpg" TargetMode="External"/><Relationship Id="rId5574" Type="http://schemas.openxmlformats.org/officeDocument/2006/relationships/hyperlink" Target="https://upload.wikimedia.org/wikipedia/commons/2/2c/Yag%C3%A9_mayo_de_2026.jpg" TargetMode="External"/><Relationship Id="rId4241" Type="http://schemas.openxmlformats.org/officeDocument/2006/relationships/hyperlink" Target="https://maps.google.com/?q=4.969461,-74.243028" TargetMode="External"/><Relationship Id="rId5575" Type="http://schemas.openxmlformats.org/officeDocument/2006/relationships/hyperlink" Target="https://commons.wikimedia.org/wiki/File:Yag%C3%A9_mayo_de_2026.jpg" TargetMode="External"/><Relationship Id="rId4244" Type="http://schemas.openxmlformats.org/officeDocument/2006/relationships/hyperlink" Target="https://maps.google.com/?q=4.667750,-74.099940" TargetMode="External"/><Relationship Id="rId5572" Type="http://schemas.openxmlformats.org/officeDocument/2006/relationships/hyperlink" Target="https://upload.wikimedia.org/wikipedia/commons/b/b9/Yag%C3%A91.jpg" TargetMode="External"/><Relationship Id="rId4243" Type="http://schemas.openxmlformats.org/officeDocument/2006/relationships/hyperlink" Target="https://commons.wikimedia.org/wiki/File:Pitahaya_(88608).jpg" TargetMode="External"/><Relationship Id="rId5573" Type="http://schemas.openxmlformats.org/officeDocument/2006/relationships/hyperlink" Target="https://commons.wikimedia.org/wiki/File:Yag%C3%A91.jpg" TargetMode="External"/><Relationship Id="rId4246" Type="http://schemas.openxmlformats.org/officeDocument/2006/relationships/hyperlink" Target="https://commons.wikimedia.org/wiki/File:Pi%C3%B1a_de_Danta.jpg" TargetMode="External"/><Relationship Id="rId5578" Type="http://schemas.openxmlformats.org/officeDocument/2006/relationships/hyperlink" Target="https://commons.wikimedia.org/wiki/File:Yarumo.jpg" TargetMode="External"/><Relationship Id="rId4245" Type="http://schemas.openxmlformats.org/officeDocument/2006/relationships/hyperlink" Target="https://upload.wikimedia.org/wikipedia/commons/3/3b/Pi%C3%B1a_de_Danta.jpg" TargetMode="External"/><Relationship Id="rId5579" Type="http://schemas.openxmlformats.org/officeDocument/2006/relationships/hyperlink" Target="https://upload.wikimedia.org/wikipedia/commons/a/a9/Yarumo_rojo.jpg" TargetMode="External"/><Relationship Id="rId4248" Type="http://schemas.openxmlformats.org/officeDocument/2006/relationships/hyperlink" Target="https://upload.wikimedia.org/wikipedia/commons/c/c8/Pi%C3%B1a_de_Danta1.jpg" TargetMode="External"/><Relationship Id="rId5576" Type="http://schemas.openxmlformats.org/officeDocument/2006/relationships/hyperlink" Target="https://maps.google.com/?q=4.667750,-74.099944" TargetMode="External"/><Relationship Id="rId4247" Type="http://schemas.openxmlformats.org/officeDocument/2006/relationships/hyperlink" Target="https://maps.google.com/?q=4.667750,-74.099940" TargetMode="External"/><Relationship Id="rId5577" Type="http://schemas.openxmlformats.org/officeDocument/2006/relationships/hyperlink" Target="https://upload.wikimedia.org/wikipedia/commons/c/c8/Yarumo.jpg" TargetMode="External"/><Relationship Id="rId4239" Type="http://schemas.openxmlformats.org/officeDocument/2006/relationships/hyperlink" Target="https://upload.wikimedia.org/wikipedia/commons/4/4e/Pitahaya_%2884472%29.jpg" TargetMode="External"/><Relationship Id="rId4238" Type="http://schemas.openxmlformats.org/officeDocument/2006/relationships/hyperlink" Target="https://maps.google.com/?q=4.968622,-74.275899" TargetMode="External"/><Relationship Id="rId5569" Type="http://schemas.openxmlformats.org/officeDocument/2006/relationships/hyperlink" Target="https://maps.google.com/?q=7.085060,-73.863815" TargetMode="External"/><Relationship Id="rId5560" Type="http://schemas.openxmlformats.org/officeDocument/2006/relationships/hyperlink" Target="https://commons.wikimedia.org/wiki/File:WLE2026_CO_-_Senderismo_en_el_P%C3%A1ramo_de_Guerrero_(87).jpg" TargetMode="External"/><Relationship Id="rId495" Type="http://schemas.openxmlformats.org/officeDocument/2006/relationships/hyperlink" Target="https://upload.wikimedia.org/wikipedia/commons/c/c0/Ave_de_Salento.jpg" TargetMode="External"/><Relationship Id="rId4231" Type="http://schemas.openxmlformats.org/officeDocument/2006/relationships/hyperlink" Target="https://commons.wikimedia.org/wiki/File:Piranga_escarlata_o_alinegra_(Piranga_olivacea)_o_un_Titirib%C3%AD_pechi_rojo.png" TargetMode="External"/><Relationship Id="rId5563" Type="http://schemas.openxmlformats.org/officeDocument/2006/relationships/hyperlink" Target="https://upload.wikimedia.org/wikipedia/commons/c/c1/WLE2026_CO_-_Valle_de_frailejones%2C_P%C3%A1ramo_de_Guerrero_%2893%29.jpg" TargetMode="External"/><Relationship Id="rId494" Type="http://schemas.openxmlformats.org/officeDocument/2006/relationships/hyperlink" Target="https://maps.google.com/?q=4.612094,-75.548003" TargetMode="External"/><Relationship Id="rId4230" Type="http://schemas.openxmlformats.org/officeDocument/2006/relationships/hyperlink" Target="https://upload.wikimedia.org/wikipedia/commons/b/bd/Piranga_escarlata_o_alinegra_%28Piranga_olivacea%29_o_un_Titirib%C3%AD_pechi_rojo.png" TargetMode="External"/><Relationship Id="rId5564" Type="http://schemas.openxmlformats.org/officeDocument/2006/relationships/hyperlink" Target="https://commons.wikimedia.org/wiki/File:WLE2026_CO_-_Valle_de_frailejones,_P%C3%A1ramo_de_Guerrero_(93).jpg" TargetMode="External"/><Relationship Id="rId493" Type="http://schemas.openxmlformats.org/officeDocument/2006/relationships/hyperlink" Target="https://commons.wikimedia.org/wiki/File:Atm%C3%B3sfera_m%C3%ADstica_y_niebla_en_el_ca%C3%B1%C3%B3n_del_Tequendama.jpg" TargetMode="External"/><Relationship Id="rId4233" Type="http://schemas.openxmlformats.org/officeDocument/2006/relationships/hyperlink" Target="https://upload.wikimedia.org/wikipedia/commons/3/39/Pitahaya_%2874055%29.jpg" TargetMode="External"/><Relationship Id="rId5561" Type="http://schemas.openxmlformats.org/officeDocument/2006/relationships/hyperlink" Target="https://upload.wikimedia.org/wikipedia/commons/1/1a/WLE2026_CO_-_Senderos_Suasie_en_el_PNN_Chingaza_%2842%29.jpg" TargetMode="External"/><Relationship Id="rId492" Type="http://schemas.openxmlformats.org/officeDocument/2006/relationships/hyperlink" Target="https://upload.wikimedia.org/wikipedia/commons/4/4c/Atm%C3%B3sfera_m%C3%ADstica_y_niebla_en_el_ca%C3%B1%C3%B3n_del_Tequendama.jpg" TargetMode="External"/><Relationship Id="rId4232" Type="http://schemas.openxmlformats.org/officeDocument/2006/relationships/hyperlink" Target="https://maps.google.com/?q=4.969457,-74.277323" TargetMode="External"/><Relationship Id="rId5562" Type="http://schemas.openxmlformats.org/officeDocument/2006/relationships/hyperlink" Target="https://commons.wikimedia.org/wiki/File:WLE2026_CO_-_Senderos_Suasie_en_el_PNN_Chingaza_(42).jpg" TargetMode="External"/><Relationship Id="rId499" Type="http://schemas.openxmlformats.org/officeDocument/2006/relationships/hyperlink" Target="https://upload.wikimedia.org/wikipedia/commons/e/ef/Ave_ribere%C3%B1a_en_el_ecosistema_del_R%C3%ADo_Magdalena.jpg" TargetMode="External"/><Relationship Id="rId4235" Type="http://schemas.openxmlformats.org/officeDocument/2006/relationships/hyperlink" Target="https://maps.google.com/?q=4.971980,-74.259897" TargetMode="External"/><Relationship Id="rId5567" Type="http://schemas.openxmlformats.org/officeDocument/2006/relationships/hyperlink" Target="https://upload.wikimedia.org/wikipedia/commons/1/13/Woolly_Highland_Perennial%2C_near_Minca_cloudforest%2C_2025.jpg" TargetMode="External"/><Relationship Id="rId498" Type="http://schemas.openxmlformats.org/officeDocument/2006/relationships/hyperlink" Target="https://commons.wikimedia.org/wiki/File:Ave_del_para%C3%ADso_Manizales.jpg" TargetMode="External"/><Relationship Id="rId4234" Type="http://schemas.openxmlformats.org/officeDocument/2006/relationships/hyperlink" Target="https://commons.wikimedia.org/wiki/File:Pitahaya_(74055).jpg" TargetMode="External"/><Relationship Id="rId5568" Type="http://schemas.openxmlformats.org/officeDocument/2006/relationships/hyperlink" Target="https://commons.wikimedia.org/wiki/File:Woolly_Highland_Perennial,_near_Minca_cloudforest,_2025.jpg" TargetMode="External"/><Relationship Id="rId497" Type="http://schemas.openxmlformats.org/officeDocument/2006/relationships/hyperlink" Target="https://upload.wikimedia.org/wikipedia/commons/3/3e/Ave_del_para%C3%ADso_Manizales.jpg" TargetMode="External"/><Relationship Id="rId4237" Type="http://schemas.openxmlformats.org/officeDocument/2006/relationships/hyperlink" Target="https://commons.wikimedia.org/wiki/File:Pitahaya_(82733).jpg" TargetMode="External"/><Relationship Id="rId5565" Type="http://schemas.openxmlformats.org/officeDocument/2006/relationships/hyperlink" Target="https://upload.wikimedia.org/wikipedia/commons/0/02/WLE2026_CO_-_Vista_panor%C3%A1mica_del_P%C3%A1ramo_de_Guerrero_%2891%29.jpg" TargetMode="External"/><Relationship Id="rId496" Type="http://schemas.openxmlformats.org/officeDocument/2006/relationships/hyperlink" Target="https://commons.wikimedia.org/wiki/File:Ave_de_Salento.jpg" TargetMode="External"/><Relationship Id="rId4236" Type="http://schemas.openxmlformats.org/officeDocument/2006/relationships/hyperlink" Target="https://upload.wikimedia.org/wikipedia/commons/a/a4/Pitahaya_%2882733%29.jpg" TargetMode="External"/><Relationship Id="rId5566" Type="http://schemas.openxmlformats.org/officeDocument/2006/relationships/hyperlink" Target="https://commons.wikimedia.org/wiki/File:WLE2026_CO_-_Vista_panor%C3%A1mica_del_P%C3%A1ramo_de_Guerrero_(91).jpg" TargetMode="External"/><Relationship Id="rId4260" Type="http://schemas.openxmlformats.org/officeDocument/2006/relationships/hyperlink" Target="https://upload.wikimedia.org/wikipedia/commons/1/1a/PLAYA_SOLEDAD_CON_AGUAS_CRISTALINAS_Y_PLAYAS_BLANCAS%2C_LA_DENSA_SELVA_DEL_DARIEN_AL_FONDO.jpg" TargetMode="External"/><Relationship Id="rId5592" Type="http://schemas.openxmlformats.org/officeDocument/2006/relationships/hyperlink" Target="https://commons.wikimedia.org/wiki/File:Zapatico.jpg" TargetMode="External"/><Relationship Id="rId5593" Type="http://schemas.openxmlformats.org/officeDocument/2006/relationships/hyperlink" Target="https://upload.wikimedia.org/wikipedia/commons/1/13/Zebrina_%28Tradescantia_zebrina%29.jpg" TargetMode="External"/><Relationship Id="rId4262" Type="http://schemas.openxmlformats.org/officeDocument/2006/relationships/hyperlink" Target="https://upload.wikimedia.org/wikipedia/commons/e/e1/PNN_Cahuinari_%26_Rio_Caquet%C3%A1.jpg" TargetMode="External"/><Relationship Id="rId5590" Type="http://schemas.openxmlformats.org/officeDocument/2006/relationships/hyperlink" Target="https://commons.wikimedia.org/wiki/File:Zanate_mexicano.png" TargetMode="External"/><Relationship Id="rId4261" Type="http://schemas.openxmlformats.org/officeDocument/2006/relationships/hyperlink" Target="https://commons.wikimedia.org/wiki/File:PLAYA_SOLEDAD_CON_AGUAS_CRISTALINAS_Y_PLAYAS_BLANCAS,_LA_DENSA_SELVA_DEL_DARIEN_AL_FONDO.jpg" TargetMode="External"/><Relationship Id="rId5591" Type="http://schemas.openxmlformats.org/officeDocument/2006/relationships/hyperlink" Target="https://upload.wikimedia.org/wikipedia/commons/6/66/Zapatico.jpg" TargetMode="External"/><Relationship Id="rId4264" Type="http://schemas.openxmlformats.org/officeDocument/2006/relationships/hyperlink" Target="https://maps.google.com/?q=6.336800,-72.330700" TargetMode="External"/><Relationship Id="rId5596" Type="http://schemas.openxmlformats.org/officeDocument/2006/relationships/hyperlink" Target="https://upload.wikimedia.org/wikipedia/commons/0/05/Zombie_fungus_Cordyceps.jpg" TargetMode="External"/><Relationship Id="rId4263" Type="http://schemas.openxmlformats.org/officeDocument/2006/relationships/hyperlink" Target="https://commons.wikimedia.org/wiki/File:PNN_Cahuinari_%26_Rio_Caquet%C3%A1.jpg" TargetMode="External"/><Relationship Id="rId5597" Type="http://schemas.openxmlformats.org/officeDocument/2006/relationships/hyperlink" Target="https://commons.wikimedia.org/wiki/File:Zombie_fungus_Cordyceps.jpg" TargetMode="External"/><Relationship Id="rId4266" Type="http://schemas.openxmlformats.org/officeDocument/2006/relationships/hyperlink" Target="https://commons.wikimedia.org/wiki/File:PNN_El_Cocuy.jpg" TargetMode="External"/><Relationship Id="rId5594" Type="http://schemas.openxmlformats.org/officeDocument/2006/relationships/hyperlink" Target="https://commons.wikimedia.org/wiki/File:Zebrina_(Tradescantia_zebrina).jpg" TargetMode="External"/><Relationship Id="rId4265" Type="http://schemas.openxmlformats.org/officeDocument/2006/relationships/hyperlink" Target="https://upload.wikimedia.org/wikipedia/commons/d/d0/PNN_El_Cocuy.jpg" TargetMode="External"/><Relationship Id="rId5595" Type="http://schemas.openxmlformats.org/officeDocument/2006/relationships/hyperlink" Target="https://maps.google.com/?q=4.708597,-75.648339" TargetMode="External"/><Relationship Id="rId4268" Type="http://schemas.openxmlformats.org/officeDocument/2006/relationships/hyperlink" Target="https://commons.wikimedia.org/wiki/File:PNN_Sumapaz.jpg" TargetMode="External"/><Relationship Id="rId4267" Type="http://schemas.openxmlformats.org/officeDocument/2006/relationships/hyperlink" Target="https://upload.wikimedia.org/wikipedia/commons/2/20/PNN_Sumapaz.jpg" TargetMode="External"/><Relationship Id="rId5598" Type="http://schemas.openxmlformats.org/officeDocument/2006/relationships/hyperlink" Target="https://upload.wikimedia.org/wikipedia/commons/7/7b/Zona_arborizada_Jard%C3%ADn_Bot%C3%A1nico_de_Bogot%C3%A1.jpg" TargetMode="External"/><Relationship Id="rId4269" Type="http://schemas.openxmlformats.org/officeDocument/2006/relationships/hyperlink" Target="https://maps.google.com/?q=7.883198,-72.531270" TargetMode="External"/><Relationship Id="rId5599" Type="http://schemas.openxmlformats.org/officeDocument/2006/relationships/hyperlink" Target="https://commons.wikimedia.org/wiki/File:Zona_arborizada_Jard%C3%ADn_Bot%C3%A1nico_de_Bogot%C3%A1.jpg" TargetMode="External"/><Relationship Id="rId5581" Type="http://schemas.openxmlformats.org/officeDocument/2006/relationships/hyperlink" Target="https://maps.google.com/?q=4.805028,-75.692000" TargetMode="External"/><Relationship Id="rId5582" Type="http://schemas.openxmlformats.org/officeDocument/2006/relationships/hyperlink" Target="https://upload.wikimedia.org/wikipedia/commons/f/f5/Yellow_spots.jpg" TargetMode="External"/><Relationship Id="rId4251" Type="http://schemas.openxmlformats.org/officeDocument/2006/relationships/hyperlink" Target="https://commons.wikimedia.org/wiki/File:Planta_Achira_(Canna_indica).jpg" TargetMode="External"/><Relationship Id="rId4250" Type="http://schemas.openxmlformats.org/officeDocument/2006/relationships/hyperlink" Target="https://upload.wikimedia.org/wikipedia/commons/6/62/Planta_Achira_%28Canna_indica%29.jpg" TargetMode="External"/><Relationship Id="rId5580" Type="http://schemas.openxmlformats.org/officeDocument/2006/relationships/hyperlink" Target="https://commons.wikimedia.org/wiki/File:Yarumo_rojo.jpg" TargetMode="External"/><Relationship Id="rId4253" Type="http://schemas.openxmlformats.org/officeDocument/2006/relationships/hyperlink" Target="https://commons.wikimedia.org/wiki/File:Planta_de_rosa_fucsia.jpg" TargetMode="External"/><Relationship Id="rId5585" Type="http://schemas.openxmlformats.org/officeDocument/2006/relationships/hyperlink" Target="https://commons.wikimedia.org/wiki/File:Yuca_Brava_Mira%C3%B1as_PNN_Cahuinari.jpg" TargetMode="External"/><Relationship Id="rId4252" Type="http://schemas.openxmlformats.org/officeDocument/2006/relationships/hyperlink" Target="https://upload.wikimedia.org/wikipedia/commons/9/9f/Planta_de_rosa_fucsia.jpg" TargetMode="External"/><Relationship Id="rId5586" Type="http://schemas.openxmlformats.org/officeDocument/2006/relationships/hyperlink" Target="https://maps.google.com/?q=4.668296,-74.097728" TargetMode="External"/><Relationship Id="rId4255" Type="http://schemas.openxmlformats.org/officeDocument/2006/relationships/hyperlink" Target="https://commons.wikimedia.org/wiki/File:Planta_lengua_de_suegra.jpg" TargetMode="External"/><Relationship Id="rId5583" Type="http://schemas.openxmlformats.org/officeDocument/2006/relationships/hyperlink" Target="https://commons.wikimedia.org/wiki/File:Yellow_spots.jpg" TargetMode="External"/><Relationship Id="rId4254" Type="http://schemas.openxmlformats.org/officeDocument/2006/relationships/hyperlink" Target="https://upload.wikimedia.org/wikipedia/commons/d/d2/Planta_lengua_de_suegra.jpg" TargetMode="External"/><Relationship Id="rId5584" Type="http://schemas.openxmlformats.org/officeDocument/2006/relationships/hyperlink" Target="https://upload.wikimedia.org/wikipedia/commons/8/80/Yuca_Brava_Mira%C3%B1as_PNN_Cahuinari.jpg" TargetMode="External"/><Relationship Id="rId4257" Type="http://schemas.openxmlformats.org/officeDocument/2006/relationships/hyperlink" Target="https://commons.wikimedia.org/wiki/File:Planta_monstera.jpg" TargetMode="External"/><Relationship Id="rId5589" Type="http://schemas.openxmlformats.org/officeDocument/2006/relationships/hyperlink" Target="https://upload.wikimedia.org/wikipedia/commons/f/f5/Zanate_mexicano.png" TargetMode="External"/><Relationship Id="rId4256" Type="http://schemas.openxmlformats.org/officeDocument/2006/relationships/hyperlink" Target="https://upload.wikimedia.org/wikipedia/commons/b/b9/Planta_monstera.jpg" TargetMode="External"/><Relationship Id="rId4259" Type="http://schemas.openxmlformats.org/officeDocument/2006/relationships/hyperlink" Target="https://commons.wikimedia.org/wiki/File:Planta_ornamental,_jardin_botanico.jpg" TargetMode="External"/><Relationship Id="rId5587" Type="http://schemas.openxmlformats.org/officeDocument/2006/relationships/hyperlink" Target="https://upload.wikimedia.org/wikipedia/commons/4/45/Zambullidor_pico_grueso_%28Podilymbus_podiceps%29_en_el_Jard%C3%ADn_Bot%C3%A1nico_de_Bogot%C3%A1.jpg" TargetMode="External"/><Relationship Id="rId4258" Type="http://schemas.openxmlformats.org/officeDocument/2006/relationships/hyperlink" Target="https://upload.wikimedia.org/wikipedia/commons/a/a0/Planta_ornamental%2C_jardin_botanico.jpg" TargetMode="External"/><Relationship Id="rId5588" Type="http://schemas.openxmlformats.org/officeDocument/2006/relationships/hyperlink" Target="https://commons.wikimedia.org/wiki/File:Zambullidor_pico_grueso_(Podilymbus_podiceps)_en_el_Jard%C3%ADn_Bot%C3%A1nico_de_Bogot%C3%A1.jpg" TargetMode="External"/><Relationship Id="rId3810" Type="http://schemas.openxmlformats.org/officeDocument/2006/relationships/hyperlink" Target="https://maps.google.com/?q=4.581600,-7.417210" TargetMode="External"/><Relationship Id="rId3812" Type="http://schemas.openxmlformats.org/officeDocument/2006/relationships/hyperlink" Target="https://commons.wikimedia.org/wiki/File:Paisaje_de_monta%C3%B1a_de_San_Francisco_entre_neblina.jpg" TargetMode="External"/><Relationship Id="rId3811" Type="http://schemas.openxmlformats.org/officeDocument/2006/relationships/hyperlink" Target="https://upload.wikimedia.org/wikipedia/commons/a/aa/Paisaje_de_monta%C3%B1a_de_San_Francisco_entre_neblina.jpg" TargetMode="External"/><Relationship Id="rId3814" Type="http://schemas.openxmlformats.org/officeDocument/2006/relationships/hyperlink" Target="https://commons.wikimedia.org/wiki/File:Paisaje_de_san_andres.jpg" TargetMode="External"/><Relationship Id="rId3813" Type="http://schemas.openxmlformats.org/officeDocument/2006/relationships/hyperlink" Target="https://upload.wikimedia.org/wikipedia/commons/9/90/Paisaje_de_san_andres.jpg" TargetMode="External"/><Relationship Id="rId3816" Type="http://schemas.openxmlformats.org/officeDocument/2006/relationships/hyperlink" Target="https://commons.wikimedia.org/wiki/File:Paisaje_doblemente_boyacense.jpg" TargetMode="External"/><Relationship Id="rId3815" Type="http://schemas.openxmlformats.org/officeDocument/2006/relationships/hyperlink" Target="https://upload.wikimedia.org/wikipedia/commons/b/b4/Paisaje_doblemente_boyacense.jpg" TargetMode="External"/><Relationship Id="rId3818" Type="http://schemas.openxmlformats.org/officeDocument/2006/relationships/hyperlink" Target="https://commons.wikimedia.org/wiki/File:Paisaje_en_Cocorn%C3%A1,_Antioquia.jpg" TargetMode="External"/><Relationship Id="rId3817" Type="http://schemas.openxmlformats.org/officeDocument/2006/relationships/hyperlink" Target="https://upload.wikimedia.org/wikipedia/commons/6/67/Paisaje_en_Cocorn%C3%A1%2C_Antioquia.jpg" TargetMode="External"/><Relationship Id="rId3819" Type="http://schemas.openxmlformats.org/officeDocument/2006/relationships/hyperlink" Target="https://maps.google.com/?q=5.068890,-75.531478" TargetMode="External"/><Relationship Id="rId3801" Type="http://schemas.openxmlformats.org/officeDocument/2006/relationships/hyperlink" Target="https://upload.wikimedia.org/wikipedia/commons/0/09/Paisaje_de_San_Francisco%2C_Cundinamarca.jpg" TargetMode="External"/><Relationship Id="rId3800" Type="http://schemas.openxmlformats.org/officeDocument/2006/relationships/hyperlink" Target="https://commons.wikimedia.org/wiki/File:Paisaje_de_Iza,_Boyac%C3%A1.jpg" TargetMode="External"/><Relationship Id="rId3803" Type="http://schemas.openxmlformats.org/officeDocument/2006/relationships/hyperlink" Target="https://upload.wikimedia.org/wikipedia/commons/8/84/Paisaje_de_San_Francisco%2C_Cundinamarca_%2866826%29.jpg" TargetMode="External"/><Relationship Id="rId3802" Type="http://schemas.openxmlformats.org/officeDocument/2006/relationships/hyperlink" Target="https://commons.wikimedia.org/wiki/File:Paisaje_de_San_Francisco,_Cundinamarca.jpg" TargetMode="External"/><Relationship Id="rId3805" Type="http://schemas.openxmlformats.org/officeDocument/2006/relationships/hyperlink" Target="https://maps.google.com/?q=4.978491,-74.288956" TargetMode="External"/><Relationship Id="rId3804" Type="http://schemas.openxmlformats.org/officeDocument/2006/relationships/hyperlink" Target="https://commons.wikimedia.org/wiki/File:Paisaje_de_San_Francisco,_Cundinamarca_(66826).jpg" TargetMode="External"/><Relationship Id="rId3807" Type="http://schemas.openxmlformats.org/officeDocument/2006/relationships/hyperlink" Target="https://commons.wikimedia.org/wiki/File:Paisaje_de_San_Francisco,_Cundinamarca_(87853).jpg" TargetMode="External"/><Relationship Id="rId3806" Type="http://schemas.openxmlformats.org/officeDocument/2006/relationships/hyperlink" Target="https://upload.wikimedia.org/wikipedia/commons/a/ac/Paisaje_de_San_Francisco%2C_Cundinamarca_%2887853%29.jpg" TargetMode="External"/><Relationship Id="rId3809" Type="http://schemas.openxmlformats.org/officeDocument/2006/relationships/hyperlink" Target="https://commons.wikimedia.org/wiki/File:Paisaje_de_entrada_al_p%C3%A1ramo_Cruz_Verde,_Cundinamarca.jpg" TargetMode="External"/><Relationship Id="rId3808" Type="http://schemas.openxmlformats.org/officeDocument/2006/relationships/hyperlink" Target="https://upload.wikimedia.org/wikipedia/commons/3/38/Paisaje_de_entrada_al_p%C3%A1ramo_Cruz_Verde%2C_Cundinamarca.jpg" TargetMode="External"/><Relationship Id="rId1213" Type="http://schemas.openxmlformats.org/officeDocument/2006/relationships/hyperlink" Target="https://upload.wikimedia.org/wikipedia/commons/1/16/Climb_Climb_Climb.jpg" TargetMode="External"/><Relationship Id="rId2544" Type="http://schemas.openxmlformats.org/officeDocument/2006/relationships/hyperlink" Target="https://upload.wikimedia.org/wikipedia/commons/5/5d/Hibisco_%28Hibiscus_rosa-sinensis%29.jpg" TargetMode="External"/><Relationship Id="rId3876" Type="http://schemas.openxmlformats.org/officeDocument/2006/relationships/hyperlink" Target="https://commons.wikimedia.org/wiki/File:Paisaje_nublado._Universidad_de_La_Salle.jpg" TargetMode="External"/><Relationship Id="rId1214" Type="http://schemas.openxmlformats.org/officeDocument/2006/relationships/hyperlink" Target="https://commons.wikimedia.org/wiki/File:Climb_Climb_Climb.jpg" TargetMode="External"/><Relationship Id="rId2545" Type="http://schemas.openxmlformats.org/officeDocument/2006/relationships/hyperlink" Target="https://commons.wikimedia.org/wiki/File:Hibisco_(Hibiscus_rosa-sinensis).jpg" TargetMode="External"/><Relationship Id="rId3875" Type="http://schemas.openxmlformats.org/officeDocument/2006/relationships/hyperlink" Target="https://upload.wikimedia.org/wikipedia/commons/7/7a/Paisaje_nublado._Universidad_de_La_Salle.jpg" TargetMode="External"/><Relationship Id="rId1215" Type="http://schemas.openxmlformats.org/officeDocument/2006/relationships/hyperlink" Target="https://upload.wikimedia.org/wikipedia/commons/5/51/COLOMBIA_ENTRE_EL_ATARDECER.jpg" TargetMode="External"/><Relationship Id="rId2546" Type="http://schemas.openxmlformats.org/officeDocument/2006/relationships/hyperlink" Target="https://maps.google.com/?q=4.513160,-74.537920" TargetMode="External"/><Relationship Id="rId3878" Type="http://schemas.openxmlformats.org/officeDocument/2006/relationships/hyperlink" Target="https://commons.wikimedia.org/wiki/File:Paisaje_paipa_boyaca.jpg" TargetMode="External"/><Relationship Id="rId1216" Type="http://schemas.openxmlformats.org/officeDocument/2006/relationships/hyperlink" Target="https://commons.wikimedia.org/wiki/File:COLOMBIA_ENTRE_EL_ATARDECER.jpg" TargetMode="External"/><Relationship Id="rId2547" Type="http://schemas.openxmlformats.org/officeDocument/2006/relationships/hyperlink" Target="https://upload.wikimedia.org/wikipedia/commons/1/11/Hibiscus_plant_in_the_early_stages_of_blooming.jpg" TargetMode="External"/><Relationship Id="rId3877" Type="http://schemas.openxmlformats.org/officeDocument/2006/relationships/hyperlink" Target="https://upload.wikimedia.org/wikipedia/commons/0/0b/Paisaje_paipa_boyaca.jpg" TargetMode="External"/><Relationship Id="rId1217" Type="http://schemas.openxmlformats.org/officeDocument/2006/relationships/hyperlink" Target="https://upload.wikimedia.org/wikipedia/commons/5/56/Clivia_miniata_%28Flor_de_jard%C3%ADn%29.jpg" TargetMode="External"/><Relationship Id="rId2548" Type="http://schemas.openxmlformats.org/officeDocument/2006/relationships/hyperlink" Target="https://commons.wikimedia.org/wiki/File:Hibiscus_plant_in_the_early_stages_of_blooming.jpg" TargetMode="External"/><Relationship Id="rId1218" Type="http://schemas.openxmlformats.org/officeDocument/2006/relationships/hyperlink" Target="https://commons.wikimedia.org/wiki/File:Clivia_miniata_(Flor_de_jard%C3%ADn).jpg" TargetMode="External"/><Relationship Id="rId2549" Type="http://schemas.openxmlformats.org/officeDocument/2006/relationships/hyperlink" Target="https://upload.wikimedia.org/wikipedia/commons/a/a2/Hibiscus_rosa_%28Malvaceae%29.jpg" TargetMode="External"/><Relationship Id="rId3879" Type="http://schemas.openxmlformats.org/officeDocument/2006/relationships/hyperlink" Target="https://upload.wikimedia.org/wikipedia/commons/9/91/Paisaje_playero_desde_la_costa_atl%C3%A1ntica.jpg" TargetMode="External"/><Relationship Id="rId1219" Type="http://schemas.openxmlformats.org/officeDocument/2006/relationships/hyperlink" Target="https://upload.wikimedia.org/wikipedia/commons/1/18/Clivia_miniata_._Clivia_naranja.jpg" TargetMode="External"/><Relationship Id="rId3870" Type="http://schemas.openxmlformats.org/officeDocument/2006/relationships/hyperlink" Target="https://commons.wikimedia.org/wiki/File:Paisaje_Urbano_-_UniAndes.jpg" TargetMode="External"/><Relationship Id="rId2540" Type="http://schemas.openxmlformats.org/officeDocument/2006/relationships/hyperlink" Target="https://upload.wikimedia.org/wikipedia/commons/c/c5/HERMOSA_IGUANA_COLOMBIA.jpg" TargetMode="External"/><Relationship Id="rId3872" Type="http://schemas.openxmlformats.org/officeDocument/2006/relationships/hyperlink" Target="https://commons.wikimedia.org/wiki/File:Paisaje_natural_campus_la_salle.jpg" TargetMode="External"/><Relationship Id="rId1210" Type="http://schemas.openxmlformats.org/officeDocument/2006/relationships/hyperlink" Target="https://commons.wikimedia.org/wiki/File:Ci%C3%A9naga_de_Mallorqu%C3%ADn.jpg" TargetMode="External"/><Relationship Id="rId2541" Type="http://schemas.openxmlformats.org/officeDocument/2006/relationships/hyperlink" Target="https://commons.wikimedia.org/wiki/File:HERMOSA_IGUANA_COLOMBIA.jpg" TargetMode="External"/><Relationship Id="rId3871" Type="http://schemas.openxmlformats.org/officeDocument/2006/relationships/hyperlink" Target="https://upload.wikimedia.org/wikipedia/commons/3/30/Paisaje_natural_campus_la_salle.jpg" TargetMode="External"/><Relationship Id="rId1211" Type="http://schemas.openxmlformats.org/officeDocument/2006/relationships/hyperlink" Target="https://upload.wikimedia.org/wikipedia/commons/c/ce/Clavelillo_visitado.jpg" TargetMode="External"/><Relationship Id="rId2542" Type="http://schemas.openxmlformats.org/officeDocument/2006/relationships/hyperlink" Target="https://upload.wikimedia.org/wikipedia/commons/5/5c/Hesperoburhinus_bistriatus.png" TargetMode="External"/><Relationship Id="rId3874" Type="http://schemas.openxmlformats.org/officeDocument/2006/relationships/hyperlink" Target="https://commons.wikimedia.org/wiki/File:Paisaje_natural_en_la_candelaria_bogot%C3%A1.jpg" TargetMode="External"/><Relationship Id="rId1212" Type="http://schemas.openxmlformats.org/officeDocument/2006/relationships/hyperlink" Target="https://commons.wikimedia.org/wiki/File:Clavelillo_visitado.jpg" TargetMode="External"/><Relationship Id="rId2543" Type="http://schemas.openxmlformats.org/officeDocument/2006/relationships/hyperlink" Target="https://commons.wikimedia.org/wiki/File:Hesperoburhinus_bistriatus.png" TargetMode="External"/><Relationship Id="rId3873" Type="http://schemas.openxmlformats.org/officeDocument/2006/relationships/hyperlink" Target="https://upload.wikimedia.org/wikipedia/commons/8/8a/Paisaje_natural_en_la_candelaria_bogot%C3%A1.jpg" TargetMode="External"/><Relationship Id="rId1202" Type="http://schemas.openxmlformats.org/officeDocument/2006/relationships/hyperlink" Target="https://commons.wikimedia.org/wiki/File:Ciudad_de_Pasto,_a_las_faldas_del_majestuoso_Volc%C3%A1n_Galeras.jpg" TargetMode="External"/><Relationship Id="rId2533" Type="http://schemas.openxmlformats.org/officeDocument/2006/relationships/hyperlink" Target="https://upload.wikimedia.org/wikipedia/commons/f/f0/Hembra_euphonia_piqigruesa_construyendo_su_nido.jpg" TargetMode="External"/><Relationship Id="rId3865" Type="http://schemas.openxmlformats.org/officeDocument/2006/relationships/hyperlink" Target="https://upload.wikimedia.org/wikipedia/commons/3/38/Paisaje_Sede_Norte_Unisalle.jpg" TargetMode="External"/><Relationship Id="rId1203" Type="http://schemas.openxmlformats.org/officeDocument/2006/relationships/hyperlink" Target="https://upload.wikimedia.org/wikipedia/commons/f/ff/Ciudad_de_Piedra_vegetaci%C3%B3n_Guaviare.jpg" TargetMode="External"/><Relationship Id="rId2534" Type="http://schemas.openxmlformats.org/officeDocument/2006/relationships/hyperlink" Target="https://commons.wikimedia.org/wiki/File:Hembra_euphonia_piqigruesa_construyendo_su_nido.jpg" TargetMode="External"/><Relationship Id="rId3864" Type="http://schemas.openxmlformats.org/officeDocument/2006/relationships/hyperlink" Target="https://maps.google.com/?q=4.754670,-74.043500" TargetMode="External"/><Relationship Id="rId1204" Type="http://schemas.openxmlformats.org/officeDocument/2006/relationships/hyperlink" Target="https://commons.wikimedia.org/wiki/File:Ciudad_de_Piedra_vegetaci%C3%B3n_Guaviare.jpg" TargetMode="External"/><Relationship Id="rId2535" Type="http://schemas.openxmlformats.org/officeDocument/2006/relationships/hyperlink" Target="https://upload.wikimedia.org/wikipedia/commons/5/5a/Hem%C3%ADptero_Magnolia.jpg" TargetMode="External"/><Relationship Id="rId3867" Type="http://schemas.openxmlformats.org/officeDocument/2006/relationships/hyperlink" Target="https://upload.wikimedia.org/wikipedia/commons/1/16/Paisaje_Urbano._Mundo_Aventura.jpg" TargetMode="External"/><Relationship Id="rId1205" Type="http://schemas.openxmlformats.org/officeDocument/2006/relationships/hyperlink" Target="https://upload.wikimedia.org/wikipedia/commons/1/10/Ciudad_de_piedra_Guaviare.jpg" TargetMode="External"/><Relationship Id="rId2536" Type="http://schemas.openxmlformats.org/officeDocument/2006/relationships/hyperlink" Target="https://commons.wikimedia.org/wiki/File:Hem%C3%ADptero_Magnolia.jpg" TargetMode="External"/><Relationship Id="rId3866" Type="http://schemas.openxmlformats.org/officeDocument/2006/relationships/hyperlink" Target="https://commons.wikimedia.org/wiki/File:Paisaje_Sede_Norte_Unisalle.jpg" TargetMode="External"/><Relationship Id="rId1206" Type="http://schemas.openxmlformats.org/officeDocument/2006/relationships/hyperlink" Target="https://commons.wikimedia.org/wiki/File:Ciudad_de_piedra_Guaviare.jpg" TargetMode="External"/><Relationship Id="rId2537" Type="http://schemas.openxmlformats.org/officeDocument/2006/relationships/hyperlink" Target="https://maps.google.com/?q=4.794479,-73.908852" TargetMode="External"/><Relationship Id="rId3869" Type="http://schemas.openxmlformats.org/officeDocument/2006/relationships/hyperlink" Target="https://upload.wikimedia.org/wikipedia/commons/5/5a/Paisaje_Urbano_-_UniAndes.jpg" TargetMode="External"/><Relationship Id="rId1207" Type="http://schemas.openxmlformats.org/officeDocument/2006/relationships/hyperlink" Target="https://upload.wikimedia.org/wikipedia/commons/6/69/Ciudad_de_piedra_erosi%C3%B3n_Guaviare.jpg" TargetMode="External"/><Relationship Id="rId2538" Type="http://schemas.openxmlformats.org/officeDocument/2006/relationships/hyperlink" Target="https://upload.wikimedia.org/wikipedia/commons/4/41/Heranice_sp.jpg" TargetMode="External"/><Relationship Id="rId3868" Type="http://schemas.openxmlformats.org/officeDocument/2006/relationships/hyperlink" Target="https://commons.wikimedia.org/wiki/File:Paisaje_Urbano._Mundo_Aventura.jpg" TargetMode="External"/><Relationship Id="rId1208" Type="http://schemas.openxmlformats.org/officeDocument/2006/relationships/hyperlink" Target="https://commons.wikimedia.org/wiki/File:Ciudad_de_piedra_erosi%C3%B3n_Guaviare.jpg" TargetMode="External"/><Relationship Id="rId2539" Type="http://schemas.openxmlformats.org/officeDocument/2006/relationships/hyperlink" Target="https://commons.wikimedia.org/wiki/File:Heranice_sp.jpg" TargetMode="External"/><Relationship Id="rId1209" Type="http://schemas.openxmlformats.org/officeDocument/2006/relationships/hyperlink" Target="https://upload.wikimedia.org/wikipedia/commons/3/3e/Ci%C3%A9naga_de_Mallorqu%C3%ADn.jpg" TargetMode="External"/><Relationship Id="rId3861" Type="http://schemas.openxmlformats.org/officeDocument/2006/relationships/hyperlink" Target="https://maps.google.com/?q=4.974942,-74.290200" TargetMode="External"/><Relationship Id="rId2530" Type="http://schemas.openxmlformats.org/officeDocument/2006/relationships/hyperlink" Target="https://commons.wikimedia.org/wiki/File:Heliotropio.jpg" TargetMode="External"/><Relationship Id="rId3860" Type="http://schemas.openxmlformats.org/officeDocument/2006/relationships/hyperlink" Target="https://commons.wikimedia.org/wiki/File:Paisaje_Reserva_Natural._Reserva_Natural_Guataqu%C3%AD_de_Potos%C3%AD.jpg" TargetMode="External"/><Relationship Id="rId1200" Type="http://schemas.openxmlformats.org/officeDocument/2006/relationships/hyperlink" Target="https://commons.wikimedia.org/wiki/File:Ciudad_de_Pasto,_a_las_faldas_del_majestuoso_Volc%C3%A1n_Galeras._Conjunci%C3%B3n_Luna,_Venus,_Mercurio_y_J%C3%BApiter.jpg" TargetMode="External"/><Relationship Id="rId2531" Type="http://schemas.openxmlformats.org/officeDocument/2006/relationships/hyperlink" Target="https://upload.wikimedia.org/wikipedia/commons/b/ba/Hembra_de_Falco_sparverius_en_percha_natural_en_h%C3%A1bitat_abierto.jpg" TargetMode="External"/><Relationship Id="rId3863" Type="http://schemas.openxmlformats.org/officeDocument/2006/relationships/hyperlink" Target="https://commons.wikimedia.org/wiki/File:Paisaje_San_Francisco,_Cundinamarca.jpg" TargetMode="External"/><Relationship Id="rId1201" Type="http://schemas.openxmlformats.org/officeDocument/2006/relationships/hyperlink" Target="https://upload.wikimedia.org/wikipedia/commons/5/5d/Ciudad_de_Pasto%2C_a_las_faldas_del_majestuoso_Volc%C3%A1n_Galeras.jpg" TargetMode="External"/><Relationship Id="rId2532" Type="http://schemas.openxmlformats.org/officeDocument/2006/relationships/hyperlink" Target="https://commons.wikimedia.org/wiki/File:Hembra_de_Falco_sparverius_en_percha_natural_en_h%C3%A1bitat_abierto.jpg" TargetMode="External"/><Relationship Id="rId3862" Type="http://schemas.openxmlformats.org/officeDocument/2006/relationships/hyperlink" Target="https://upload.wikimedia.org/wikipedia/commons/f/f5/Paisaje_San_Francisco%2C_Cundinamarca.jpg" TargetMode="External"/><Relationship Id="rId1235" Type="http://schemas.openxmlformats.org/officeDocument/2006/relationships/hyperlink" Target="https://commons.wikimedia.org/wiki/File:Cobertura_de_frailejones_en_los_pajonales_del_Parque_Los_Nevados.jpg" TargetMode="External"/><Relationship Id="rId2566" Type="http://schemas.openxmlformats.org/officeDocument/2006/relationships/hyperlink" Target="https://upload.wikimedia.org/wikipedia/commons/1/13/Hoatzin-Parque_Nacional_Natural_Sierra_de_la_Macarena-Colombia-3.jpg" TargetMode="External"/><Relationship Id="rId3898" Type="http://schemas.openxmlformats.org/officeDocument/2006/relationships/hyperlink" Target="https://upload.wikimedia.org/wikipedia/commons/7/7f/Pajaro_en_un_cactus_en_el_atardecer.png" TargetMode="External"/><Relationship Id="rId1236" Type="http://schemas.openxmlformats.org/officeDocument/2006/relationships/hyperlink" Target="https://maps.google.com/?q=4.667750,-74.099944" TargetMode="External"/><Relationship Id="rId2567" Type="http://schemas.openxmlformats.org/officeDocument/2006/relationships/hyperlink" Target="https://commons.wikimedia.org/wiki/File:Hoatzin-Parque_Nacional_Natural_Sierra_de_la_Macarena-Colombia-3.jpg" TargetMode="External"/><Relationship Id="rId3897" Type="http://schemas.openxmlformats.org/officeDocument/2006/relationships/hyperlink" Target="https://maps.google.com/?q=10.495412,-75.125627" TargetMode="External"/><Relationship Id="rId1237" Type="http://schemas.openxmlformats.org/officeDocument/2006/relationships/hyperlink" Target="https://upload.wikimedia.org/wikipedia/commons/9/9c/Coca1.jpg" TargetMode="External"/><Relationship Id="rId2568" Type="http://schemas.openxmlformats.org/officeDocument/2006/relationships/hyperlink" Target="https://upload.wikimedia.org/wikipedia/commons/0/0e/Hoatzin-Parque_Nacional_Natural_Sierra_de_la_Macarena-Colombia-4.jpg" TargetMode="External"/><Relationship Id="rId1238" Type="http://schemas.openxmlformats.org/officeDocument/2006/relationships/hyperlink" Target="https://commons.wikimedia.org/wiki/File:Coca1.jpg" TargetMode="External"/><Relationship Id="rId2569" Type="http://schemas.openxmlformats.org/officeDocument/2006/relationships/hyperlink" Target="https://commons.wikimedia.org/wiki/File:Hoatzin-Parque_Nacional_Natural_Sierra_de_la_Macarena-Colombia-4.jpg" TargetMode="External"/><Relationship Id="rId3899" Type="http://schemas.openxmlformats.org/officeDocument/2006/relationships/hyperlink" Target="https://commons.wikimedia.org/wiki/File:Pajaro_en_un_cactus_en_el_atardecer.png" TargetMode="External"/><Relationship Id="rId1239" Type="http://schemas.openxmlformats.org/officeDocument/2006/relationships/hyperlink" Target="https://maps.google.com/?q=4.667750,-74.099944" TargetMode="External"/><Relationship Id="rId409" Type="http://schemas.openxmlformats.org/officeDocument/2006/relationships/hyperlink" Target="https://commons.wikimedia.org/wiki/File:Atardecer_R%C3%ADo_Sin%C3%BA.jpg" TargetMode="External"/><Relationship Id="rId404" Type="http://schemas.openxmlformats.org/officeDocument/2006/relationships/hyperlink" Target="https://upload.wikimedia.org/wikipedia/commons/9/9a/Atardecer_Playa_Blanca_Cartagena.jpg" TargetMode="External"/><Relationship Id="rId403" Type="http://schemas.openxmlformats.org/officeDocument/2006/relationships/hyperlink" Target="https://commons.wikimedia.org/wiki/File:Atardecer_Nevado_El_Cocuy.jpg" TargetMode="External"/><Relationship Id="rId402" Type="http://schemas.openxmlformats.org/officeDocument/2006/relationships/hyperlink" Target="https://upload.wikimedia.org/wikipedia/commons/6/6c/Atardecer_Nevado_El_Cocuy.jpg" TargetMode="External"/><Relationship Id="rId401" Type="http://schemas.openxmlformats.org/officeDocument/2006/relationships/hyperlink" Target="https://commons.wikimedia.org/wiki/File:Atardecer_Guajiro_-_2.jpg" TargetMode="External"/><Relationship Id="rId408" Type="http://schemas.openxmlformats.org/officeDocument/2006/relationships/hyperlink" Target="https://upload.wikimedia.org/wikipedia/commons/6/6c/Atardecer_R%C3%ADo_Sin%C3%BA.jpg" TargetMode="External"/><Relationship Id="rId407" Type="http://schemas.openxmlformats.org/officeDocument/2006/relationships/hyperlink" Target="https://commons.wikimedia.org/wiki/File:Atardecer_Rio_Cusiana.jpg" TargetMode="External"/><Relationship Id="rId406" Type="http://schemas.openxmlformats.org/officeDocument/2006/relationships/hyperlink" Target="https://upload.wikimedia.org/wikipedia/commons/4/4f/Atardecer_Rio_Cusiana.jpg" TargetMode="External"/><Relationship Id="rId405" Type="http://schemas.openxmlformats.org/officeDocument/2006/relationships/hyperlink" Target="https://commons.wikimedia.org/wiki/File:Atardecer_Playa_Blanca_Cartagena.jpg" TargetMode="External"/><Relationship Id="rId3890" Type="http://schemas.openxmlformats.org/officeDocument/2006/relationships/hyperlink" Target="https://commons.wikimedia.org/wiki/File:Paisaje_y_Frailejones.jpg" TargetMode="External"/><Relationship Id="rId2560" Type="http://schemas.openxmlformats.org/officeDocument/2006/relationships/hyperlink" Target="https://upload.wikimedia.org/wikipedia/commons/5/53/Hipopotamos_Colombianos.jpg" TargetMode="External"/><Relationship Id="rId3892" Type="http://schemas.openxmlformats.org/officeDocument/2006/relationships/hyperlink" Target="https://commons.wikimedia.org/wiki/File:Paisaje_y_Frailejones_01.jpg" TargetMode="External"/><Relationship Id="rId1230" Type="http://schemas.openxmlformats.org/officeDocument/2006/relationships/hyperlink" Target="https://upload.wikimedia.org/wikipedia/commons/0/09/Coastal_Lagune_in_the_Tayrona_National_Park%2C_Magdalena_Department%2C_Colombia.jpg" TargetMode="External"/><Relationship Id="rId2561" Type="http://schemas.openxmlformats.org/officeDocument/2006/relationships/hyperlink" Target="https://commons.wikimedia.org/wiki/File:Hipopotamos_Colombianos.jpg" TargetMode="External"/><Relationship Id="rId3891" Type="http://schemas.openxmlformats.org/officeDocument/2006/relationships/hyperlink" Target="https://upload.wikimedia.org/wikipedia/commons/d/de/Paisaje_y_Frailejones_01.jpg" TargetMode="External"/><Relationship Id="rId400" Type="http://schemas.openxmlformats.org/officeDocument/2006/relationships/hyperlink" Target="https://upload.wikimedia.org/wikipedia/commons/5/58/Atardecer_Guajiro_-_2.jpg" TargetMode="External"/><Relationship Id="rId1231" Type="http://schemas.openxmlformats.org/officeDocument/2006/relationships/hyperlink" Target="https://commons.wikimedia.org/wiki/File:Coastal_Lagune_in_the_Tayrona_National_Park,_Magdalena_Department,_Colombia.jpg" TargetMode="External"/><Relationship Id="rId2562" Type="http://schemas.openxmlformats.org/officeDocument/2006/relationships/hyperlink" Target="https://upload.wikimedia.org/wikipedia/commons/e/e7/Hoatzin-Parque_Nacional_Natural_Sierra_de_la_Macarena-Colombia-1.jpg" TargetMode="External"/><Relationship Id="rId3894" Type="http://schemas.openxmlformats.org/officeDocument/2006/relationships/hyperlink" Target="https://commons.wikimedia.org/wiki/File:Paisaje_zona_verde_universidad_de_la_salle.jpg" TargetMode="External"/><Relationship Id="rId1232" Type="http://schemas.openxmlformats.org/officeDocument/2006/relationships/hyperlink" Target="https://upload.wikimedia.org/wikipedia/commons/0/09/Coastal_lagoon_with_Typha_marsh_and_coconut_palms_in_Tayrona_National_Park%2C_2026.jpg" TargetMode="External"/><Relationship Id="rId2563" Type="http://schemas.openxmlformats.org/officeDocument/2006/relationships/hyperlink" Target="https://commons.wikimedia.org/wiki/File:Hoatzin-Parque_Nacional_Natural_Sierra_de_la_Macarena-Colombia-1.jpg" TargetMode="External"/><Relationship Id="rId3893" Type="http://schemas.openxmlformats.org/officeDocument/2006/relationships/hyperlink" Target="https://upload.wikimedia.org/wikipedia/commons/8/8c/Paisaje_zona_verde_universidad_de_la_salle.jpg" TargetMode="External"/><Relationship Id="rId1233" Type="http://schemas.openxmlformats.org/officeDocument/2006/relationships/hyperlink" Target="https://commons.wikimedia.org/wiki/File:Coastal_lagoon_with_Typha_marsh_and_coconut_palms_in_Tayrona_National_Park,_2026.jpg" TargetMode="External"/><Relationship Id="rId2564" Type="http://schemas.openxmlformats.org/officeDocument/2006/relationships/hyperlink" Target="https://upload.wikimedia.org/wikipedia/commons/1/13/Hoatzin-Parque_Nacional_Natural_Sierra_de_la_Macarena-Colombia-2.jpg" TargetMode="External"/><Relationship Id="rId3896" Type="http://schemas.openxmlformats.org/officeDocument/2006/relationships/hyperlink" Target="https://commons.wikimedia.org/wiki/File:Pajarito,_Boyac%C3%A1.jpg" TargetMode="External"/><Relationship Id="rId1234" Type="http://schemas.openxmlformats.org/officeDocument/2006/relationships/hyperlink" Target="https://upload.wikimedia.org/wikipedia/commons/6/60/Cobertura_de_frailejones_en_los_pajonales_del_Parque_Los_Nevados.jpg" TargetMode="External"/><Relationship Id="rId2565" Type="http://schemas.openxmlformats.org/officeDocument/2006/relationships/hyperlink" Target="https://commons.wikimedia.org/wiki/File:Hoatzin-Parque_Nacional_Natural_Sierra_de_la_Macarena-Colombia-2.jpg" TargetMode="External"/><Relationship Id="rId3895" Type="http://schemas.openxmlformats.org/officeDocument/2006/relationships/hyperlink" Target="https://upload.wikimedia.org/wikipedia/commons/6/60/Pajarito%2C_Boyac%C3%A1.jpg" TargetMode="External"/><Relationship Id="rId1224" Type="http://schemas.openxmlformats.org/officeDocument/2006/relationships/hyperlink" Target="https://upload.wikimedia.org/wikipedia/commons/c/c9/Close_up_de_epipedobates_currulao_en_gorgona.jpg" TargetMode="External"/><Relationship Id="rId2555" Type="http://schemas.openxmlformats.org/officeDocument/2006/relationships/hyperlink" Target="https://maps.google.com/?q=6.370983,-72.311706" TargetMode="External"/><Relationship Id="rId3887" Type="http://schemas.openxmlformats.org/officeDocument/2006/relationships/hyperlink" Target="https://upload.wikimedia.org/wikipedia/commons/e/ed/Paisaje_urbano.Universidad_de_la_Salle.jpg" TargetMode="External"/><Relationship Id="rId1225" Type="http://schemas.openxmlformats.org/officeDocument/2006/relationships/hyperlink" Target="https://commons.wikimedia.org/wiki/File:Close_up_de_epipedobates_currulao_en_gorgona.jpg" TargetMode="External"/><Relationship Id="rId2556" Type="http://schemas.openxmlformats.org/officeDocument/2006/relationships/hyperlink" Target="https://upload.wikimedia.org/wikipedia/commons/1/16/Hielo_briophyta.jpg" TargetMode="External"/><Relationship Id="rId3886" Type="http://schemas.openxmlformats.org/officeDocument/2006/relationships/hyperlink" Target="https://commons.wikimedia.org/wiki/File:Paisaje_sumapaz.jpg" TargetMode="External"/><Relationship Id="rId1226" Type="http://schemas.openxmlformats.org/officeDocument/2006/relationships/hyperlink" Target="https://upload.wikimedia.org/wikipedia/commons/a/af/Clusia_shrub_with_epiphytic_bromeliads_in_a_semi-arid_highland_landscape_near_Villa_de_Leyva%2C_2026.jpg" TargetMode="External"/><Relationship Id="rId2557" Type="http://schemas.openxmlformats.org/officeDocument/2006/relationships/hyperlink" Target="https://commons.wikimedia.org/wiki/File:Hielo_briophyta.jpg" TargetMode="External"/><Relationship Id="rId3889" Type="http://schemas.openxmlformats.org/officeDocument/2006/relationships/hyperlink" Target="https://upload.wikimedia.org/wikipedia/commons/0/01/Paisaje_y_Frailejones.jpg" TargetMode="External"/><Relationship Id="rId1227" Type="http://schemas.openxmlformats.org/officeDocument/2006/relationships/hyperlink" Target="https://commons.wikimedia.org/wiki/File:Clusia_shrub_with_epiphytic_bromeliads_in_a_semi-arid_highland_landscape_near_Villa_de_Leyva,_2026.jpg" TargetMode="External"/><Relationship Id="rId2558" Type="http://schemas.openxmlformats.org/officeDocument/2006/relationships/hyperlink" Target="https://upload.wikimedia.org/wikipedia/commons/a/a8/Highland_Sunflower_%28Asteraceae%29%2C_on_the_way_from_Minca_to_Cerro_Kennedy%2C_2025.jpg" TargetMode="External"/><Relationship Id="rId3888" Type="http://schemas.openxmlformats.org/officeDocument/2006/relationships/hyperlink" Target="https://commons.wikimedia.org/wiki/File:Paisaje_urbano.Universidad_de_la_Salle.jpg" TargetMode="External"/><Relationship Id="rId1228" Type="http://schemas.openxmlformats.org/officeDocument/2006/relationships/hyperlink" Target="https://upload.wikimedia.org/wikipedia/commons/e/e9/Coast_of_Santa_Marta.jpg" TargetMode="External"/><Relationship Id="rId2559" Type="http://schemas.openxmlformats.org/officeDocument/2006/relationships/hyperlink" Target="https://commons.wikimedia.org/wiki/File:Highland_Sunflower_(Asteraceae),_on_the_way_from_Minca_to_Cerro_Kennedy,_2025.jpg" TargetMode="External"/><Relationship Id="rId1229" Type="http://schemas.openxmlformats.org/officeDocument/2006/relationships/hyperlink" Target="https://commons.wikimedia.org/wiki/File:Coast_of_Santa_Marta.jpg" TargetMode="External"/><Relationship Id="rId3881" Type="http://schemas.openxmlformats.org/officeDocument/2006/relationships/hyperlink" Target="https://maps.google.com/?q=6.479683,-72.337036" TargetMode="External"/><Relationship Id="rId2550" Type="http://schemas.openxmlformats.org/officeDocument/2006/relationships/hyperlink" Target="https://commons.wikimedia.org/wiki/File:Hibiscus_rosa_(Malvaceae).jpg" TargetMode="External"/><Relationship Id="rId3880" Type="http://schemas.openxmlformats.org/officeDocument/2006/relationships/hyperlink" Target="https://commons.wikimedia.org/wiki/File:Paisaje_playero_desde_la_costa_atl%C3%A1ntica.jpg" TargetMode="External"/><Relationship Id="rId1220" Type="http://schemas.openxmlformats.org/officeDocument/2006/relationships/hyperlink" Target="https://commons.wikimedia.org/wiki/File:Clivia_miniata_._Clivia_naranja.jpg" TargetMode="External"/><Relationship Id="rId2551" Type="http://schemas.openxmlformats.org/officeDocument/2006/relationships/hyperlink" Target="https://upload.wikimedia.org/wikipedia/commons/1/18/Hibiscus_rosa_sinensis_-_cayena_-_2026-06-18.jpg" TargetMode="External"/><Relationship Id="rId3883" Type="http://schemas.openxmlformats.org/officeDocument/2006/relationships/hyperlink" Target="https://commons.wikimedia.org/wiki/File:Paisaje_ritacua.jpg" TargetMode="External"/><Relationship Id="rId1221" Type="http://schemas.openxmlformats.org/officeDocument/2006/relationships/hyperlink" Target="https://upload.wikimedia.org/wikipedia/commons/b/b7/Close-up_of_an_Epidendrum_orchid_inflorescence_near_Villa_de_Leyva%2C_2026.jpg" TargetMode="External"/><Relationship Id="rId2552" Type="http://schemas.openxmlformats.org/officeDocument/2006/relationships/hyperlink" Target="https://commons.wikimedia.org/wiki/File:Hibiscus_rosa_sinensis_-_cayena_-_2026-06-18.jpg" TargetMode="External"/><Relationship Id="rId3882" Type="http://schemas.openxmlformats.org/officeDocument/2006/relationships/hyperlink" Target="https://upload.wikimedia.org/wikipedia/commons/2/2b/Paisaje_ritacua.jpg" TargetMode="External"/><Relationship Id="rId1222" Type="http://schemas.openxmlformats.org/officeDocument/2006/relationships/hyperlink" Target="https://commons.wikimedia.org/wiki/File:Close-up_of_an_Epidendrum_orchid_inflorescence_near_Villa_de_Leyva,_2026.jpg" TargetMode="External"/><Relationship Id="rId2553" Type="http://schemas.openxmlformats.org/officeDocument/2006/relationships/hyperlink" Target="https://upload.wikimedia.org/wikipedia/commons/2/28/Hidalus_herois_en_Colombia.jpg" TargetMode="External"/><Relationship Id="rId3885" Type="http://schemas.openxmlformats.org/officeDocument/2006/relationships/hyperlink" Target="https://upload.wikimedia.org/wikipedia/commons/7/78/Paisaje_sumapaz.jpg" TargetMode="External"/><Relationship Id="rId1223" Type="http://schemas.openxmlformats.org/officeDocument/2006/relationships/hyperlink" Target="https://maps.google.com/?q=2.938807,-78.202501" TargetMode="External"/><Relationship Id="rId2554" Type="http://schemas.openxmlformats.org/officeDocument/2006/relationships/hyperlink" Target="https://commons.wikimedia.org/wiki/File:Hidalus_herois_en_Colombia.jpg" TargetMode="External"/><Relationship Id="rId3884" Type="http://schemas.openxmlformats.org/officeDocument/2006/relationships/hyperlink" Target="https://maps.google.com/?q=3.979794,7.415267" TargetMode="External"/><Relationship Id="rId2500" Type="http://schemas.openxmlformats.org/officeDocument/2006/relationships/hyperlink" Target="https://commons.wikimedia.org/wiki/File:Guzmania_sp._en_el_JBB.jpg" TargetMode="External"/><Relationship Id="rId3832" Type="http://schemas.openxmlformats.org/officeDocument/2006/relationships/hyperlink" Target="https://upload.wikimedia.org/wikipedia/commons/5/50/Paisaje_en_Cocorn%C3%A1%2C_Antioquia_%2861238%29.jpg" TargetMode="External"/><Relationship Id="rId2501" Type="http://schemas.openxmlformats.org/officeDocument/2006/relationships/hyperlink" Target="https://maps.google.com/?q=2.938840,-78.202902" TargetMode="External"/><Relationship Id="rId3831" Type="http://schemas.openxmlformats.org/officeDocument/2006/relationships/hyperlink" Target="https://commons.wikimedia.org/wiki/File:Paisaje_en_Cocorn%C3%A1,_Antioquia_(58810).jpg" TargetMode="External"/><Relationship Id="rId2502" Type="http://schemas.openxmlformats.org/officeDocument/2006/relationships/hyperlink" Target="https://upload.wikimedia.org/wikipedia/commons/1/13/Habitantes_de_la_marea_en_Gorgona.jpg" TargetMode="External"/><Relationship Id="rId3834" Type="http://schemas.openxmlformats.org/officeDocument/2006/relationships/hyperlink" Target="https://upload.wikimedia.org/wikipedia/commons/c/c8/Paisaje_en_Cocorn%C3%A1%2C_Antioquia_%2873320%29.jpg" TargetMode="External"/><Relationship Id="rId2503" Type="http://schemas.openxmlformats.org/officeDocument/2006/relationships/hyperlink" Target="https://commons.wikimedia.org/wiki/File:Habitantes_de_la_marea_en_Gorgona.jpg" TargetMode="External"/><Relationship Id="rId3833" Type="http://schemas.openxmlformats.org/officeDocument/2006/relationships/hyperlink" Target="https://commons.wikimedia.org/wiki/File:Paisaje_en_Cocorn%C3%A1,_Antioquia_(61238).jpg" TargetMode="External"/><Relationship Id="rId2504" Type="http://schemas.openxmlformats.org/officeDocument/2006/relationships/hyperlink" Target="https://upload.wikimedia.org/wikipedia/commons/2/26/Haya_com%C3%BAn_%28Fagus_sylvatica%29.jpg" TargetMode="External"/><Relationship Id="rId3836" Type="http://schemas.openxmlformats.org/officeDocument/2006/relationships/hyperlink" Target="https://upload.wikimedia.org/wikipedia/commons/3/33/Paisaje_en_Cocorn%C3%A1%2C_Antioquia_%2883375%29.jpg" TargetMode="External"/><Relationship Id="rId2505" Type="http://schemas.openxmlformats.org/officeDocument/2006/relationships/hyperlink" Target="https://commons.wikimedia.org/wiki/File:Haya_com%C3%BAn_(Fagus_sylvatica).jpg" TargetMode="External"/><Relationship Id="rId3835" Type="http://schemas.openxmlformats.org/officeDocument/2006/relationships/hyperlink" Target="https://commons.wikimedia.org/wiki/File:Paisaje_en_Cocorn%C3%A1,_Antioquia_(73320).jpg" TargetMode="External"/><Relationship Id="rId2506" Type="http://schemas.openxmlformats.org/officeDocument/2006/relationships/hyperlink" Target="https://maps.google.com/?q=4.667750,-74.099940" TargetMode="External"/><Relationship Id="rId3838" Type="http://schemas.openxmlformats.org/officeDocument/2006/relationships/hyperlink" Target="https://maps.google.com/?q=6.052822,-75.197948" TargetMode="External"/><Relationship Id="rId2507" Type="http://schemas.openxmlformats.org/officeDocument/2006/relationships/hyperlink" Target="https://upload.wikimedia.org/wikipedia/commons/0/07/Hayo_mayo_de_2026.jpg" TargetMode="External"/><Relationship Id="rId3837" Type="http://schemas.openxmlformats.org/officeDocument/2006/relationships/hyperlink" Target="https://commons.wikimedia.org/wiki/File:Paisaje_en_Cocorn%C3%A1,_Antioquia_(83375).jpg" TargetMode="External"/><Relationship Id="rId2508" Type="http://schemas.openxmlformats.org/officeDocument/2006/relationships/hyperlink" Target="https://commons.wikimedia.org/wiki/File:Hayo_mayo_de_2026.jpg" TargetMode="External"/><Relationship Id="rId2509" Type="http://schemas.openxmlformats.org/officeDocument/2006/relationships/hyperlink" Target="https://upload.wikimedia.org/wikipedia/commons/7/7d/Helecho_-_h%C3%BAmedal_Santa_Mar%C3%ADa_del_Lago%2C_Bogot%C3%A1%2C_Colombia.jpg" TargetMode="External"/><Relationship Id="rId3839" Type="http://schemas.openxmlformats.org/officeDocument/2006/relationships/hyperlink" Target="https://upload.wikimedia.org/wikipedia/commons/b/b4/Paisaje_en_Cocorn%C3%A1%2C_Antioquia_%2899320%29.jpg" TargetMode="External"/><Relationship Id="rId3830" Type="http://schemas.openxmlformats.org/officeDocument/2006/relationships/hyperlink" Target="https://upload.wikimedia.org/wikipedia/commons/f/f4/Paisaje_en_Cocorn%C3%A1%2C_Antioquia_%2858810%29.jpg" TargetMode="External"/><Relationship Id="rId3821" Type="http://schemas.openxmlformats.org/officeDocument/2006/relationships/hyperlink" Target="https://commons.wikimedia.org/wiki/File:Paisaje_en_Cocorn%C3%A1,_Antioquia_(12306).jpg" TargetMode="External"/><Relationship Id="rId3820" Type="http://schemas.openxmlformats.org/officeDocument/2006/relationships/hyperlink" Target="https://upload.wikimedia.org/wikipedia/commons/a/a4/Paisaje_en_Cocorn%C3%A1%2C_Antioquia_%2812306%29.jpg" TargetMode="External"/><Relationship Id="rId3823" Type="http://schemas.openxmlformats.org/officeDocument/2006/relationships/hyperlink" Target="https://commons.wikimedia.org/wiki/File:Paisaje_en_Cocorn%C3%A1,_Antioquia_(13769).jpg" TargetMode="External"/><Relationship Id="rId3822" Type="http://schemas.openxmlformats.org/officeDocument/2006/relationships/hyperlink" Target="https://upload.wikimedia.org/wikipedia/commons/a/a9/Paisaje_en_Cocorn%C3%A1%2C_Antioquia_%2813769%29.jpg" TargetMode="External"/><Relationship Id="rId3825" Type="http://schemas.openxmlformats.org/officeDocument/2006/relationships/hyperlink" Target="https://commons.wikimedia.org/wiki/File:Paisaje_en_Cocorn%C3%A1,_Antioquia_(14272).jpg" TargetMode="External"/><Relationship Id="rId3824" Type="http://schemas.openxmlformats.org/officeDocument/2006/relationships/hyperlink" Target="https://upload.wikimedia.org/wikipedia/commons/d/d4/Paisaje_en_Cocorn%C3%A1%2C_Antioquia_%2814272%29.jpg" TargetMode="External"/><Relationship Id="rId3827" Type="http://schemas.openxmlformats.org/officeDocument/2006/relationships/hyperlink" Target="https://commons.wikimedia.org/wiki/File:Paisaje_en_Cocorn%C3%A1,_Antioquia_(17644).jpg" TargetMode="External"/><Relationship Id="rId3826" Type="http://schemas.openxmlformats.org/officeDocument/2006/relationships/hyperlink" Target="https://upload.wikimedia.org/wikipedia/commons/2/2f/Paisaje_en_Cocorn%C3%A1%2C_Antioquia_%2817644%29.jpg" TargetMode="External"/><Relationship Id="rId3829" Type="http://schemas.openxmlformats.org/officeDocument/2006/relationships/hyperlink" Target="https://commons.wikimedia.org/wiki/File:Paisaje_en_Cocorn%C3%A1,_Antioquia_(17682).jpg" TargetMode="External"/><Relationship Id="rId3828" Type="http://schemas.openxmlformats.org/officeDocument/2006/relationships/hyperlink" Target="https://upload.wikimedia.org/wikipedia/commons/d/df/Paisaje_en_Cocorn%C3%A1%2C_Antioquia_%2817682%29.jpg" TargetMode="External"/><Relationship Id="rId2522" Type="http://schemas.openxmlformats.org/officeDocument/2006/relationships/hyperlink" Target="https://upload.wikimedia.org/wikipedia/commons/5/5e/Heliconia_rostrata-Platanillo_colgante.jpg" TargetMode="External"/><Relationship Id="rId3854" Type="http://schemas.openxmlformats.org/officeDocument/2006/relationships/hyperlink" Target="https://commons.wikimedia.org/wiki/File:Paisaje_estacion_americas_con_boyaca.jpg" TargetMode="External"/><Relationship Id="rId2523" Type="http://schemas.openxmlformats.org/officeDocument/2006/relationships/hyperlink" Target="https://commons.wikimedia.org/wiki/File:Heliconia_rostrata-Platanillo_colgante.jpg" TargetMode="External"/><Relationship Id="rId3853" Type="http://schemas.openxmlformats.org/officeDocument/2006/relationships/hyperlink" Target="https://upload.wikimedia.org/wikipedia/commons/a/a7/Paisaje_estacion_americas_con_boyaca.jpg" TargetMode="External"/><Relationship Id="rId2524" Type="http://schemas.openxmlformats.org/officeDocument/2006/relationships/hyperlink" Target="https://upload.wikimedia.org/wikipedia/commons/0/07/Heliconia_rostrata_-_Platanillo.jpg" TargetMode="External"/><Relationship Id="rId3856" Type="http://schemas.openxmlformats.org/officeDocument/2006/relationships/hyperlink" Target="https://commons.wikimedia.org/wiki/File:PAISAJE_SEMIURBANO.jpg" TargetMode="External"/><Relationship Id="rId2525" Type="http://schemas.openxmlformats.org/officeDocument/2006/relationships/hyperlink" Target="https://commons.wikimedia.org/wiki/File:Heliconia_rostrata_-_Platanillo.jpg" TargetMode="External"/><Relationship Id="rId3855" Type="http://schemas.openxmlformats.org/officeDocument/2006/relationships/hyperlink" Target="https://upload.wikimedia.org/wikipedia/commons/9/95/PAISAJE_SEMIURBANO.jpg" TargetMode="External"/><Relationship Id="rId2526" Type="http://schemas.openxmlformats.org/officeDocument/2006/relationships/hyperlink" Target="https://upload.wikimedia.org/wikipedia/commons/8/83/Heliconius_Melpomene_2026-05-24.jpg" TargetMode="External"/><Relationship Id="rId3858" Type="http://schemas.openxmlformats.org/officeDocument/2006/relationships/hyperlink" Target="https://commons.wikimedia.org/wiki/File:Paisaje_Nevado_Ruiz.jpg" TargetMode="External"/><Relationship Id="rId2527" Type="http://schemas.openxmlformats.org/officeDocument/2006/relationships/hyperlink" Target="https://commons.wikimedia.org/wiki/File:Heliconius_Melpomene_2026-05-24.jpg" TargetMode="External"/><Relationship Id="rId3857" Type="http://schemas.openxmlformats.org/officeDocument/2006/relationships/hyperlink" Target="https://upload.wikimedia.org/wikipedia/commons/7/79/Paisaje_Nevado_Ruiz.jpg" TargetMode="External"/><Relationship Id="rId2528" Type="http://schemas.openxmlformats.org/officeDocument/2006/relationships/hyperlink" Target="https://maps.google.com/?q=4.864625,-74.048879" TargetMode="External"/><Relationship Id="rId2529" Type="http://schemas.openxmlformats.org/officeDocument/2006/relationships/hyperlink" Target="https://upload.wikimedia.org/wikipedia/commons/4/4b/Heliotropio.jpg" TargetMode="External"/><Relationship Id="rId3859" Type="http://schemas.openxmlformats.org/officeDocument/2006/relationships/hyperlink" Target="https://upload.wikimedia.org/wikipedia/commons/0/06/Paisaje_Reserva_Natural._Reserva_Natural_Guataqu%C3%AD_de_Potos%C3%AD.jpg" TargetMode="External"/><Relationship Id="rId3850" Type="http://schemas.openxmlformats.org/officeDocument/2006/relationships/hyperlink" Target="https://commons.wikimedia.org/wiki/File:Paisaje_entre_nubes_en_el_Parque_Nacional_Natural_Chingaza,_Colombia.jpg" TargetMode="External"/><Relationship Id="rId2520" Type="http://schemas.openxmlformats.org/officeDocument/2006/relationships/hyperlink" Target="https://commons.wikimedia.org/wiki/File:Heliconia_psittacorum_-_Heliconiaceae.jpg" TargetMode="External"/><Relationship Id="rId3852" Type="http://schemas.openxmlformats.org/officeDocument/2006/relationships/hyperlink" Target="https://commons.wikimedia.org/wiki/File:Paisaje_escarpado_y_vertientes_del_volc%C3%A1n_Nevado_del_Ruiz.jpg" TargetMode="External"/><Relationship Id="rId2521" Type="http://schemas.openxmlformats.org/officeDocument/2006/relationships/hyperlink" Target="https://maps.google.com/?q=4.668211,-74.100198" TargetMode="External"/><Relationship Id="rId3851" Type="http://schemas.openxmlformats.org/officeDocument/2006/relationships/hyperlink" Target="https://upload.wikimedia.org/wikipedia/commons/2/21/Paisaje_escarpado_y_vertientes_del_volc%C3%A1n_Nevado_del_Ruiz.jpg" TargetMode="External"/><Relationship Id="rId2511" Type="http://schemas.openxmlformats.org/officeDocument/2006/relationships/hyperlink" Target="https://upload.wikimedia.org/wikipedia/commons/c/c2/Helecho_de_Boston_%28Nephrolepis_exaltata%29.jpg" TargetMode="External"/><Relationship Id="rId3843" Type="http://schemas.openxmlformats.org/officeDocument/2006/relationships/hyperlink" Target="https://upload.wikimedia.org/wikipedia/commons/8/8a/Paisaje_en_Girardota_Antioquia.jpg" TargetMode="External"/><Relationship Id="rId2512" Type="http://schemas.openxmlformats.org/officeDocument/2006/relationships/hyperlink" Target="https://commons.wikimedia.org/wiki/File:Helecho_de_Boston_(Nephrolepis_exaltata).jpg" TargetMode="External"/><Relationship Id="rId3842" Type="http://schemas.openxmlformats.org/officeDocument/2006/relationships/hyperlink" Target="https://commons.wikimedia.org/wiki/File:Paisaje_en_Girardota.jpg" TargetMode="External"/><Relationship Id="rId2513" Type="http://schemas.openxmlformats.org/officeDocument/2006/relationships/hyperlink" Target="https://upload.wikimedia.org/wikipedia/commons/6/62/Helechos_de_Boston_%28Nephrolepis_exaltata%29.jpg" TargetMode="External"/><Relationship Id="rId3845" Type="http://schemas.openxmlformats.org/officeDocument/2006/relationships/hyperlink" Target="https://upload.wikimedia.org/wikipedia/commons/9/9e/Paisaje_en_la_Carretera.jpg" TargetMode="External"/><Relationship Id="rId2514" Type="http://schemas.openxmlformats.org/officeDocument/2006/relationships/hyperlink" Target="https://commons.wikimedia.org/wiki/File:Helechos_de_Boston_(Nephrolepis_exaltata).jpg" TargetMode="External"/><Relationship Id="rId3844" Type="http://schemas.openxmlformats.org/officeDocument/2006/relationships/hyperlink" Target="https://commons.wikimedia.org/wiki/File:Paisaje_en_Girardota_Antioquia.jpg" TargetMode="External"/><Relationship Id="rId2515" Type="http://schemas.openxmlformats.org/officeDocument/2006/relationships/hyperlink" Target="https://maps.google.com/?q=4.667750,-74.099940" TargetMode="External"/><Relationship Id="rId3847" Type="http://schemas.openxmlformats.org/officeDocument/2006/relationships/hyperlink" Target="https://upload.wikimedia.org/wikipedia/commons/c/c2/Paisaje_entre_nubes_con_cultivos_de_pl%C3%A1tano_en_la_Sierra_Nevada_de_Santa_Marta.jpg" TargetMode="External"/><Relationship Id="rId2516" Type="http://schemas.openxmlformats.org/officeDocument/2006/relationships/hyperlink" Target="https://upload.wikimedia.org/wikipedia/commons/f/f0/Helechos_mayo_2026.jpg" TargetMode="External"/><Relationship Id="rId3846" Type="http://schemas.openxmlformats.org/officeDocument/2006/relationships/hyperlink" Target="https://commons.wikimedia.org/wiki/File:Paisaje_en_la_Carretera.jpg" TargetMode="External"/><Relationship Id="rId2517" Type="http://schemas.openxmlformats.org/officeDocument/2006/relationships/hyperlink" Target="https://commons.wikimedia.org/wiki/File:Helechos_mayo_2026.jpg" TargetMode="External"/><Relationship Id="rId3849" Type="http://schemas.openxmlformats.org/officeDocument/2006/relationships/hyperlink" Target="https://upload.wikimedia.org/wikipedia/commons/2/2d/Paisaje_entre_nubes_en_el_Parque_Nacional_Natural_Chingaza%2C_Colombia.jpg" TargetMode="External"/><Relationship Id="rId2518" Type="http://schemas.openxmlformats.org/officeDocument/2006/relationships/hyperlink" Target="https://maps.google.com/?q=4.513160,-74.537920" TargetMode="External"/><Relationship Id="rId3848" Type="http://schemas.openxmlformats.org/officeDocument/2006/relationships/hyperlink" Target="https://commons.wikimedia.org/wiki/File:Paisaje_entre_nubes_con_cultivos_de_pl%C3%A1tano_en_la_Sierra_Nevada_de_Santa_Marta.jpg" TargetMode="External"/><Relationship Id="rId2519" Type="http://schemas.openxmlformats.org/officeDocument/2006/relationships/hyperlink" Target="https://upload.wikimedia.org/wikipedia/commons/a/ae/Heliconia_psittacorum_-_Heliconiaceae.jpg" TargetMode="External"/><Relationship Id="rId3841" Type="http://schemas.openxmlformats.org/officeDocument/2006/relationships/hyperlink" Target="https://upload.wikimedia.org/wikipedia/commons/2/2b/Paisaje_en_Girardota.jpg" TargetMode="External"/><Relationship Id="rId2510" Type="http://schemas.openxmlformats.org/officeDocument/2006/relationships/hyperlink" Target="https://commons.wikimedia.org/wiki/File:Helecho_-_h%C3%BAmedal_Santa_Mar%C3%ADa_del_Lago,_Bogot%C3%A1,_Colombia.jpg" TargetMode="External"/><Relationship Id="rId3840" Type="http://schemas.openxmlformats.org/officeDocument/2006/relationships/hyperlink" Target="https://commons.wikimedia.org/wiki/File:Paisaje_en_Cocorn%C3%A1,_Antioquia_(99320).jpg" TargetMode="External"/><Relationship Id="rId4327" Type="http://schemas.openxmlformats.org/officeDocument/2006/relationships/hyperlink" Target="https://maps.google.com/?q=4.933819,-75.324914" TargetMode="External"/><Relationship Id="rId5659" Type="http://schemas.openxmlformats.org/officeDocument/2006/relationships/hyperlink" Target="https://upload.wikimedia.org/wikipedia/commons/a/a5/%C3%81rbol_de_m%C3%BAltiples_troncos.jpg" TargetMode="External"/><Relationship Id="rId4326" Type="http://schemas.openxmlformats.org/officeDocument/2006/relationships/hyperlink" Target="https://commons.wikimedia.org/wiki/File:Primaveras_(75682).jpg" TargetMode="External"/><Relationship Id="rId4329" Type="http://schemas.openxmlformats.org/officeDocument/2006/relationships/hyperlink" Target="https://commons.wikimedia.org/wiki/File:Productores_de_vida.jpg" TargetMode="External"/><Relationship Id="rId5657" Type="http://schemas.openxmlformats.org/officeDocument/2006/relationships/hyperlink" Target="https://upload.wikimedia.org/wikipedia/commons/1/15/%C3%81rbol_de_la_vida_%28Cupressaceae%29.jpg" TargetMode="External"/><Relationship Id="rId4328" Type="http://schemas.openxmlformats.org/officeDocument/2006/relationships/hyperlink" Target="https://upload.wikimedia.org/wikipedia/commons/d/d6/Productores_de_vida.jpg" TargetMode="External"/><Relationship Id="rId5658" Type="http://schemas.openxmlformats.org/officeDocument/2006/relationships/hyperlink" Target="https://commons.wikimedia.org/wiki/File:%C3%81rbol_de_la_vida_(Cupressaceae).jpg" TargetMode="External"/><Relationship Id="rId469" Type="http://schemas.openxmlformats.org/officeDocument/2006/relationships/hyperlink" Target="https://maps.google.com/?q=4.581600,-7.417210" TargetMode="External"/><Relationship Id="rId468" Type="http://schemas.openxmlformats.org/officeDocument/2006/relationships/hyperlink" Target="https://commons.wikimedia.org/wiki/File:Atardecer_universidad_Nacional.jpg" TargetMode="External"/><Relationship Id="rId467" Type="http://schemas.openxmlformats.org/officeDocument/2006/relationships/hyperlink" Target="https://upload.wikimedia.org/wikipedia/commons/6/66/Atardecer_universidad_Nacional.jpg" TargetMode="External"/><Relationship Id="rId1290" Type="http://schemas.openxmlformats.org/officeDocument/2006/relationships/hyperlink" Target="https://upload.wikimedia.org/wikipedia/commons/f/f8/Colibr%C3%AD_Orejivioleta_Menor_%28Colibri_cyanotus%29_Sandra_Ram%C3%ADrez_Giraldo.jpg" TargetMode="External"/><Relationship Id="rId1291" Type="http://schemas.openxmlformats.org/officeDocument/2006/relationships/hyperlink" Target="https://commons.wikimedia.org/wiki/File:Colibr%C3%AD_Orejivioleta_Menor_(Colibri_cyanotus)_Sandra_Ram%C3%ADrez_Giraldo.jpg" TargetMode="External"/><Relationship Id="rId1292" Type="http://schemas.openxmlformats.org/officeDocument/2006/relationships/hyperlink" Target="https://maps.google.com/?q=3.561100,-76.556900" TargetMode="External"/><Relationship Id="rId462" Type="http://schemas.openxmlformats.org/officeDocument/2006/relationships/hyperlink" Target="https://commons.wikimedia.org/wiki/File:Atardecer_playa_llanera.jpg" TargetMode="External"/><Relationship Id="rId1293" Type="http://schemas.openxmlformats.org/officeDocument/2006/relationships/hyperlink" Target="https://upload.wikimedia.org/wikipedia/commons/6/64/Colibr%C3%AD_Pardo_-_Colibri_delphinae.jpg" TargetMode="External"/><Relationship Id="rId5651" Type="http://schemas.openxmlformats.org/officeDocument/2006/relationships/hyperlink" Target="https://upload.wikimedia.org/wikipedia/commons/5/5b/%C3%81rbol_de_araza_-_Eugenia_stipitata.jpg" TargetMode="External"/><Relationship Id="rId461" Type="http://schemas.openxmlformats.org/officeDocument/2006/relationships/hyperlink" Target="https://upload.wikimedia.org/wikipedia/commons/0/02/Atardecer_playa_llanera.jpg" TargetMode="External"/><Relationship Id="rId1294" Type="http://schemas.openxmlformats.org/officeDocument/2006/relationships/hyperlink" Target="https://commons.wikimedia.org/wiki/File:Colibr%C3%AD_Pardo_-_Colibri_delphinae.jpg" TargetMode="External"/><Relationship Id="rId5652" Type="http://schemas.openxmlformats.org/officeDocument/2006/relationships/hyperlink" Target="https://commons.wikimedia.org/wiki/File:%C3%81rbol_de_araza_-_Eugenia_stipitata.jpg" TargetMode="External"/><Relationship Id="rId460" Type="http://schemas.openxmlformats.org/officeDocument/2006/relationships/hyperlink" Target="https://commons.wikimedia.org/wiki/File:Atardecer_llanero_-_Casanare.jpg" TargetMode="External"/><Relationship Id="rId1295" Type="http://schemas.openxmlformats.org/officeDocument/2006/relationships/hyperlink" Target="https://maps.google.com/?q=4.581600,-7.417210" TargetMode="External"/><Relationship Id="rId4321" Type="http://schemas.openxmlformats.org/officeDocument/2006/relationships/hyperlink" Target="https://commons.wikimedia.org/wiki/File:Prickly_Pear_Fruits_(Opuntia),_near_Villa_de_Leyva,_Boyac%C3%A1,_2026.jpg" TargetMode="External"/><Relationship Id="rId1296" Type="http://schemas.openxmlformats.org/officeDocument/2006/relationships/hyperlink" Target="https://upload.wikimedia.org/wikipedia/commons/9/95/Colibr%C3%AD_nuquiblanco-Florisuga_mellivora.jpg" TargetMode="External"/><Relationship Id="rId4320" Type="http://schemas.openxmlformats.org/officeDocument/2006/relationships/hyperlink" Target="https://upload.wikimedia.org/wikipedia/commons/f/fa/Prickly_Pear_Fruits_%28Opuntia%29%2C_near_Villa_de_Leyva%2C_Boyac%C3%A1%2C_2026.jpg" TargetMode="External"/><Relationship Id="rId5650" Type="http://schemas.openxmlformats.org/officeDocument/2006/relationships/hyperlink" Target="https://maps.google.com/?q=4.667750,-74.099944" TargetMode="External"/><Relationship Id="rId466" Type="http://schemas.openxmlformats.org/officeDocument/2006/relationships/hyperlink" Target="https://commons.wikimedia.org/wiki/File:Atardecer_sobre_rio.jpg" TargetMode="External"/><Relationship Id="rId1297" Type="http://schemas.openxmlformats.org/officeDocument/2006/relationships/hyperlink" Target="https://commons.wikimedia.org/wiki/File:Colibr%C3%AD_nuquiblanco-Florisuga_mellivora.jpg" TargetMode="External"/><Relationship Id="rId4323" Type="http://schemas.openxmlformats.org/officeDocument/2006/relationships/hyperlink" Target="https://commons.wikimedia.org/wiki/File:Pricklypear_(Cactaceae).jpg" TargetMode="External"/><Relationship Id="rId5655" Type="http://schemas.openxmlformats.org/officeDocument/2006/relationships/hyperlink" Target="https://upload.wikimedia.org/wikipedia/commons/b/bc/%C3%81rbol_de_guayabo_%28Psidium_guajava%29.jpg" TargetMode="External"/><Relationship Id="rId465" Type="http://schemas.openxmlformats.org/officeDocument/2006/relationships/hyperlink" Target="https://upload.wikimedia.org/wikipedia/commons/7/71/Atardecer_sobre_rio.jpg" TargetMode="External"/><Relationship Id="rId1298" Type="http://schemas.openxmlformats.org/officeDocument/2006/relationships/hyperlink" Target="https://maps.google.com/?q=4.581600,-7.417210" TargetMode="External"/><Relationship Id="rId4322" Type="http://schemas.openxmlformats.org/officeDocument/2006/relationships/hyperlink" Target="https://upload.wikimedia.org/wikipedia/commons/a/a6/Pricklypear_%28Cactaceae%29.jpg" TargetMode="External"/><Relationship Id="rId5656" Type="http://schemas.openxmlformats.org/officeDocument/2006/relationships/hyperlink" Target="https://commons.wikimedia.org/wiki/File:%C3%81rbol_de_guayabo_(Psidium_guajava).jpg" TargetMode="External"/><Relationship Id="rId464" Type="http://schemas.openxmlformats.org/officeDocument/2006/relationships/hyperlink" Target="https://commons.wikimedia.org/wiki/File:Atardecer_quimbaya-quindio.jpg" TargetMode="External"/><Relationship Id="rId1299" Type="http://schemas.openxmlformats.org/officeDocument/2006/relationships/hyperlink" Target="https://upload.wikimedia.org/wikipedia/commons/9/9d/Colibr%C3%AD_pardo.jpg" TargetMode="External"/><Relationship Id="rId4325" Type="http://schemas.openxmlformats.org/officeDocument/2006/relationships/hyperlink" Target="https://upload.wikimedia.org/wikipedia/commons/8/89/Primaveras_%2875682%29.jpg" TargetMode="External"/><Relationship Id="rId5653" Type="http://schemas.openxmlformats.org/officeDocument/2006/relationships/hyperlink" Target="https://upload.wikimedia.org/wikipedia/commons/0/05/%C3%81rbol_de_flores_rosadas.jpg" TargetMode="External"/><Relationship Id="rId463" Type="http://schemas.openxmlformats.org/officeDocument/2006/relationships/hyperlink" Target="https://upload.wikimedia.org/wikipedia/commons/4/4d/Atardecer_quimbaya-quindio.jpg" TargetMode="External"/><Relationship Id="rId4324" Type="http://schemas.openxmlformats.org/officeDocument/2006/relationships/hyperlink" Target="https://maps.google.com/?q=4.982199,-75.268737" TargetMode="External"/><Relationship Id="rId5654" Type="http://schemas.openxmlformats.org/officeDocument/2006/relationships/hyperlink" Target="https://commons.wikimedia.org/wiki/File:%C3%81rbol_de_flores_rosadas.jpg" TargetMode="External"/><Relationship Id="rId4316" Type="http://schemas.openxmlformats.org/officeDocument/2006/relationships/hyperlink" Target="https://upload.wikimedia.org/wikipedia/commons/c/c3/Porcicultura_artesanal_en_comunidades_ribere%C3%B1as.jpg" TargetMode="External"/><Relationship Id="rId5648" Type="http://schemas.openxmlformats.org/officeDocument/2006/relationships/hyperlink" Target="https://upload.wikimedia.org/wikipedia/commons/7/73/%C3%81rbol_de_alto_porte.jpg" TargetMode="External"/><Relationship Id="rId4315" Type="http://schemas.openxmlformats.org/officeDocument/2006/relationships/hyperlink" Target="https://commons.wikimedia.org/wiki/File:Polluelos_euphonia_piquigruesa.jpg" TargetMode="External"/><Relationship Id="rId5649" Type="http://schemas.openxmlformats.org/officeDocument/2006/relationships/hyperlink" Target="https://commons.wikimedia.org/wiki/File:%C3%81rbol_de_alto_porte.jpg" TargetMode="External"/><Relationship Id="rId4318" Type="http://schemas.openxmlformats.org/officeDocument/2006/relationships/hyperlink" Target="https://upload.wikimedia.org/wikipedia/commons/2/2e/Potrillos_en_la_laguna_del_amor.jpg" TargetMode="External"/><Relationship Id="rId5646" Type="http://schemas.openxmlformats.org/officeDocument/2006/relationships/hyperlink" Target="https://upload.wikimedia.org/wikipedia/commons/4/4c/%C3%81rbol_de_Corono_%28Xylosma_spiculifera%29.jpg" TargetMode="External"/><Relationship Id="rId4317" Type="http://schemas.openxmlformats.org/officeDocument/2006/relationships/hyperlink" Target="https://commons.wikimedia.org/wiki/File:Porcicultura_artesanal_en_comunidades_ribere%C3%B1as.jpg" TargetMode="External"/><Relationship Id="rId5647" Type="http://schemas.openxmlformats.org/officeDocument/2006/relationships/hyperlink" Target="https://commons.wikimedia.org/wiki/File:%C3%81rbol_de_Corono_(Xylosma_spiculifera).jpg" TargetMode="External"/><Relationship Id="rId4319" Type="http://schemas.openxmlformats.org/officeDocument/2006/relationships/hyperlink" Target="https://commons.wikimedia.org/wiki/File:Potrillos_en_la_laguna_del_amor.jpg" TargetMode="External"/><Relationship Id="rId459" Type="http://schemas.openxmlformats.org/officeDocument/2006/relationships/hyperlink" Target="https://upload.wikimedia.org/wikipedia/commons/8/85/Atardecer_llanero_-_Casanare.jpg" TargetMode="External"/><Relationship Id="rId458" Type="http://schemas.openxmlformats.org/officeDocument/2006/relationships/hyperlink" Target="https://commons.wikimedia.org/wiki/File:Atardecer_en_la_laguna_de_tomine.jpg" TargetMode="External"/><Relationship Id="rId457" Type="http://schemas.openxmlformats.org/officeDocument/2006/relationships/hyperlink" Target="https://upload.wikimedia.org/wikipedia/commons/4/4d/Atardecer_en_la_laguna_de_tomine.jpg" TargetMode="External"/><Relationship Id="rId456" Type="http://schemas.openxmlformats.org/officeDocument/2006/relationships/hyperlink" Target="https://commons.wikimedia.org/wiki/File:Atardecer_en_el_mar_caribe_en_Riohacha_en_junio_de_2026.jpg" TargetMode="External"/><Relationship Id="rId1280" Type="http://schemas.openxmlformats.org/officeDocument/2006/relationships/hyperlink" Target="https://commons.wikimedia.org/wiki/File:Colibr%C3%AD_0260529.jpg" TargetMode="External"/><Relationship Id="rId1281" Type="http://schemas.openxmlformats.org/officeDocument/2006/relationships/hyperlink" Target="https://maps.google.com/?q=4.360644,-74.335404" TargetMode="External"/><Relationship Id="rId451" Type="http://schemas.openxmlformats.org/officeDocument/2006/relationships/hyperlink" Target="https://commons.wikimedia.org/wiki/File:Atardecer_en_el_mar_caribe_en_Riohacha_en_2026.jpg" TargetMode="External"/><Relationship Id="rId1282" Type="http://schemas.openxmlformats.org/officeDocument/2006/relationships/hyperlink" Target="https://upload.wikimedia.org/wikipedia/commons/6/6f/Colibr%C3%AD_Amazilia_capiazul_%28Saucerottia_cyanifrons%29_en_Paque_Verde_Y_Agua%2C_Fusagasug%C3%A1%2C_%28Cundinamarca%29.jpg" TargetMode="External"/><Relationship Id="rId5640" Type="http://schemas.openxmlformats.org/officeDocument/2006/relationships/hyperlink" Target="https://upload.wikimedia.org/wikipedia/commons/3/3e/%C3%81rbol_Hueso_%28Salicaceae%29.jpg" TargetMode="External"/><Relationship Id="rId450" Type="http://schemas.openxmlformats.org/officeDocument/2006/relationships/hyperlink" Target="https://upload.wikimedia.org/wikipedia/commons/8/84/Atardecer_en_el_mar_caribe_en_Riohacha_en_2026.jpg" TargetMode="External"/><Relationship Id="rId1283" Type="http://schemas.openxmlformats.org/officeDocument/2006/relationships/hyperlink" Target="https://commons.wikimedia.org/wiki/File:Colibr%C3%AD_Amazilia_capiazul_(Saucerottia_cyanifrons)_en_Paque_Verde_Y_Agua,_Fusagasug%C3%A1,_(Cundinamarca).jpg" TargetMode="External"/><Relationship Id="rId5641" Type="http://schemas.openxmlformats.org/officeDocument/2006/relationships/hyperlink" Target="https://commons.wikimedia.org/wiki/File:%C3%81rbol_Hueso_(Salicaceae).jpg" TargetMode="External"/><Relationship Id="rId1284" Type="http://schemas.openxmlformats.org/officeDocument/2006/relationships/hyperlink" Target="https://maps.google.com/?q=3.561100,-76.556900" TargetMode="External"/><Relationship Id="rId4310" Type="http://schemas.openxmlformats.org/officeDocument/2006/relationships/hyperlink" Target="https://upload.wikimedia.org/wikipedia/commons/c/c9/PROMESA_DIVINA_CALI_COLOMBIA.jpg" TargetMode="External"/><Relationship Id="rId1285" Type="http://schemas.openxmlformats.org/officeDocument/2006/relationships/hyperlink" Target="https://upload.wikimedia.org/wikipedia/commons/a/ab/Colibr%C3%AD_Colirrufo_-_Amazilia_tzacatl.jpg" TargetMode="External"/><Relationship Id="rId455" Type="http://schemas.openxmlformats.org/officeDocument/2006/relationships/hyperlink" Target="https://upload.wikimedia.org/wikipedia/commons/1/14/Atardecer_en_el_mar_caribe_en_Riohacha_en_junio_de_2026.jpg" TargetMode="External"/><Relationship Id="rId1286" Type="http://schemas.openxmlformats.org/officeDocument/2006/relationships/hyperlink" Target="https://commons.wikimedia.org/wiki/File:Colibr%C3%AD_Colirrufo_-_Amazilia_tzacatl.jpg" TargetMode="External"/><Relationship Id="rId4312" Type="http://schemas.openxmlformats.org/officeDocument/2006/relationships/hyperlink" Target="https://upload.wikimedia.org/wikipedia/commons/4/49/Pollito_rapaz.png" TargetMode="External"/><Relationship Id="rId5644" Type="http://schemas.openxmlformats.org/officeDocument/2006/relationships/hyperlink" Target="https://upload.wikimedia.org/wikipedia/commons/b/bb/%C3%81rbol_de_Cerezo_%28Rosaceae%29.jpg" TargetMode="External"/><Relationship Id="rId454" Type="http://schemas.openxmlformats.org/officeDocument/2006/relationships/hyperlink" Target="https://maps.google.com/?q=11.554475,-72.909081" TargetMode="External"/><Relationship Id="rId1287" Type="http://schemas.openxmlformats.org/officeDocument/2006/relationships/hyperlink" Target="https://maps.google.com/?q=3.561100,-76.556900" TargetMode="External"/><Relationship Id="rId4311" Type="http://schemas.openxmlformats.org/officeDocument/2006/relationships/hyperlink" Target="https://commons.wikimedia.org/wiki/File:PROMESA_DIVINA_CALI_COLOMBIA.jpg" TargetMode="External"/><Relationship Id="rId5645" Type="http://schemas.openxmlformats.org/officeDocument/2006/relationships/hyperlink" Target="https://commons.wikimedia.org/wiki/File:%C3%81rbol_de_Cerezo_(Rosaceae).jpg" TargetMode="External"/><Relationship Id="rId453" Type="http://schemas.openxmlformats.org/officeDocument/2006/relationships/hyperlink" Target="https://commons.wikimedia.org/wiki/File:Atardecer_en_el_mar_caribe_en_Riohacha_en_2026_junio_12.jpg" TargetMode="External"/><Relationship Id="rId1288" Type="http://schemas.openxmlformats.org/officeDocument/2006/relationships/hyperlink" Target="https://upload.wikimedia.org/wikipedia/commons/2/2b/Colibr%C3%AD_Nuquiblanco_-_Florisuga_mellivora.jpg" TargetMode="External"/><Relationship Id="rId4314" Type="http://schemas.openxmlformats.org/officeDocument/2006/relationships/hyperlink" Target="https://upload.wikimedia.org/wikipedia/commons/4/43/Polluelos_euphonia_piquigruesa.jpg" TargetMode="External"/><Relationship Id="rId5642" Type="http://schemas.openxmlformats.org/officeDocument/2006/relationships/hyperlink" Target="https://upload.wikimedia.org/wikipedia/commons/3/3c/%C3%81rbol_con_mono.jpg" TargetMode="External"/><Relationship Id="rId452" Type="http://schemas.openxmlformats.org/officeDocument/2006/relationships/hyperlink" Target="https://upload.wikimedia.org/wikipedia/commons/2/28/Atardecer_en_el_mar_caribe_en_Riohacha_en_2026_junio_12.jpg" TargetMode="External"/><Relationship Id="rId1289" Type="http://schemas.openxmlformats.org/officeDocument/2006/relationships/hyperlink" Target="https://commons.wikimedia.org/wiki/File:Colibr%C3%AD_Nuquiblanco_-_Florisuga_mellivora.jpg" TargetMode="External"/><Relationship Id="rId4313" Type="http://schemas.openxmlformats.org/officeDocument/2006/relationships/hyperlink" Target="https://commons.wikimedia.org/wiki/File:Pollito_rapaz.png" TargetMode="External"/><Relationship Id="rId5643" Type="http://schemas.openxmlformats.org/officeDocument/2006/relationships/hyperlink" Target="https://commons.wikimedia.org/wiki/File:%C3%81rbol_con_mono.jpg" TargetMode="External"/><Relationship Id="rId3018" Type="http://schemas.openxmlformats.org/officeDocument/2006/relationships/hyperlink" Target="https://commons.wikimedia.org/wiki/File:Landscape_of_Nuqu%C3%AD,_Choc%C3%B3,_Colombia_-_21_Oct_2025_-_Diferoch_-_1.jpg" TargetMode="External"/><Relationship Id="rId4349" Type="http://schemas.openxmlformats.org/officeDocument/2006/relationships/hyperlink" Target="https://upload.wikimedia.org/wikipedia/commons/1/1e/Puente_flotante_en_la_laguna_del_Amor.jpg" TargetMode="External"/><Relationship Id="rId3017" Type="http://schemas.openxmlformats.org/officeDocument/2006/relationships/hyperlink" Target="https://upload.wikimedia.org/wikipedia/commons/a/aa/Landscape_of_Nuqu%C3%AD%2C_Choc%C3%B3%2C_Colombia_-_21_Oct_2025_-_Diferoch_-_1.jpg" TargetMode="External"/><Relationship Id="rId4348" Type="http://schemas.openxmlformats.org/officeDocument/2006/relationships/hyperlink" Target="https://commons.wikimedia.org/wiki/File:Puente_Navarro_Honda-Tolima.jpg" TargetMode="External"/><Relationship Id="rId5679" Type="http://schemas.openxmlformats.org/officeDocument/2006/relationships/hyperlink" Target="https://upload.wikimedia.org/wikipedia/commons/8/8a/%C3%91eque_comiendo_Mango.jpg" TargetMode="External"/><Relationship Id="rId3019" Type="http://schemas.openxmlformats.org/officeDocument/2006/relationships/hyperlink" Target="https://maps.google.com/?q=5.704187,-77.273865" TargetMode="External"/><Relationship Id="rId491" Type="http://schemas.openxmlformats.org/officeDocument/2006/relationships/hyperlink" Target="https://maps.google.com/?q=4.574554,-74.293864" TargetMode="External"/><Relationship Id="rId490" Type="http://schemas.openxmlformats.org/officeDocument/2006/relationships/hyperlink" Target="https://commons.wikimedia.org/wiki/File:Atm%C3%B3sfera_brumosa_y_luz_solar_filtrada_sobre_laguna_de_Sumapaz.jpg" TargetMode="External"/><Relationship Id="rId489" Type="http://schemas.openxmlformats.org/officeDocument/2006/relationships/hyperlink" Target="https://upload.wikimedia.org/wikipedia/commons/5/5a/Atm%C3%B3sfera_brumosa_y_luz_solar_filtrada_sobre_laguna_de_Sumapaz.jpg" TargetMode="External"/><Relationship Id="rId5670" Type="http://schemas.openxmlformats.org/officeDocument/2006/relationships/hyperlink" Target="https://upload.wikimedia.org/wikipedia/commons/5/5e/%C3%81rbol_Rabo_de_gallo_%28Lauraceae%29.jpg" TargetMode="External"/><Relationship Id="rId484" Type="http://schemas.openxmlformats.org/officeDocument/2006/relationships/hyperlink" Target="https://upload.wikimedia.org/wikipedia/commons/c/c3/Ateles_hybridus_-_Cimitarra%2C_Santander%2C_Colombia_-_30_Sep_2025_-_Diferoch_-_3.jpg" TargetMode="External"/><Relationship Id="rId3010" Type="http://schemas.openxmlformats.org/officeDocument/2006/relationships/hyperlink" Target="https://upload.wikimedia.org/wikipedia/commons/0/03/Lake_surrounded_by_Espeletia_in_Boyac%C3%A1_%28Laguna_rodeada_de_frailejones_en_Boyac%C3%A1%29.jpg" TargetMode="External"/><Relationship Id="rId4341" Type="http://schemas.openxmlformats.org/officeDocument/2006/relationships/hyperlink" Target="https://upload.wikimedia.org/wikipedia/commons/0/0f/Psilocybe_Cubensis_en_Santa_Elena%2C_Antioquia.jpg" TargetMode="External"/><Relationship Id="rId5673" Type="http://schemas.openxmlformats.org/officeDocument/2006/relationships/hyperlink" Target="https://commons.wikimedia.org/wiki/File:%C3%81rbol_llamado_Cariseco_(Sapindaceae).jpg" TargetMode="External"/><Relationship Id="rId483" Type="http://schemas.openxmlformats.org/officeDocument/2006/relationships/hyperlink" Target="https://maps.google.com/?q=6.711295,-74.145012" TargetMode="External"/><Relationship Id="rId4340" Type="http://schemas.openxmlformats.org/officeDocument/2006/relationships/hyperlink" Target="https://commons.wikimedia.org/wiki/File:Pseudoproscopia.jpg" TargetMode="External"/><Relationship Id="rId5674" Type="http://schemas.openxmlformats.org/officeDocument/2006/relationships/hyperlink" Target="https://upload.wikimedia.org/wikipedia/commons/5/52/%C3%81rbol_solitario_en_las_colinas_de_la_zona_andina_alta.jpg" TargetMode="External"/><Relationship Id="rId482" Type="http://schemas.openxmlformats.org/officeDocument/2006/relationships/hyperlink" Target="https://commons.wikimedia.org/wiki/File:Ateles_hybridus_-_Cimitarra,_Santander,_Colombia_-_30_Sep_2025_-_Diferoch_-_2.jpg" TargetMode="External"/><Relationship Id="rId3012" Type="http://schemas.openxmlformats.org/officeDocument/2006/relationships/hyperlink" Target="https://upload.wikimedia.org/wikipedia/commons/e/e0/Lamelas_de_hongo_bajo_luz_UV.jpg" TargetMode="External"/><Relationship Id="rId4343" Type="http://schemas.openxmlformats.org/officeDocument/2006/relationships/hyperlink" Target="https://upload.wikimedia.org/wikipedia/commons/7/7b/Pueblo_Quiba_cundinamarca.jpg" TargetMode="External"/><Relationship Id="rId5671" Type="http://schemas.openxmlformats.org/officeDocument/2006/relationships/hyperlink" Target="https://commons.wikimedia.org/wiki/File:%C3%81rbol_Rabo_de_gallo_(Lauraceae).jpg" TargetMode="External"/><Relationship Id="rId481" Type="http://schemas.openxmlformats.org/officeDocument/2006/relationships/hyperlink" Target="https://upload.wikimedia.org/wikipedia/commons/f/f8/Ateles_hybridus_-_Cimitarra%2C_Santander%2C_Colombia_-_30_Sep_2025_-_Diferoch_-_2.jpg" TargetMode="External"/><Relationship Id="rId3011" Type="http://schemas.openxmlformats.org/officeDocument/2006/relationships/hyperlink" Target="https://commons.wikimedia.org/wiki/File:Lake_surrounded_by_Espeletia_in_Boyac%C3%A1_(Laguna_rodeada_de_frailejones_en_Boyac%C3%A1).jpg" TargetMode="External"/><Relationship Id="rId4342" Type="http://schemas.openxmlformats.org/officeDocument/2006/relationships/hyperlink" Target="https://commons.wikimedia.org/wiki/File:Psilocybe_Cubensis_en_Santa_Elena,_Antioquia.jpg" TargetMode="External"/><Relationship Id="rId5672" Type="http://schemas.openxmlformats.org/officeDocument/2006/relationships/hyperlink" Target="https://upload.wikimedia.org/wikipedia/commons/c/c3/%C3%81rbol_llamado_Cariseco_%28Sapindaceae%29.jpg" TargetMode="External"/><Relationship Id="rId488" Type="http://schemas.openxmlformats.org/officeDocument/2006/relationships/hyperlink" Target="https://commons.wikimedia.org/wiki/File:Atelopus_laetissimus-especie_endemica_de_Colombia.jpg" TargetMode="External"/><Relationship Id="rId3014" Type="http://schemas.openxmlformats.org/officeDocument/2006/relationships/hyperlink" Target="https://upload.wikimedia.org/wikipedia/commons/e/ed/Lancha_a_la_espera_-_Laguna_de_la_cocha_despu%C3%A9s_de_su_inundaci%C3%B3n_Marzo_2025.jpg" TargetMode="External"/><Relationship Id="rId4345" Type="http://schemas.openxmlformats.org/officeDocument/2006/relationships/hyperlink" Target="https://upload.wikimedia.org/wikipedia/commons/c/c1/Pueblo_de_Guatavita.jpg" TargetMode="External"/><Relationship Id="rId5677" Type="http://schemas.openxmlformats.org/officeDocument/2006/relationships/hyperlink" Target="https://commons.wikimedia.org/wiki/File:%C3%81rbol_tinto_(Solanaceae).jpg" TargetMode="External"/><Relationship Id="rId487" Type="http://schemas.openxmlformats.org/officeDocument/2006/relationships/hyperlink" Target="https://upload.wikimedia.org/wikipedia/commons/c/c7/Atelopus_laetissimus-especie_endemica_de_Colombia.jpg" TargetMode="External"/><Relationship Id="rId3013" Type="http://schemas.openxmlformats.org/officeDocument/2006/relationships/hyperlink" Target="https://commons.wikimedia.org/wiki/File:Lamelas_de_hongo_bajo_luz_UV.jpg" TargetMode="External"/><Relationship Id="rId4344" Type="http://schemas.openxmlformats.org/officeDocument/2006/relationships/hyperlink" Target="https://commons.wikimedia.org/wiki/File:Pueblo_Quiba_cundinamarca.jpg" TargetMode="External"/><Relationship Id="rId5678" Type="http://schemas.openxmlformats.org/officeDocument/2006/relationships/hyperlink" Target="https://maps.google.com/?q=4.654778,-74.391238" TargetMode="External"/><Relationship Id="rId486" Type="http://schemas.openxmlformats.org/officeDocument/2006/relationships/hyperlink" Target="https://maps.google.com/?q=4.668211,-74.100198" TargetMode="External"/><Relationship Id="rId3016" Type="http://schemas.openxmlformats.org/officeDocument/2006/relationships/hyperlink" Target="https://maps.google.com/?q=5.704187,-77.273842" TargetMode="External"/><Relationship Id="rId4347" Type="http://schemas.openxmlformats.org/officeDocument/2006/relationships/hyperlink" Target="https://upload.wikimedia.org/wikipedia/commons/7/75/Puente_Navarro_Honda-Tolima.jpg" TargetMode="External"/><Relationship Id="rId5675" Type="http://schemas.openxmlformats.org/officeDocument/2006/relationships/hyperlink" Target="https://commons.wikimedia.org/wiki/File:%C3%81rbol_solitario_en_las_colinas_de_la_zona_andina_alta.jpg" TargetMode="External"/><Relationship Id="rId485" Type="http://schemas.openxmlformats.org/officeDocument/2006/relationships/hyperlink" Target="https://commons.wikimedia.org/wiki/File:Ateles_hybridus_-_Cimitarra,_Santander,_Colombia_-_30_Sep_2025_-_Diferoch_-_3.jpg" TargetMode="External"/><Relationship Id="rId3015" Type="http://schemas.openxmlformats.org/officeDocument/2006/relationships/hyperlink" Target="https://commons.wikimedia.org/wiki/File:Lancha_a_la_espera_-_Laguna_de_la_cocha_despu%C3%A9s_de_su_inundaci%C3%B3n_Marzo_2025.jpg" TargetMode="External"/><Relationship Id="rId4346" Type="http://schemas.openxmlformats.org/officeDocument/2006/relationships/hyperlink" Target="https://commons.wikimedia.org/wiki/File:Pueblo_de_Guatavita.jpg" TargetMode="External"/><Relationship Id="rId5676" Type="http://schemas.openxmlformats.org/officeDocument/2006/relationships/hyperlink" Target="https://upload.wikimedia.org/wikipedia/commons/a/ab/%C3%81rbol_tinto_%28Solanaceae%29.jpg" TargetMode="External"/><Relationship Id="rId3007" Type="http://schemas.openxmlformats.org/officeDocument/2006/relationships/hyperlink" Target="https://commons.wikimedia.org/wiki/File:Laguna_Pore%C3%B1a.jpg" TargetMode="External"/><Relationship Id="rId4338" Type="http://schemas.openxmlformats.org/officeDocument/2006/relationships/hyperlink" Target="https://commons.wikimedia.org/wiki/File:Psammisia.jpg" TargetMode="External"/><Relationship Id="rId3006" Type="http://schemas.openxmlformats.org/officeDocument/2006/relationships/hyperlink" Target="https://upload.wikimedia.org/wikipedia/commons/d/d1/Laguna_Pore%C3%B1a.jpg" TargetMode="External"/><Relationship Id="rId4337" Type="http://schemas.openxmlformats.org/officeDocument/2006/relationships/hyperlink" Target="https://upload.wikimedia.org/wikipedia/commons/f/fc/Psammisia.jpg" TargetMode="External"/><Relationship Id="rId3009" Type="http://schemas.openxmlformats.org/officeDocument/2006/relationships/hyperlink" Target="https://commons.wikimedia.org/wiki/File:Laguna_p%C3%A1ramo_de_Belmira_amanecer_28,6,26.jpg" TargetMode="External"/><Relationship Id="rId5668" Type="http://schemas.openxmlformats.org/officeDocument/2006/relationships/hyperlink" Target="https://upload.wikimedia.org/wikipedia/commons/5/59/%C3%81rbol_Pereskia_bleo.jpg" TargetMode="External"/><Relationship Id="rId3008" Type="http://schemas.openxmlformats.org/officeDocument/2006/relationships/hyperlink" Target="https://upload.wikimedia.org/wikipedia/commons/2/22/Laguna_p%C3%A1ramo_de_Belmira_amanecer_28%2C6%2C26.jpg" TargetMode="External"/><Relationship Id="rId4339" Type="http://schemas.openxmlformats.org/officeDocument/2006/relationships/hyperlink" Target="https://upload.wikimedia.org/wikipedia/commons/1/1d/Pseudoproscopia.jpg" TargetMode="External"/><Relationship Id="rId5669" Type="http://schemas.openxmlformats.org/officeDocument/2006/relationships/hyperlink" Target="https://commons.wikimedia.org/wiki/File:%C3%81rbol_Pereskia_bleo.jpg" TargetMode="External"/><Relationship Id="rId480" Type="http://schemas.openxmlformats.org/officeDocument/2006/relationships/hyperlink" Target="https://maps.google.com/?q=6.711950,-74.143112" TargetMode="External"/><Relationship Id="rId479" Type="http://schemas.openxmlformats.org/officeDocument/2006/relationships/hyperlink" Target="https://commons.wikimedia.org/wiki/File:Ateles_hybridus_-_Cimitarra,_Santander,_Colombia_-_30_Sep_2025_-_Diferoch_-_1.jpg" TargetMode="External"/><Relationship Id="rId478" Type="http://schemas.openxmlformats.org/officeDocument/2006/relationships/hyperlink" Target="https://upload.wikimedia.org/wikipedia/commons/4/46/Ateles_hybridus_-_Cimitarra%2C_Santander%2C_Colombia_-_30_Sep_2025_-_Diferoch_-_1.jpg" TargetMode="External"/><Relationship Id="rId473" Type="http://schemas.openxmlformats.org/officeDocument/2006/relationships/hyperlink" Target="https://commons.wikimedia.org/wiki/File:Atardecer_yopal.jpg" TargetMode="External"/><Relationship Id="rId4330" Type="http://schemas.openxmlformats.org/officeDocument/2006/relationships/hyperlink" Target="https://maps.google.com/?q=4.972243,-74.306983" TargetMode="External"/><Relationship Id="rId5662" Type="http://schemas.openxmlformats.org/officeDocument/2006/relationships/hyperlink" Target="https://commons.wikimedia.org/wiki/File:%C3%81rbol_de_porte_alto.jpg" TargetMode="External"/><Relationship Id="rId472" Type="http://schemas.openxmlformats.org/officeDocument/2006/relationships/hyperlink" Target="https://upload.wikimedia.org/wikipedia/commons/8/87/Atardecer_yopal.jpg" TargetMode="External"/><Relationship Id="rId5663" Type="http://schemas.openxmlformats.org/officeDocument/2006/relationships/hyperlink" Target="https://upload.wikimedia.org/wikipedia/commons/0/00/%C3%81rbol_en_apego.jpg" TargetMode="External"/><Relationship Id="rId471" Type="http://schemas.openxmlformats.org/officeDocument/2006/relationships/hyperlink" Target="https://commons.wikimedia.org/wiki/File:Atardecer_visto_desde_San_Francisco,_Cundinamarca.jpg" TargetMode="External"/><Relationship Id="rId3001" Type="http://schemas.openxmlformats.org/officeDocument/2006/relationships/hyperlink" Target="https://commons.wikimedia.org/wiki/File:Laguna_grande_cocuy.jpg" TargetMode="External"/><Relationship Id="rId4332" Type="http://schemas.openxmlformats.org/officeDocument/2006/relationships/hyperlink" Target="https://commons.wikimedia.org/wiki/File:Proliferaci%C3%B3n_del_escarabajo_de_hoja_de_menta_azul.jpg" TargetMode="External"/><Relationship Id="rId5660" Type="http://schemas.openxmlformats.org/officeDocument/2006/relationships/hyperlink" Target="https://commons.wikimedia.org/wiki/File:%C3%81rbol_de_m%C3%BAltiples_troncos.jpg" TargetMode="External"/><Relationship Id="rId470" Type="http://schemas.openxmlformats.org/officeDocument/2006/relationships/hyperlink" Target="https://upload.wikimedia.org/wikipedia/commons/3/3f/Atardecer_visto_desde_San_Francisco%2C_Cundinamarca.jpg" TargetMode="External"/><Relationship Id="rId3000" Type="http://schemas.openxmlformats.org/officeDocument/2006/relationships/hyperlink" Target="https://upload.wikimedia.org/wikipedia/commons/0/01/Laguna_grande_cocuy.jpg" TargetMode="External"/><Relationship Id="rId4331" Type="http://schemas.openxmlformats.org/officeDocument/2006/relationships/hyperlink" Target="https://upload.wikimedia.org/wikipedia/commons/7/7a/Proliferaci%C3%B3n_del_escarabajo_de_hoja_de_menta_azul.jpg" TargetMode="External"/><Relationship Id="rId5661" Type="http://schemas.openxmlformats.org/officeDocument/2006/relationships/hyperlink" Target="https://upload.wikimedia.org/wikipedia/commons/1/1c/%C3%81rbol_de_porte_alto.jpg" TargetMode="External"/><Relationship Id="rId477" Type="http://schemas.openxmlformats.org/officeDocument/2006/relationships/hyperlink" Target="https://maps.google.com/?q=6.711957,-74.143097" TargetMode="External"/><Relationship Id="rId3003" Type="http://schemas.openxmlformats.org/officeDocument/2006/relationships/hyperlink" Target="https://commons.wikimedia.org/wiki/File:Laguna_la_llorona.jpg" TargetMode="External"/><Relationship Id="rId4334" Type="http://schemas.openxmlformats.org/officeDocument/2006/relationships/hyperlink" Target="https://upload.wikimedia.org/wikipedia/commons/8/84/Proscopiidae_-_Barrancabermeja%2C_Santander%2C_Colombia_-_11_Jun_2025_-_Diferoch.jpg" TargetMode="External"/><Relationship Id="rId5666" Type="http://schemas.openxmlformats.org/officeDocument/2006/relationships/hyperlink" Target="https://commons.wikimedia.org/wiki/File:%C3%81rbol_Melastomataceae_de_flores_blancas.jpg" TargetMode="External"/><Relationship Id="rId476" Type="http://schemas.openxmlformats.org/officeDocument/2006/relationships/hyperlink" Target="https://commons.wikimedia.org/wiki/File:Ateles_hybridus_-_Cimitarra,_Santander,_Colombia_-_01_Oct_2025_-_Diferoch.jpg" TargetMode="External"/><Relationship Id="rId3002" Type="http://schemas.openxmlformats.org/officeDocument/2006/relationships/hyperlink" Target="https://upload.wikimedia.org/wikipedia/commons/f/fe/Laguna_la_llorona.jpg" TargetMode="External"/><Relationship Id="rId4333" Type="http://schemas.openxmlformats.org/officeDocument/2006/relationships/hyperlink" Target="https://maps.google.com/?q=7.084777,-73.863960" TargetMode="External"/><Relationship Id="rId5667" Type="http://schemas.openxmlformats.org/officeDocument/2006/relationships/hyperlink" Target="https://maps.google.com/?q=4.667750,-74.099944" TargetMode="External"/><Relationship Id="rId475" Type="http://schemas.openxmlformats.org/officeDocument/2006/relationships/hyperlink" Target="https://upload.wikimedia.org/wikipedia/commons/e/eb/Ateles_hybridus_-_Cimitarra%2C_Santander%2C_Colombia_-_01_Oct_2025_-_Diferoch.jpg" TargetMode="External"/><Relationship Id="rId3005" Type="http://schemas.openxmlformats.org/officeDocument/2006/relationships/hyperlink" Target="https://commons.wikimedia.org/wiki/File:Laguna_larga.jpg" TargetMode="External"/><Relationship Id="rId4336" Type="http://schemas.openxmlformats.org/officeDocument/2006/relationships/hyperlink" Target="https://maps.google.com/?q=4.897050,-74.320167" TargetMode="External"/><Relationship Id="rId5664" Type="http://schemas.openxmlformats.org/officeDocument/2006/relationships/hyperlink" Target="https://commons.wikimedia.org/wiki/File:%C3%81rbol_en_apego.jpg" TargetMode="External"/><Relationship Id="rId474" Type="http://schemas.openxmlformats.org/officeDocument/2006/relationships/hyperlink" Target="https://maps.google.com/?q=6.701292,-74.149575" TargetMode="External"/><Relationship Id="rId3004" Type="http://schemas.openxmlformats.org/officeDocument/2006/relationships/hyperlink" Target="https://upload.wikimedia.org/wikipedia/commons/2/24/Laguna_larga.jpg" TargetMode="External"/><Relationship Id="rId4335" Type="http://schemas.openxmlformats.org/officeDocument/2006/relationships/hyperlink" Target="https://commons.wikimedia.org/wiki/File:Proscopiidae_-_Barrancabermeja,_Santander,_Colombia_-_11_Jun_2025_-_Diferoch.jpg" TargetMode="External"/><Relationship Id="rId5665" Type="http://schemas.openxmlformats.org/officeDocument/2006/relationships/hyperlink" Target="https://upload.wikimedia.org/wikipedia/commons/6/68/%C3%81rbol_Melastomataceae_de_flores_blancas.jpg" TargetMode="External"/><Relationship Id="rId1257" Type="http://schemas.openxmlformats.org/officeDocument/2006/relationships/hyperlink" Target="https://commons.wikimedia.org/wiki/File:Coenobita_compressus_-_Nuqu%C3%AD,_Choc%C3%B3,_Colombia_-_23_Oct_2025_-_Diferoch.jpg" TargetMode="External"/><Relationship Id="rId2588" Type="http://schemas.openxmlformats.org/officeDocument/2006/relationships/hyperlink" Target="https://upload.wikimedia.org/wikipedia/commons/f/fe/Hojas_pinnadas_en_el_bosque.jpg" TargetMode="External"/><Relationship Id="rId5615" Type="http://schemas.openxmlformats.org/officeDocument/2006/relationships/hyperlink" Target="https://commons.wikimedia.org/wiki/File:Zorzal_piquinegro.jpg" TargetMode="External"/><Relationship Id="rId1258" Type="http://schemas.openxmlformats.org/officeDocument/2006/relationships/hyperlink" Target="https://maps.google.com/?q=10.425000,-75.540278" TargetMode="External"/><Relationship Id="rId2589" Type="http://schemas.openxmlformats.org/officeDocument/2006/relationships/hyperlink" Target="https://commons.wikimedia.org/wiki/File:Hojas_pinnadas_en_el_bosque.jpg" TargetMode="External"/><Relationship Id="rId5616" Type="http://schemas.openxmlformats.org/officeDocument/2006/relationships/hyperlink" Target="https://maps.google.com/?q=4.870820,-74.086119" TargetMode="External"/><Relationship Id="rId1259" Type="http://schemas.openxmlformats.org/officeDocument/2006/relationships/hyperlink" Target="https://upload.wikimedia.org/wikipedia/commons/a/ab/Coexistencia_de_Entornos.jpg" TargetMode="External"/><Relationship Id="rId5613" Type="http://schemas.openxmlformats.org/officeDocument/2006/relationships/hyperlink" Target="https://commons.wikimedia.org/wiki/File:Zool%C3%B3gico_de_santa_cruz.jpg" TargetMode="External"/><Relationship Id="rId5614" Type="http://schemas.openxmlformats.org/officeDocument/2006/relationships/hyperlink" Target="https://upload.wikimedia.org/wikipedia/commons/d/da/Zorzal_piquinegro.jpg" TargetMode="External"/><Relationship Id="rId5619" Type="http://schemas.openxmlformats.org/officeDocument/2006/relationships/hyperlink" Target="https://upload.wikimedia.org/wikipedia/commons/8/88/%C3%81guila_Real_de_Monta%C3%B1a_%28Spizaetus_isidori%29.jpg" TargetMode="External"/><Relationship Id="rId5617" Type="http://schemas.openxmlformats.org/officeDocument/2006/relationships/hyperlink" Target="https://upload.wikimedia.org/wikipedia/commons/6/66/%C3%81fidos_aliment%C3%A1ndose_de_una_vaina_de_retamo_espinoso.jpg" TargetMode="External"/><Relationship Id="rId5618" Type="http://schemas.openxmlformats.org/officeDocument/2006/relationships/hyperlink" Target="https://commons.wikimedia.org/wiki/File:%C3%81fidos_aliment%C3%A1ndose_de_una_vaina_de_retamo_espinoso.jpg" TargetMode="External"/><Relationship Id="rId426" Type="http://schemas.openxmlformats.org/officeDocument/2006/relationships/hyperlink" Target="https://commons.wikimedia.org/wiki/File:Atardecer_en_Bah%C3%ADa_Solano.jpg" TargetMode="External"/><Relationship Id="rId425" Type="http://schemas.openxmlformats.org/officeDocument/2006/relationships/hyperlink" Target="https://upload.wikimedia.org/wikipedia/commons/c/ca/Atardecer_en_Bah%C3%ADa_Solano.jpg" TargetMode="External"/><Relationship Id="rId424" Type="http://schemas.openxmlformats.org/officeDocument/2006/relationships/hyperlink" Target="https://commons.wikimedia.org/wiki/File:Atardecer_cartagenero_-_3.jpg" TargetMode="External"/><Relationship Id="rId423" Type="http://schemas.openxmlformats.org/officeDocument/2006/relationships/hyperlink" Target="https://upload.wikimedia.org/wikipedia/commons/e/e2/Atardecer_cartagenero_-_3.jpg" TargetMode="External"/><Relationship Id="rId429" Type="http://schemas.openxmlformats.org/officeDocument/2006/relationships/hyperlink" Target="https://upload.wikimedia.org/wikipedia/commons/9/9f/Atardecer_en_Cienaga_Magdalena.jpg" TargetMode="External"/><Relationship Id="rId428" Type="http://schemas.openxmlformats.org/officeDocument/2006/relationships/hyperlink" Target="https://commons.wikimedia.org/wiki/File:Atardecer_en_Cartagena_-_Colombia.jpg" TargetMode="External"/><Relationship Id="rId427" Type="http://schemas.openxmlformats.org/officeDocument/2006/relationships/hyperlink" Target="https://upload.wikimedia.org/wikipedia/commons/c/c2/Atardecer_en_Cartagena_-_Colombia.jpg" TargetMode="External"/><Relationship Id="rId2580" Type="http://schemas.openxmlformats.org/officeDocument/2006/relationships/hyperlink" Target="https://upload.wikimedia.org/wikipedia/commons/b/bd/Hojas_con_hendiduras_o_bordes_irregulares.jpg" TargetMode="External"/><Relationship Id="rId1250" Type="http://schemas.openxmlformats.org/officeDocument/2006/relationships/hyperlink" Target="https://commons.wikimedia.org/wiki/File:Coca_planta_de_Colombia.jpg" TargetMode="External"/><Relationship Id="rId2581" Type="http://schemas.openxmlformats.org/officeDocument/2006/relationships/hyperlink" Target="https://commons.wikimedia.org/wiki/File:Hojas_con_hendiduras_o_bordes_irregulares.jpg" TargetMode="External"/><Relationship Id="rId1251" Type="http://schemas.openxmlformats.org/officeDocument/2006/relationships/hyperlink" Target="https://upload.wikimedia.org/wikipedia/commons/9/97/Coeligena_prunellei_01.jpg" TargetMode="External"/><Relationship Id="rId2582" Type="http://schemas.openxmlformats.org/officeDocument/2006/relationships/hyperlink" Target="https://upload.wikimedia.org/wikipedia/commons/8/8f/Hojas_h%C3%BAmedas_despu%C3%A9s_de_la_lluvia.jpg" TargetMode="External"/><Relationship Id="rId1252" Type="http://schemas.openxmlformats.org/officeDocument/2006/relationships/hyperlink" Target="https://commons.wikimedia.org/wiki/File:Coeligena_prunellei_01.jpg" TargetMode="External"/><Relationship Id="rId2583" Type="http://schemas.openxmlformats.org/officeDocument/2006/relationships/hyperlink" Target="https://commons.wikimedia.org/wiki/File:Hojas_h%C3%BAmedas_despu%C3%A9s_de_la_lluvia.jpg" TargetMode="External"/><Relationship Id="rId422" Type="http://schemas.openxmlformats.org/officeDocument/2006/relationships/hyperlink" Target="https://maps.google.com/?q=10.410697,-75.551344" TargetMode="External"/><Relationship Id="rId1253" Type="http://schemas.openxmlformats.org/officeDocument/2006/relationships/hyperlink" Target="https://upload.wikimedia.org/wikipedia/commons/5/59/Coeligena_prunellei_02.jpg" TargetMode="External"/><Relationship Id="rId2584" Type="http://schemas.openxmlformats.org/officeDocument/2006/relationships/hyperlink" Target="https://upload.wikimedia.org/wikipedia/commons/d/da/Hojas_pinnadas.jpg" TargetMode="External"/><Relationship Id="rId5611" Type="http://schemas.openxmlformats.org/officeDocument/2006/relationships/hyperlink" Target="https://commons.wikimedia.org/wiki/File:Zool%C3%B3gico_de_pereira.jpg" TargetMode="External"/><Relationship Id="rId421" Type="http://schemas.openxmlformats.org/officeDocument/2006/relationships/hyperlink" Target="https://commons.wikimedia.org/wiki/File:Atardecer_cartagenero_-_1.jpg" TargetMode="External"/><Relationship Id="rId1254" Type="http://schemas.openxmlformats.org/officeDocument/2006/relationships/hyperlink" Target="https://commons.wikimedia.org/wiki/File:Coeligena_prunellei_02.jpg" TargetMode="External"/><Relationship Id="rId2585" Type="http://schemas.openxmlformats.org/officeDocument/2006/relationships/hyperlink" Target="https://commons.wikimedia.org/wiki/File:Hojas_pinnadas.jpg" TargetMode="External"/><Relationship Id="rId5612" Type="http://schemas.openxmlformats.org/officeDocument/2006/relationships/hyperlink" Target="https://upload.wikimedia.org/wikipedia/commons/d/d6/Zool%C3%B3gico_de_santa_cruz.jpg" TargetMode="External"/><Relationship Id="rId420" Type="http://schemas.openxmlformats.org/officeDocument/2006/relationships/hyperlink" Target="https://upload.wikimedia.org/wikipedia/commons/7/7b/Atardecer_cartagenero_-_1.jpg" TargetMode="External"/><Relationship Id="rId1255" Type="http://schemas.openxmlformats.org/officeDocument/2006/relationships/hyperlink" Target="https://maps.google.com/?q=5.624810,-77.421272" TargetMode="External"/><Relationship Id="rId2586" Type="http://schemas.openxmlformats.org/officeDocument/2006/relationships/hyperlink" Target="https://upload.wikimedia.org/wikipedia/commons/d/d7/Hojas_pinnadas_en_bosque_h%C3%BAmedo.jpg" TargetMode="External"/><Relationship Id="rId1256" Type="http://schemas.openxmlformats.org/officeDocument/2006/relationships/hyperlink" Target="https://upload.wikimedia.org/wikipedia/commons/6/64/Coenobita_compressus_-_Nuqu%C3%AD%2C_Choc%C3%B3%2C_Colombia_-_23_Oct_2025_-_Diferoch.jpg" TargetMode="External"/><Relationship Id="rId2587" Type="http://schemas.openxmlformats.org/officeDocument/2006/relationships/hyperlink" Target="https://commons.wikimedia.org/wiki/File:Hojas_pinnadas_en_bosque_h%C3%BAmedo.jpg" TargetMode="External"/><Relationship Id="rId5610" Type="http://schemas.openxmlformats.org/officeDocument/2006/relationships/hyperlink" Target="https://upload.wikimedia.org/wikipedia/commons/a/a0/Zool%C3%B3gico_de_pereira.jpg" TargetMode="External"/><Relationship Id="rId1246" Type="http://schemas.openxmlformats.org/officeDocument/2006/relationships/hyperlink" Target="https://upload.wikimedia.org/wikipedia/commons/8/8c/Coca_de_monte.jpg" TargetMode="External"/><Relationship Id="rId2577" Type="http://schemas.openxmlformats.org/officeDocument/2006/relationships/hyperlink" Target="https://upload.wikimedia.org/wikipedia/commons/9/9d/Hojas_con_gotas_de_lluvia.jpg" TargetMode="External"/><Relationship Id="rId5604" Type="http://schemas.openxmlformats.org/officeDocument/2006/relationships/hyperlink" Target="https://commons.wikimedia.org/wiki/File:Zonotrichia_capensis_costaricensis_-_Bogot%C3%A1_D._C.,_Colombia_-_23_Aug_2025_-_Diferoch_-_1.jpg" TargetMode="External"/><Relationship Id="rId1247" Type="http://schemas.openxmlformats.org/officeDocument/2006/relationships/hyperlink" Target="https://commons.wikimedia.org/wiki/File:Coca_de_monte.jpg" TargetMode="External"/><Relationship Id="rId2578" Type="http://schemas.openxmlformats.org/officeDocument/2006/relationships/hyperlink" Target="https://commons.wikimedia.org/wiki/File:Hojas_con_gotas_de_lluvia.jpg" TargetMode="External"/><Relationship Id="rId5605" Type="http://schemas.openxmlformats.org/officeDocument/2006/relationships/hyperlink" Target="https://maps.google.com/?q=4.600730,-74.065995" TargetMode="External"/><Relationship Id="rId1248" Type="http://schemas.openxmlformats.org/officeDocument/2006/relationships/hyperlink" Target="https://maps.google.com/?q=4.667750,-74.099944" TargetMode="External"/><Relationship Id="rId2579" Type="http://schemas.openxmlformats.org/officeDocument/2006/relationships/hyperlink" Target="https://maps.google.com/?q=4.669437,-74.097702" TargetMode="External"/><Relationship Id="rId5602" Type="http://schemas.openxmlformats.org/officeDocument/2006/relationships/hyperlink" Target="https://maps.google.com/?q=4.600725,-74.066002" TargetMode="External"/><Relationship Id="rId1249" Type="http://schemas.openxmlformats.org/officeDocument/2006/relationships/hyperlink" Target="https://upload.wikimedia.org/wikipedia/commons/a/aa/Coca_planta_de_Colombia.jpg" TargetMode="External"/><Relationship Id="rId5603" Type="http://schemas.openxmlformats.org/officeDocument/2006/relationships/hyperlink" Target="https://upload.wikimedia.org/wikipedia/commons/5/5c/Zonotrichia_capensis_costaricensis_-_Bogot%C3%A1_D._C.%2C_Colombia_-_23_Aug_2025_-_Diferoch_-_1.jpg" TargetMode="External"/><Relationship Id="rId5608" Type="http://schemas.openxmlformats.org/officeDocument/2006/relationships/hyperlink" Target="https://upload.wikimedia.org/wikipedia/commons/a/ae/Zool%C3%B3gico_de_Pereira_2.jpg" TargetMode="External"/><Relationship Id="rId5609" Type="http://schemas.openxmlformats.org/officeDocument/2006/relationships/hyperlink" Target="https://commons.wikimedia.org/wiki/File:Zool%C3%B3gico_de_Pereira_2.jpg" TargetMode="External"/><Relationship Id="rId5606" Type="http://schemas.openxmlformats.org/officeDocument/2006/relationships/hyperlink" Target="https://upload.wikimedia.org/wikipedia/commons/a/a6/Zonotrichia_capensis_costaricensis_-_Bogot%C3%A1_D._C.%2C_Colombia_-_23_Aug_2025_-_Diferoch_-_2.jpg" TargetMode="External"/><Relationship Id="rId5607" Type="http://schemas.openxmlformats.org/officeDocument/2006/relationships/hyperlink" Target="https://commons.wikimedia.org/wiki/File:Zonotrichia_capensis_costaricensis_-_Bogot%C3%A1_D._C.,_Colombia_-_23_Aug_2025_-_Diferoch_-_2.jpg" TargetMode="External"/><Relationship Id="rId415" Type="http://schemas.openxmlformats.org/officeDocument/2006/relationships/hyperlink" Target="https://commons.wikimedia.org/wiki/File:Atardecer_bogota_sky_15_hilton_Bogot%C3%A1.jpg" TargetMode="External"/><Relationship Id="rId414" Type="http://schemas.openxmlformats.org/officeDocument/2006/relationships/hyperlink" Target="https://upload.wikimedia.org/wikipedia/commons/7/7b/Atardecer_bogota_sky_15_hilton_Bogot%C3%A1.jpg" TargetMode="External"/><Relationship Id="rId413" Type="http://schemas.openxmlformats.org/officeDocument/2006/relationships/hyperlink" Target="https://commons.wikimedia.org/wiki/File:Atardecer_Santuario_de_fauna_y_flora_Acand%C3%AD,_Play%C3%B3n_y_Playona.jpg" TargetMode="External"/><Relationship Id="rId412" Type="http://schemas.openxmlformats.org/officeDocument/2006/relationships/hyperlink" Target="https://upload.wikimedia.org/wikipedia/commons/d/df/Atardecer_Santuario_de_fauna_y_flora_Acand%C3%AD%2C_Play%C3%B3n_y_Playona.jpg" TargetMode="External"/><Relationship Id="rId419" Type="http://schemas.openxmlformats.org/officeDocument/2006/relationships/hyperlink" Target="https://maps.google.com/?q=10.392856,-75.550558" TargetMode="External"/><Relationship Id="rId418" Type="http://schemas.openxmlformats.org/officeDocument/2006/relationships/hyperlink" Target="https://commons.wikimedia.org/wiki/File:Atardecer_cartagener_-_2.jpg" TargetMode="External"/><Relationship Id="rId417" Type="http://schemas.openxmlformats.org/officeDocument/2006/relationships/hyperlink" Target="https://upload.wikimedia.org/wikipedia/commons/8/8a/Atardecer_cartagener_-_2.jpg" TargetMode="External"/><Relationship Id="rId416" Type="http://schemas.openxmlformats.org/officeDocument/2006/relationships/hyperlink" Target="https://maps.google.com/?q=10.428975,-75.548181" TargetMode="External"/><Relationship Id="rId2570" Type="http://schemas.openxmlformats.org/officeDocument/2006/relationships/hyperlink" Target="https://upload.wikimedia.org/wikipedia/commons/b/be/Hogar%2C_dulce_Santander.jpg" TargetMode="External"/><Relationship Id="rId1240" Type="http://schemas.openxmlformats.org/officeDocument/2006/relationships/hyperlink" Target="https://upload.wikimedia.org/wikipedia/commons/d/d4/Coca2.jpg" TargetMode="External"/><Relationship Id="rId2571" Type="http://schemas.openxmlformats.org/officeDocument/2006/relationships/hyperlink" Target="https://commons.wikimedia.org/wiki/File:Hogar,_dulce_Santander.jpg" TargetMode="External"/><Relationship Id="rId1241" Type="http://schemas.openxmlformats.org/officeDocument/2006/relationships/hyperlink" Target="https://commons.wikimedia.org/wiki/File:Coca2.jpg" TargetMode="External"/><Relationship Id="rId2572" Type="http://schemas.openxmlformats.org/officeDocument/2006/relationships/hyperlink" Target="https://upload.wikimedia.org/wikipedia/commons/1/1f/Hoja_con_nervaduras.jpg" TargetMode="External"/><Relationship Id="rId411" Type="http://schemas.openxmlformats.org/officeDocument/2006/relationships/hyperlink" Target="https://commons.wikimedia.org/wiki/File:Atardecer_R%C3%ADo_Sin%C3%BA_002.jpg" TargetMode="External"/><Relationship Id="rId1242" Type="http://schemas.openxmlformats.org/officeDocument/2006/relationships/hyperlink" Target="https://maps.google.com/?q=4.667750,-74.099944" TargetMode="External"/><Relationship Id="rId2573" Type="http://schemas.openxmlformats.org/officeDocument/2006/relationships/hyperlink" Target="https://commons.wikimedia.org/wiki/File:Hoja_con_nervaduras.jpg" TargetMode="External"/><Relationship Id="rId5600" Type="http://schemas.openxmlformats.org/officeDocument/2006/relationships/hyperlink" Target="https://upload.wikimedia.org/wikipedia/commons/d/dc/Zona_boscosa_con_%C3%A1rboles_de_porte_alto.jpg" TargetMode="External"/><Relationship Id="rId410" Type="http://schemas.openxmlformats.org/officeDocument/2006/relationships/hyperlink" Target="https://upload.wikimedia.org/wikipedia/commons/6/69/Atardecer_R%C3%ADo_Sin%C3%BA_002.jpg" TargetMode="External"/><Relationship Id="rId1243" Type="http://schemas.openxmlformats.org/officeDocument/2006/relationships/hyperlink" Target="https://upload.wikimedia.org/wikipedia/commons/c/ce/Coca3.jpg" TargetMode="External"/><Relationship Id="rId2574" Type="http://schemas.openxmlformats.org/officeDocument/2006/relationships/hyperlink" Target="https://maps.google.com/?q=4.669437,-74.097702" TargetMode="External"/><Relationship Id="rId5601" Type="http://schemas.openxmlformats.org/officeDocument/2006/relationships/hyperlink" Target="https://commons.wikimedia.org/wiki/File:Zona_boscosa_con_%C3%A1rboles_de_porte_alto.jpg" TargetMode="External"/><Relationship Id="rId1244" Type="http://schemas.openxmlformats.org/officeDocument/2006/relationships/hyperlink" Target="https://commons.wikimedia.org/wiki/File:Coca3.jpg" TargetMode="External"/><Relationship Id="rId2575" Type="http://schemas.openxmlformats.org/officeDocument/2006/relationships/hyperlink" Target="https://upload.wikimedia.org/wikipedia/commons/8/81/Hoja_simple_del_g%C3%A9nero_Asplundia.jpg" TargetMode="External"/><Relationship Id="rId1245" Type="http://schemas.openxmlformats.org/officeDocument/2006/relationships/hyperlink" Target="https://maps.google.com/?q=4.667750,-74.099944" TargetMode="External"/><Relationship Id="rId2576" Type="http://schemas.openxmlformats.org/officeDocument/2006/relationships/hyperlink" Target="https://commons.wikimedia.org/wiki/File:Hoja_simple_del_g%C3%A9nero_Asplundia.jpg" TargetMode="External"/><Relationship Id="rId1279" Type="http://schemas.openxmlformats.org/officeDocument/2006/relationships/hyperlink" Target="https://upload.wikimedia.org/wikipedia/commons/2/28/Colibr%C3%AD_0260529.jpg" TargetMode="External"/><Relationship Id="rId4305" Type="http://schemas.openxmlformats.org/officeDocument/2006/relationships/hyperlink" Target="https://upload.wikimedia.org/wikipedia/commons/f/f8/Polilla_de_solapa.jpg" TargetMode="External"/><Relationship Id="rId5637" Type="http://schemas.openxmlformats.org/officeDocument/2006/relationships/hyperlink" Target="https://maps.google.com/?q=4.669437,-74.097702" TargetMode="External"/><Relationship Id="rId4304" Type="http://schemas.openxmlformats.org/officeDocument/2006/relationships/hyperlink" Target="https://maps.google.com/?q=7.766700,-76.650000" TargetMode="External"/><Relationship Id="rId5638" Type="http://schemas.openxmlformats.org/officeDocument/2006/relationships/hyperlink" Target="https://upload.wikimedia.org/wikipedia/commons/3/33/%C3%81rbol_Guayusa_-_Ilex_guayusa_-_Aquifoliaceae.jpg" TargetMode="External"/><Relationship Id="rId4307" Type="http://schemas.openxmlformats.org/officeDocument/2006/relationships/hyperlink" Target="https://maps.google.com/?q=4.977222,-73.775556" TargetMode="External"/><Relationship Id="rId5635" Type="http://schemas.openxmlformats.org/officeDocument/2006/relationships/hyperlink" Target="https://upload.wikimedia.org/wikipedia/commons/4/4c/%C3%81rbol_Guayac%C3%A1n_de_Manizales_%28Lafoensia_acuminata%29.jpg" TargetMode="External"/><Relationship Id="rId4306" Type="http://schemas.openxmlformats.org/officeDocument/2006/relationships/hyperlink" Target="https://commons.wikimedia.org/wiki/File:Polilla_de_solapa.jpg" TargetMode="External"/><Relationship Id="rId5636" Type="http://schemas.openxmlformats.org/officeDocument/2006/relationships/hyperlink" Target="https://commons.wikimedia.org/wiki/File:%C3%81rbol_Guayac%C3%A1n_de_Manizales_(Lafoensia_acuminata).jpg" TargetMode="External"/><Relationship Id="rId4309" Type="http://schemas.openxmlformats.org/officeDocument/2006/relationships/hyperlink" Target="https://commons.wikimedia.org/wiki/File:Polinizaci%C3%B3n_en_p%C3%A1ramos.png" TargetMode="External"/><Relationship Id="rId4308" Type="http://schemas.openxmlformats.org/officeDocument/2006/relationships/hyperlink" Target="https://upload.wikimedia.org/wikipedia/commons/4/4e/Polinizaci%C3%B3n_en_p%C3%A1ramos.png" TargetMode="External"/><Relationship Id="rId5639" Type="http://schemas.openxmlformats.org/officeDocument/2006/relationships/hyperlink" Target="https://commons.wikimedia.org/wiki/File:%C3%81rbol_Guayusa_-_Ilex_guayusa_-_Aquifoliaceae.jpg" TargetMode="External"/><Relationship Id="rId448" Type="http://schemas.openxmlformats.org/officeDocument/2006/relationships/hyperlink" Target="https://commons.wikimedia.org/wiki/File:Atardecer_en_el_R%C3%ADo_Sin%C3%BA,_Monter%C3%ADa,_C%C3%B3rdoba.jpg" TargetMode="External"/><Relationship Id="rId447" Type="http://schemas.openxmlformats.org/officeDocument/2006/relationships/hyperlink" Target="https://upload.wikimedia.org/wikipedia/commons/f/fa/Atardecer_en_el_R%C3%ADo_Sin%C3%BA%2C_Monter%C3%ADa%2C_C%C3%B3rdoba.jpg" TargetMode="External"/><Relationship Id="rId446" Type="http://schemas.openxmlformats.org/officeDocument/2006/relationships/hyperlink" Target="https://commons.wikimedia.org/wiki/File:Atardecer_en_el_R%C3%ADo_In%C3%ADrida.jpg" TargetMode="External"/><Relationship Id="rId445" Type="http://schemas.openxmlformats.org/officeDocument/2006/relationships/hyperlink" Target="https://upload.wikimedia.org/wikipedia/commons/1/19/Atardecer_en_el_R%C3%ADo_In%C3%ADrida.jpg" TargetMode="External"/><Relationship Id="rId449" Type="http://schemas.openxmlformats.org/officeDocument/2006/relationships/hyperlink" Target="https://maps.google.com/?q=11.554475,-72.909081" TargetMode="External"/><Relationship Id="rId1270" Type="http://schemas.openxmlformats.org/officeDocument/2006/relationships/hyperlink" Target="https://upload.wikimedia.org/wikipedia/commons/5/5d/Coleoptero_Paipa.jpg" TargetMode="External"/><Relationship Id="rId440" Type="http://schemas.openxmlformats.org/officeDocument/2006/relationships/hyperlink" Target="https://maps.google.com/?q=11.138708,-74.227797" TargetMode="External"/><Relationship Id="rId1271" Type="http://schemas.openxmlformats.org/officeDocument/2006/relationships/hyperlink" Target="https://commons.wikimedia.org/wiki/File:Coleoptero_Paipa.jpg" TargetMode="External"/><Relationship Id="rId1272" Type="http://schemas.openxmlformats.org/officeDocument/2006/relationships/hyperlink" Target="https://upload.wikimedia.org/wikipedia/commons/4/44/Cole%C3%B3ptero_con_alas_rotas.jpg" TargetMode="External"/><Relationship Id="rId5630" Type="http://schemas.openxmlformats.org/officeDocument/2006/relationships/hyperlink" Target="https://commons.wikimedia.org/wiki/File:%C3%81rbol_Corono_(Salicaceae).jpg" TargetMode="External"/><Relationship Id="rId1273" Type="http://schemas.openxmlformats.org/officeDocument/2006/relationships/hyperlink" Target="https://commons.wikimedia.org/wiki/File:Cole%C3%B3ptero_con_alas_rotas.jpg" TargetMode="External"/><Relationship Id="rId1274" Type="http://schemas.openxmlformats.org/officeDocument/2006/relationships/hyperlink" Target="https://upload.wikimedia.org/wikipedia/commons/6/60/Colibri_coruscans_en_el_bosque.jpg" TargetMode="External"/><Relationship Id="rId444" Type="http://schemas.openxmlformats.org/officeDocument/2006/relationships/hyperlink" Target="https://commons.wikimedia.org/wiki/File:Atardecer_en_el_R%C3%ADo,_Monter%C3%ADa,_C%C3%B3rdoba.jpg" TargetMode="External"/><Relationship Id="rId1275" Type="http://schemas.openxmlformats.org/officeDocument/2006/relationships/hyperlink" Target="https://commons.wikimedia.org/wiki/File:Colibri_coruscans_en_el_bosque.jpg" TargetMode="External"/><Relationship Id="rId4301" Type="http://schemas.openxmlformats.org/officeDocument/2006/relationships/hyperlink" Target="https://maps.google.com/?q=4.945124,-74.815970" TargetMode="External"/><Relationship Id="rId5633" Type="http://schemas.openxmlformats.org/officeDocument/2006/relationships/hyperlink" Target="https://upload.wikimedia.org/wikipedia/commons/1/19/%C3%81rbol_Cucharo_%28Primulaceae%29.jpg" TargetMode="External"/><Relationship Id="rId443" Type="http://schemas.openxmlformats.org/officeDocument/2006/relationships/hyperlink" Target="https://upload.wikimedia.org/wikipedia/commons/b/be/Atardecer_en_el_R%C3%ADo%2C_Monter%C3%ADa%2C_C%C3%B3rdoba.jpg" TargetMode="External"/><Relationship Id="rId1276" Type="http://schemas.openxmlformats.org/officeDocument/2006/relationships/hyperlink" Target="https://maps.google.com/?q=4.843104,-73.830812" TargetMode="External"/><Relationship Id="rId4300" Type="http://schemas.openxmlformats.org/officeDocument/2006/relationships/hyperlink" Target="https://commons.wikimedia.org/wiki/File:Polilla_(80986).jpg" TargetMode="External"/><Relationship Id="rId5634" Type="http://schemas.openxmlformats.org/officeDocument/2006/relationships/hyperlink" Target="https://commons.wikimedia.org/wiki/File:%C3%81rbol_Cucharo_(Primulaceae).jpg" TargetMode="External"/><Relationship Id="rId442" Type="http://schemas.openxmlformats.org/officeDocument/2006/relationships/hyperlink" Target="https://commons.wikimedia.org/wiki/File:Atardecer_en_el_Caribe.jpg" TargetMode="External"/><Relationship Id="rId1277" Type="http://schemas.openxmlformats.org/officeDocument/2006/relationships/hyperlink" Target="https://upload.wikimedia.org/wikipedia/commons/e/e6/Colibr%C3%AD_-_Eriocnemis_vestita_de_La_Reserva_El_Zoque.jpg" TargetMode="External"/><Relationship Id="rId4303" Type="http://schemas.openxmlformats.org/officeDocument/2006/relationships/hyperlink" Target="https://commons.wikimedia.org/wiki/File:Polilla_(93650).jpg" TargetMode="External"/><Relationship Id="rId5631" Type="http://schemas.openxmlformats.org/officeDocument/2006/relationships/hyperlink" Target="https://upload.wikimedia.org/wikipedia/commons/8/88/%C3%81rbol_Corono_%28Salicaceae%291.jpg" TargetMode="External"/><Relationship Id="rId441" Type="http://schemas.openxmlformats.org/officeDocument/2006/relationships/hyperlink" Target="https://upload.wikimedia.org/wikipedia/commons/a/ac/Atardecer_en_el_Caribe.jpg" TargetMode="External"/><Relationship Id="rId1278" Type="http://schemas.openxmlformats.org/officeDocument/2006/relationships/hyperlink" Target="https://commons.wikimedia.org/wiki/File:Colibr%C3%AD_-_Eriocnemis_vestita_de_La_Reserva_El_Zoque.jpg" TargetMode="External"/><Relationship Id="rId4302" Type="http://schemas.openxmlformats.org/officeDocument/2006/relationships/hyperlink" Target="https://upload.wikimedia.org/wikipedia/commons/5/51/Polilla_%2893650%29.jpg" TargetMode="External"/><Relationship Id="rId5632" Type="http://schemas.openxmlformats.org/officeDocument/2006/relationships/hyperlink" Target="https://commons.wikimedia.org/wiki/File:%C3%81rbol_Corono_(Salicaceae)1.jpg" TargetMode="External"/><Relationship Id="rId1268" Type="http://schemas.openxmlformats.org/officeDocument/2006/relationships/hyperlink" Target="https://commons.wikimedia.org/wiki/File:Cola_blanca_camuflada_-_PNN_Sierra_nevada_de_Guican.jpg" TargetMode="External"/><Relationship Id="rId2599" Type="http://schemas.openxmlformats.org/officeDocument/2006/relationships/hyperlink" Target="https://upload.wikimedia.org/wikipedia/commons/e/ea/Hongo_en_Paipa.jpg" TargetMode="External"/><Relationship Id="rId5626" Type="http://schemas.openxmlformats.org/officeDocument/2006/relationships/hyperlink" Target="https://commons.wikimedia.org/wiki/File:%C3%81rbol_Cedro_cebolla_(Meliaceae).jpg" TargetMode="External"/><Relationship Id="rId1269" Type="http://schemas.openxmlformats.org/officeDocument/2006/relationships/hyperlink" Target="https://maps.google.com/?q=5.780000,-73.117500" TargetMode="External"/><Relationship Id="rId5627" Type="http://schemas.openxmlformats.org/officeDocument/2006/relationships/hyperlink" Target="https://upload.wikimedia.org/wikipedia/commons/9/93/%C3%81rbol_Cedro_de_cebolla.jpg" TargetMode="External"/><Relationship Id="rId5624" Type="http://schemas.openxmlformats.org/officeDocument/2006/relationships/hyperlink" Target="https://commons.wikimedia.org/wiki/File:%C3%81rbol_Borrachero_(Solanaceae).jpg" TargetMode="External"/><Relationship Id="rId5625" Type="http://schemas.openxmlformats.org/officeDocument/2006/relationships/hyperlink" Target="https://upload.wikimedia.org/wikipedia/commons/9/96/%C3%81rbol_Cedro_cebolla_%28Meliaceae%29.jpg" TargetMode="External"/><Relationship Id="rId5628" Type="http://schemas.openxmlformats.org/officeDocument/2006/relationships/hyperlink" Target="https://commons.wikimedia.org/wiki/File:%C3%81rbol_Cedro_de_cebolla.jpg" TargetMode="External"/><Relationship Id="rId5629" Type="http://schemas.openxmlformats.org/officeDocument/2006/relationships/hyperlink" Target="https://upload.wikimedia.org/wikipedia/commons/3/32/%C3%81rbol_Corono_%28Salicaceae%29.jpg" TargetMode="External"/><Relationship Id="rId437" Type="http://schemas.openxmlformats.org/officeDocument/2006/relationships/hyperlink" Target="https://commons.wikimedia.org/wiki/File:Atardecer_en_Santa_Marta_Colombia.jpg" TargetMode="External"/><Relationship Id="rId436" Type="http://schemas.openxmlformats.org/officeDocument/2006/relationships/hyperlink" Target="https://upload.wikimedia.org/wikipedia/commons/b/b8/Atardecer_en_Santa_Marta_Colombia.jpg" TargetMode="External"/><Relationship Id="rId435" Type="http://schemas.openxmlformats.org/officeDocument/2006/relationships/hyperlink" Target="https://commons.wikimedia.org/wiki/File:Atardecer_en_Pen%C3%ADnsula_de_Bar%C3%BA.jpg" TargetMode="External"/><Relationship Id="rId434" Type="http://schemas.openxmlformats.org/officeDocument/2006/relationships/hyperlink" Target="https://upload.wikimedia.org/wikipedia/commons/9/9a/Atardecer_en_Pen%C3%ADnsula_de_Bar%C3%BA.jpg" TargetMode="External"/><Relationship Id="rId439" Type="http://schemas.openxmlformats.org/officeDocument/2006/relationships/hyperlink" Target="https://commons.wikimedia.org/wiki/File:Atardecer_en_Tena_Cundinamarca_Colombia.jpg" TargetMode="External"/><Relationship Id="rId438" Type="http://schemas.openxmlformats.org/officeDocument/2006/relationships/hyperlink" Target="https://upload.wikimedia.org/wikipedia/commons/e/ea/Atardecer_en_Tena_Cundinamarca_Colombia.jpg" TargetMode="External"/><Relationship Id="rId2590" Type="http://schemas.openxmlformats.org/officeDocument/2006/relationships/hyperlink" Target="https://maps.google.com/?q=4.840614,-73.832840" TargetMode="External"/><Relationship Id="rId1260" Type="http://schemas.openxmlformats.org/officeDocument/2006/relationships/hyperlink" Target="https://commons.wikimedia.org/wiki/File:Coexistencia_de_Entornos.jpg" TargetMode="External"/><Relationship Id="rId2591" Type="http://schemas.openxmlformats.org/officeDocument/2006/relationships/hyperlink" Target="https://upload.wikimedia.org/wikipedia/commons/5/51/Hongo_de_la_Reserva_El_Zoque.jpg" TargetMode="External"/><Relationship Id="rId1261" Type="http://schemas.openxmlformats.org/officeDocument/2006/relationships/hyperlink" Target="https://maps.google.com/?q=4.842038,-73.834023" TargetMode="External"/><Relationship Id="rId2592" Type="http://schemas.openxmlformats.org/officeDocument/2006/relationships/hyperlink" Target="https://commons.wikimedia.org/wiki/File:Hongo_de_la_Reserva_El_Zoque.jpg" TargetMode="External"/><Relationship Id="rId1262" Type="http://schemas.openxmlformats.org/officeDocument/2006/relationships/hyperlink" Target="https://upload.wikimedia.org/wikipedia/commons/e/ed/Coj%C3%ADn_de_Liquen_de_Guasca.jpg" TargetMode="External"/><Relationship Id="rId2593" Type="http://schemas.openxmlformats.org/officeDocument/2006/relationships/hyperlink" Target="https://upload.wikimedia.org/wikipedia/commons/a/a7/Hongo_de_la_reserva_natural_Guataqu%C3%AD.jpg" TargetMode="External"/><Relationship Id="rId1263" Type="http://schemas.openxmlformats.org/officeDocument/2006/relationships/hyperlink" Target="https://commons.wikimedia.org/wiki/File:Coj%C3%ADn_de_Liquen_de_Guasca.jpg" TargetMode="External"/><Relationship Id="rId2594" Type="http://schemas.openxmlformats.org/officeDocument/2006/relationships/hyperlink" Target="https://commons.wikimedia.org/wiki/File:Hongo_de_la_reserva_natural_Guataqu%C3%AD.jpg" TargetMode="External"/><Relationship Id="rId433" Type="http://schemas.openxmlformats.org/officeDocument/2006/relationships/hyperlink" Target="https://commons.wikimedia.org/wiki/File:Atardecer_en_Muelle_1888.jpg" TargetMode="External"/><Relationship Id="rId1264" Type="http://schemas.openxmlformats.org/officeDocument/2006/relationships/hyperlink" Target="https://maps.google.com/?q=4.667750,-74.099944" TargetMode="External"/><Relationship Id="rId2595" Type="http://schemas.openxmlformats.org/officeDocument/2006/relationships/hyperlink" Target="https://upload.wikimedia.org/wikipedia/commons/6/64/Hongo_del_artista.jpg" TargetMode="External"/><Relationship Id="rId5622" Type="http://schemas.openxmlformats.org/officeDocument/2006/relationships/hyperlink" Target="https://commons.wikimedia.org/wiki/File:%C3%81rbol_bifurcado.jpg" TargetMode="External"/><Relationship Id="rId432" Type="http://schemas.openxmlformats.org/officeDocument/2006/relationships/hyperlink" Target="https://upload.wikimedia.org/wikipedia/commons/f/f0/Atardecer_en_Muelle_1888.jpg" TargetMode="External"/><Relationship Id="rId1265" Type="http://schemas.openxmlformats.org/officeDocument/2006/relationships/hyperlink" Target="https://upload.wikimedia.org/wikipedia/commons/2/27/Col_de_monte_-_Anthurium_fendleri_-_Araceae.jpg" TargetMode="External"/><Relationship Id="rId2596" Type="http://schemas.openxmlformats.org/officeDocument/2006/relationships/hyperlink" Target="https://commons.wikimedia.org/wiki/File:Hongo_del_artista.jpg" TargetMode="External"/><Relationship Id="rId5623" Type="http://schemas.openxmlformats.org/officeDocument/2006/relationships/hyperlink" Target="https://upload.wikimedia.org/wikipedia/commons/4/4b/%C3%81rbol_Borrachero_%28Solanaceae%29.jpg" TargetMode="External"/><Relationship Id="rId431" Type="http://schemas.openxmlformats.org/officeDocument/2006/relationships/hyperlink" Target="https://maps.google.com/?q=10.988300,-74.952200" TargetMode="External"/><Relationship Id="rId1266" Type="http://schemas.openxmlformats.org/officeDocument/2006/relationships/hyperlink" Target="https://commons.wikimedia.org/wiki/File:Col_de_monte_-_Anthurium_fendleri_-_Araceae.jpg" TargetMode="External"/><Relationship Id="rId2597" Type="http://schemas.openxmlformats.org/officeDocument/2006/relationships/hyperlink" Target="https://upload.wikimedia.org/wikipedia/commons/6/60/Hongo_en_Cu%C3%ADtiva_Boyac%C3%A1.jpg" TargetMode="External"/><Relationship Id="rId5620" Type="http://schemas.openxmlformats.org/officeDocument/2006/relationships/hyperlink" Target="https://commons.wikimedia.org/wiki/File:%C3%81guila_Real_de_Monta%C3%B1a_(Spizaetus_isidori).jpg" TargetMode="External"/><Relationship Id="rId430" Type="http://schemas.openxmlformats.org/officeDocument/2006/relationships/hyperlink" Target="https://commons.wikimedia.org/wiki/File:Atardecer_en_Cienaga_Magdalena.jpg" TargetMode="External"/><Relationship Id="rId1267" Type="http://schemas.openxmlformats.org/officeDocument/2006/relationships/hyperlink" Target="https://upload.wikimedia.org/wikipedia/commons/c/c8/Cola_blanca_camuflada_-_PNN_Sierra_nevada_de_Guican.jpg" TargetMode="External"/><Relationship Id="rId2598" Type="http://schemas.openxmlformats.org/officeDocument/2006/relationships/hyperlink" Target="https://commons.wikimedia.org/wiki/File:Hongo_en_Cu%C3%ADtiva_Boyac%C3%A1.jpg" TargetMode="External"/><Relationship Id="rId5621" Type="http://schemas.openxmlformats.org/officeDocument/2006/relationships/hyperlink" Target="https://upload.wikimedia.org/wikipedia/commons/9/9f/%C3%81rbol_bifurcado.jpg" TargetMode="External"/><Relationship Id="rId3070" Type="http://schemas.openxmlformats.org/officeDocument/2006/relationships/hyperlink" Target="https://upload.wikimedia.org/wikipedia/commons/e/e0/Las_Garzas_Del_Malec%C3%B3n_del_R%C3%ADo.jpg" TargetMode="External"/><Relationship Id="rId3072" Type="http://schemas.openxmlformats.org/officeDocument/2006/relationships/hyperlink" Target="https://upload.wikimedia.org/wikipedia/commons/a/a7/Las_Tres_Muchachas.jpg" TargetMode="External"/><Relationship Id="rId3071" Type="http://schemas.openxmlformats.org/officeDocument/2006/relationships/hyperlink" Target="https://commons.wikimedia.org/wiki/File:Las_Garzas_Del_Malec%C3%B3n_del_R%C3%ADo.jpg" TargetMode="External"/><Relationship Id="rId3074" Type="http://schemas.openxmlformats.org/officeDocument/2006/relationships/hyperlink" Target="https://maps.google.com/?q=4.091467,-73.502273" TargetMode="External"/><Relationship Id="rId3073" Type="http://schemas.openxmlformats.org/officeDocument/2006/relationships/hyperlink" Target="https://commons.wikimedia.org/wiki/File:Las_Tres_Muchachas.jpg" TargetMode="External"/><Relationship Id="rId3076" Type="http://schemas.openxmlformats.org/officeDocument/2006/relationships/hyperlink" Target="https://commons.wikimedia.org/wiki/File:Las_travesuras_del_Mono_Maicero.png" TargetMode="External"/><Relationship Id="rId3075" Type="http://schemas.openxmlformats.org/officeDocument/2006/relationships/hyperlink" Target="https://upload.wikimedia.org/wikipedia/commons/d/d7/Las_travesuras_del_Mono_Maicero.png" TargetMode="External"/><Relationship Id="rId3078" Type="http://schemas.openxmlformats.org/officeDocument/2006/relationships/hyperlink" Target="https://upload.wikimedia.org/wikipedia/commons/a/a6/Las_vacas.jpg" TargetMode="External"/><Relationship Id="rId3077" Type="http://schemas.openxmlformats.org/officeDocument/2006/relationships/hyperlink" Target="https://maps.google.com/?q=8.073678,-74.784958" TargetMode="External"/><Relationship Id="rId3079" Type="http://schemas.openxmlformats.org/officeDocument/2006/relationships/hyperlink" Target="https://commons.wikimedia.org/wiki/File:Las_vacas.jpg" TargetMode="External"/><Relationship Id="rId4390" Type="http://schemas.openxmlformats.org/officeDocument/2006/relationships/hyperlink" Target="https://commons.wikimedia.org/wiki/File:P%C3%A1jaro_g%C3%BCican.jpg" TargetMode="External"/><Relationship Id="rId3061" Type="http://schemas.openxmlformats.org/officeDocument/2006/relationships/hyperlink" Target="https://maps.google.com/?q=5.609660,-77.438202" TargetMode="External"/><Relationship Id="rId4392" Type="http://schemas.openxmlformats.org/officeDocument/2006/relationships/hyperlink" Target="https://commons.wikimedia.org/wiki/File:P%C3%A1ramo_El_Consuelo,_Boyac%C3%A1,_Colombia.jpg" TargetMode="External"/><Relationship Id="rId3060" Type="http://schemas.openxmlformats.org/officeDocument/2006/relationships/hyperlink" Target="https://commons.wikimedia.org/wiki/File:Landscape_of_Nuqu%C3%AD,_Choc%C3%B3,_Colombia_-_22_Oct_2025_-_Diferoch_-_9.jpg" TargetMode="External"/><Relationship Id="rId4391" Type="http://schemas.openxmlformats.org/officeDocument/2006/relationships/hyperlink" Target="https://upload.wikimedia.org/wikipedia/commons/e/ec/P%C3%A1ramo_El_Consuelo%2C_Boyac%C3%A1%2C_Colombia.jpg" TargetMode="External"/><Relationship Id="rId3063" Type="http://schemas.openxmlformats.org/officeDocument/2006/relationships/hyperlink" Target="https://commons.wikimedia.org/wiki/File:Landscape_of_Nuqu%C3%AD,_Choc%C3%B3,_Colombia_-_23_Oct_2025_-_Diferoch.jpg" TargetMode="External"/><Relationship Id="rId4394" Type="http://schemas.openxmlformats.org/officeDocument/2006/relationships/hyperlink" Target="https://upload.wikimedia.org/wikipedia/commons/c/cb/P%C3%A1ramo_Guerrero.jpg" TargetMode="External"/><Relationship Id="rId3062" Type="http://schemas.openxmlformats.org/officeDocument/2006/relationships/hyperlink" Target="https://upload.wikimedia.org/wikipedia/commons/4/47/Landscape_of_Nuqu%C3%AD%2C_Choc%C3%B3%2C_Colombia_-_23_Oct_2025_-_Diferoch.jpg" TargetMode="External"/><Relationship Id="rId4393" Type="http://schemas.openxmlformats.org/officeDocument/2006/relationships/hyperlink" Target="https://maps.google.com/?q=5.131525,-73.996431" TargetMode="External"/><Relationship Id="rId3065" Type="http://schemas.openxmlformats.org/officeDocument/2006/relationships/hyperlink" Target="https://upload.wikimedia.org/wikipedia/commons/c/c9/Larva_de_crisopa_usando_camuflaje.jpg" TargetMode="External"/><Relationship Id="rId4396" Type="http://schemas.openxmlformats.org/officeDocument/2006/relationships/hyperlink" Target="https://upload.wikimedia.org/wikipedia/commons/2/20/P%C3%A1ramo_de_Chingaza.jpg" TargetMode="External"/><Relationship Id="rId3064" Type="http://schemas.openxmlformats.org/officeDocument/2006/relationships/hyperlink" Target="https://maps.google.com/?q=4.873370,-74.082910" TargetMode="External"/><Relationship Id="rId4395" Type="http://schemas.openxmlformats.org/officeDocument/2006/relationships/hyperlink" Target="https://commons.wikimedia.org/wiki/File:P%C3%A1ramo_Guerrero.jpg" TargetMode="External"/><Relationship Id="rId3067" Type="http://schemas.openxmlformats.org/officeDocument/2006/relationships/hyperlink" Target="https://maps.google.com/?q=4.984157,-74.278227" TargetMode="External"/><Relationship Id="rId4398" Type="http://schemas.openxmlformats.org/officeDocument/2006/relationships/hyperlink" Target="https://upload.wikimedia.org/wikipedia/commons/b/b1/P%C3%A1ramo_de_Ocet%C3%A1_y_Laguna_Negra_Mongua%2C_Boyac%C3%A1.jpg" TargetMode="External"/><Relationship Id="rId3066" Type="http://schemas.openxmlformats.org/officeDocument/2006/relationships/hyperlink" Target="https://commons.wikimedia.org/wiki/File:Larva_de_crisopa_usando_camuflaje.jpg" TargetMode="External"/><Relationship Id="rId4397" Type="http://schemas.openxmlformats.org/officeDocument/2006/relationships/hyperlink" Target="https://commons.wikimedia.org/wiki/File:P%C3%A1ramo_de_Chingaza.jpg" TargetMode="External"/><Relationship Id="rId3069" Type="http://schemas.openxmlformats.org/officeDocument/2006/relationships/hyperlink" Target="https://commons.wikimedia.org/wiki/File:Larvas_de_avispa.jpg" TargetMode="External"/><Relationship Id="rId3068" Type="http://schemas.openxmlformats.org/officeDocument/2006/relationships/hyperlink" Target="https://upload.wikimedia.org/wikipedia/commons/4/45/Larvas_de_avispa.jpg" TargetMode="External"/><Relationship Id="rId4399" Type="http://schemas.openxmlformats.org/officeDocument/2006/relationships/hyperlink" Target="https://commons.wikimedia.org/wiki/File:P%C3%A1ramo_de_Ocet%C3%A1_y_Laguna_Negra_Mongua,_Boyac%C3%A1.jpg" TargetMode="External"/><Relationship Id="rId3090" Type="http://schemas.openxmlformats.org/officeDocument/2006/relationships/hyperlink" Target="https://upload.wikimedia.org/wikipedia/commons/4/47/Lepanthes.jpg" TargetMode="External"/><Relationship Id="rId3092" Type="http://schemas.openxmlformats.org/officeDocument/2006/relationships/hyperlink" Target="https://maps.google.com/?q=7.085008,-73.864028" TargetMode="External"/><Relationship Id="rId3091" Type="http://schemas.openxmlformats.org/officeDocument/2006/relationships/hyperlink" Target="https://commons.wikimedia.org/wiki/File:Lepanthes.jpg" TargetMode="External"/><Relationship Id="rId3094" Type="http://schemas.openxmlformats.org/officeDocument/2006/relationships/hyperlink" Target="https://commons.wikimedia.org/wiki/File:Lepidoptera_-_Barrancabermeja,_Santander,_Colombia.jpg" TargetMode="External"/><Relationship Id="rId3093" Type="http://schemas.openxmlformats.org/officeDocument/2006/relationships/hyperlink" Target="https://upload.wikimedia.org/wikipedia/commons/8/8c/Lepidoptera_-_Barrancabermeja%2C_Santander%2C_Colombia.jpg" TargetMode="External"/><Relationship Id="rId3096" Type="http://schemas.openxmlformats.org/officeDocument/2006/relationships/hyperlink" Target="https://upload.wikimedia.org/wikipedia/commons/3/33/Lepidoptera_-_Barrancabermeja%2C_Santander%2C_Colombia_-_14_Jun_2026_-_Diferoch.jpg" TargetMode="External"/><Relationship Id="rId3095" Type="http://schemas.openxmlformats.org/officeDocument/2006/relationships/hyperlink" Target="https://maps.google.com/?q=7.095882,-73.756088" TargetMode="External"/><Relationship Id="rId3098" Type="http://schemas.openxmlformats.org/officeDocument/2006/relationships/hyperlink" Target="https://maps.google.com/?q=7.084857,-73.864007" TargetMode="External"/><Relationship Id="rId3097" Type="http://schemas.openxmlformats.org/officeDocument/2006/relationships/hyperlink" Target="https://commons.wikimedia.org/wiki/File:Lepidoptera_-_Barrancabermeja,_Santander,_Colombia_-_14_Jun_2026_-_Diferoch.jpg" TargetMode="External"/><Relationship Id="rId3099" Type="http://schemas.openxmlformats.org/officeDocument/2006/relationships/hyperlink" Target="https://upload.wikimedia.org/wikipedia/commons/7/75/Lepidoptera_-_Barrancabermeja%2C_Santander%2C_Colombia_-_18_Jun_2025_-_Diferoch.jpg" TargetMode="External"/><Relationship Id="rId3081" Type="http://schemas.openxmlformats.org/officeDocument/2006/relationships/hyperlink" Target="https://commons.wikimedia.org/wiki/File:Laurel_Curo_(Lauraceae).jpg" TargetMode="External"/><Relationship Id="rId3080" Type="http://schemas.openxmlformats.org/officeDocument/2006/relationships/hyperlink" Target="https://upload.wikimedia.org/wikipedia/commons/9/97/Laurel_Curo_%28Lauraceae%29.jpg" TargetMode="External"/><Relationship Id="rId3083" Type="http://schemas.openxmlformats.org/officeDocument/2006/relationships/hyperlink" Target="https://commons.wikimedia.org/wiki/File:Lavanda_(Lavandula_dentata).jpg" TargetMode="External"/><Relationship Id="rId3082" Type="http://schemas.openxmlformats.org/officeDocument/2006/relationships/hyperlink" Target="https://upload.wikimedia.org/wikipedia/commons/7/78/Lavanda_%28Lavandula_dentata%29.jpg" TargetMode="External"/><Relationship Id="rId3085" Type="http://schemas.openxmlformats.org/officeDocument/2006/relationships/hyperlink" Target="https://upload.wikimedia.org/wikipedia/commons/4/43/Legado_en_las_Alturas%2C_El_Mono_Zocay_y_su_Cr%C3%ADa_%28Plecturocebus_ornatus%29.png" TargetMode="External"/><Relationship Id="rId3084" Type="http://schemas.openxmlformats.org/officeDocument/2006/relationships/hyperlink" Target="https://maps.google.com/?q=4.091467,-73.502273" TargetMode="External"/><Relationship Id="rId3087" Type="http://schemas.openxmlformats.org/officeDocument/2006/relationships/hyperlink" Target="https://upload.wikimedia.org/wikipedia/commons/0/0c/Lento_Caracol.jpg" TargetMode="External"/><Relationship Id="rId3086" Type="http://schemas.openxmlformats.org/officeDocument/2006/relationships/hyperlink" Target="https://commons.wikimedia.org/wiki/File:Legado_en_las_Alturas,_El_Mono_Zocay_y_su_Cr%C3%ADa_(Plecturocebus_ornatus).png" TargetMode="External"/><Relationship Id="rId3089" Type="http://schemas.openxmlformats.org/officeDocument/2006/relationships/hyperlink" Target="https://maps.google.com/?q=4.877708,-74.292153" TargetMode="External"/><Relationship Id="rId3088" Type="http://schemas.openxmlformats.org/officeDocument/2006/relationships/hyperlink" Target="https://commons.wikimedia.org/wiki/File:Lento_Caracol.jpg" TargetMode="External"/><Relationship Id="rId3039" Type="http://schemas.openxmlformats.org/officeDocument/2006/relationships/hyperlink" Target="https://commons.wikimedia.org/wiki/File:Landscape_of_Nuqu%C3%AD,_Choc%C3%B3,_Colombia_-_22_Oct_2025_-_Diferoch_-_2.jpg" TargetMode="External"/><Relationship Id="rId1" Type="http://schemas.openxmlformats.org/officeDocument/2006/relationships/hyperlink" Target="https://maps.google.com/?q=4.513160,-74.537920" TargetMode="External"/><Relationship Id="rId2" Type="http://schemas.openxmlformats.org/officeDocument/2006/relationships/hyperlink" Target="https://upload.wikimedia.org/wikipedia/commons/9/9e/%28Daptrius_chimachima%29.jpg" TargetMode="External"/><Relationship Id="rId3" Type="http://schemas.openxmlformats.org/officeDocument/2006/relationships/hyperlink" Target="https://commons.wikimedia.org/wiki/File:(Daptrius_chimachima).jpg" TargetMode="External"/><Relationship Id="rId4" Type="http://schemas.openxmlformats.org/officeDocument/2006/relationships/hyperlink" Target="https://maps.google.com/?q=4.527990,-73.752840" TargetMode="External"/><Relationship Id="rId3030" Type="http://schemas.openxmlformats.org/officeDocument/2006/relationships/hyperlink" Target="https://commons.wikimedia.org/wiki/File:Landscape_of_Nuqu%C3%AD,_Choc%C3%B3,_Colombia_-_21_Oct_2025_-_Diferoch_-_5.jpg" TargetMode="External"/><Relationship Id="rId4361" Type="http://schemas.openxmlformats.org/officeDocument/2006/relationships/hyperlink" Target="https://commons.wikimedia.org/wiki/File:Puesta_de_huevos_de_rana_en_cuerpo_de_agua_en_Santander,_Colombia.jpg" TargetMode="External"/><Relationship Id="rId4360" Type="http://schemas.openxmlformats.org/officeDocument/2006/relationships/hyperlink" Target="https://upload.wikimedia.org/wikipedia/commons/c/c2/Puesta_de_huevos_de_rana_en_cuerpo_de_agua_en_Santander%2C_Colombia.jpg" TargetMode="External"/><Relationship Id="rId9" Type="http://schemas.openxmlformats.org/officeDocument/2006/relationships/hyperlink" Target="https://commons.wikimedia.org/wiki/File:(Hippeastrum).jpg" TargetMode="External"/><Relationship Id="rId3032" Type="http://schemas.openxmlformats.org/officeDocument/2006/relationships/hyperlink" Target="https://upload.wikimedia.org/wikipedia/commons/0/00/Landscape_of_Nuqu%C3%AD%2C_Choc%C3%B3%2C_Colombia_-_22_Oct_2025_-_Diferoch_-_1.jpg" TargetMode="External"/><Relationship Id="rId4363" Type="http://schemas.openxmlformats.org/officeDocument/2006/relationships/hyperlink" Target="https://commons.wikimedia.org/wiki/File:Puesta_del_sol_en_el_muelle_de_Riohacha_junio_de_2026.jpg" TargetMode="External"/><Relationship Id="rId3031" Type="http://schemas.openxmlformats.org/officeDocument/2006/relationships/hyperlink" Target="https://maps.google.com/?q=5.625025,-77.420837" TargetMode="External"/><Relationship Id="rId4362" Type="http://schemas.openxmlformats.org/officeDocument/2006/relationships/hyperlink" Target="https://upload.wikimedia.org/wikipedia/commons/9/9d/Puesta_del_sol_en_el_muelle_de_Riohacha_junio_de_2026.jpg" TargetMode="External"/><Relationship Id="rId3034" Type="http://schemas.openxmlformats.org/officeDocument/2006/relationships/hyperlink" Target="https://maps.google.com/?q=5.622952,-77.423905" TargetMode="External"/><Relationship Id="rId4365" Type="http://schemas.openxmlformats.org/officeDocument/2006/relationships/hyperlink" Target="https://upload.wikimedia.org/wikipedia/commons/c/cf/Pulmones.jpg" TargetMode="External"/><Relationship Id="rId3033" Type="http://schemas.openxmlformats.org/officeDocument/2006/relationships/hyperlink" Target="https://commons.wikimedia.org/wiki/File:Landscape_of_Nuqu%C3%AD,_Choc%C3%B3,_Colombia_-_22_Oct_2025_-_Diferoch_-_1.jpg" TargetMode="External"/><Relationship Id="rId4364" Type="http://schemas.openxmlformats.org/officeDocument/2006/relationships/hyperlink" Target="https://maps.google.com/?q=10.189183,-75.637169" TargetMode="External"/><Relationship Id="rId5" Type="http://schemas.openxmlformats.org/officeDocument/2006/relationships/hyperlink" Target="https://upload.wikimedia.org/wikipedia/commons/6/68/%28Eryngium_humboldtii%29_Familia_Apiaceae.jpg" TargetMode="External"/><Relationship Id="rId3036" Type="http://schemas.openxmlformats.org/officeDocument/2006/relationships/hyperlink" Target="https://commons.wikimedia.org/wiki/File:Landscape_of_Nuqu%C3%AD,_Choc%C3%B3,_Colombia_-_22_Oct_2025_-_Diferoch_-_10.jpg" TargetMode="External"/><Relationship Id="rId4367" Type="http://schemas.openxmlformats.org/officeDocument/2006/relationships/hyperlink" Target="https://upload.wikimedia.org/wikipedia/commons/8/87/Pulpito_del_diablo_en_el_Parque_Nacional_Natural_El_Cocuy.jpg" TargetMode="External"/><Relationship Id="rId6" Type="http://schemas.openxmlformats.org/officeDocument/2006/relationships/hyperlink" Target="https://commons.wikimedia.org/wiki/File:(Eryngium_humboldtii)_Familia_Apiaceae.jpg" TargetMode="External"/><Relationship Id="rId3035" Type="http://schemas.openxmlformats.org/officeDocument/2006/relationships/hyperlink" Target="https://upload.wikimedia.org/wikipedia/commons/a/a8/Landscape_of_Nuqu%C3%AD%2C_Choc%C3%B3%2C_Colombia_-_22_Oct_2025_-_Diferoch_-_10.jpg" TargetMode="External"/><Relationship Id="rId4366" Type="http://schemas.openxmlformats.org/officeDocument/2006/relationships/hyperlink" Target="https://commons.wikimedia.org/wiki/File:Pulmones.jpg" TargetMode="External"/><Relationship Id="rId7" Type="http://schemas.openxmlformats.org/officeDocument/2006/relationships/hyperlink" Target="https://maps.google.com/?q=4.384500,-7.403480" TargetMode="External"/><Relationship Id="rId3038" Type="http://schemas.openxmlformats.org/officeDocument/2006/relationships/hyperlink" Target="https://upload.wikimedia.org/wikipedia/commons/8/8b/Landscape_of_Nuqu%C3%AD%2C_Choc%C3%B3%2C_Colombia_-_22_Oct_2025_-_Diferoch_-_2.jpg" TargetMode="External"/><Relationship Id="rId4369" Type="http://schemas.openxmlformats.org/officeDocument/2006/relationships/hyperlink" Target="https://maps.google.com/?q=5.850000,-76.180000" TargetMode="External"/><Relationship Id="rId8" Type="http://schemas.openxmlformats.org/officeDocument/2006/relationships/hyperlink" Target="https://upload.wikimedia.org/wikipedia/commons/4/4d/%28Hippeastrum%29.jpg" TargetMode="External"/><Relationship Id="rId3037" Type="http://schemas.openxmlformats.org/officeDocument/2006/relationships/hyperlink" Target="https://maps.google.com/?q=5.625015,-77.420762" TargetMode="External"/><Relationship Id="rId4368" Type="http://schemas.openxmlformats.org/officeDocument/2006/relationships/hyperlink" Target="https://commons.wikimedia.org/wiki/File:Pulpito_del_diablo_en_el_Parque_Nacional_Natural_El_Cocuy.jpg" TargetMode="External"/><Relationship Id="rId3029" Type="http://schemas.openxmlformats.org/officeDocument/2006/relationships/hyperlink" Target="https://upload.wikimedia.org/wikipedia/commons/e/e1/Landscape_of_Nuqu%C3%AD%2C_Choc%C3%B3%2C_Colombia_-_21_Oct_2025_-_Diferoch_-_5.jpg" TargetMode="External"/><Relationship Id="rId3028" Type="http://schemas.openxmlformats.org/officeDocument/2006/relationships/hyperlink" Target="https://maps.google.com/?q=5.612897,-77.507042" TargetMode="External"/><Relationship Id="rId4359" Type="http://schemas.openxmlformats.org/officeDocument/2006/relationships/hyperlink" Target="https://commons.wikimedia.org/wiki/File:Puerto_Remanso_del_Tigre_PNN_Cahuinari.jpg" TargetMode="External"/><Relationship Id="rId5680" Type="http://schemas.openxmlformats.org/officeDocument/2006/relationships/hyperlink" Target="https://commons.wikimedia.org/wiki/File:%C3%91eque_comiendo_Mango.jpg" TargetMode="External"/><Relationship Id="rId5681" Type="http://schemas.openxmlformats.org/officeDocument/2006/relationships/drawing" Target="../drawings/drawing1.xml"/><Relationship Id="rId4350" Type="http://schemas.openxmlformats.org/officeDocument/2006/relationships/hyperlink" Target="https://commons.wikimedia.org/wiki/File:Puente_flotante_en_la_laguna_del_Amor.jpg" TargetMode="External"/><Relationship Id="rId3021" Type="http://schemas.openxmlformats.org/officeDocument/2006/relationships/hyperlink" Target="https://commons.wikimedia.org/wiki/File:Landscape_of_Nuqu%C3%AD,_Choc%C3%B3,_Colombia_-_21_Oct_2025_-_Diferoch_-_2.jpg" TargetMode="External"/><Relationship Id="rId4352" Type="http://schemas.openxmlformats.org/officeDocument/2006/relationships/hyperlink" Target="https://commons.wikimedia.org/wiki/File:Puerto_Bolivar_-_Uribia_LA_GUAJIRA.jpg" TargetMode="External"/><Relationship Id="rId3020" Type="http://schemas.openxmlformats.org/officeDocument/2006/relationships/hyperlink" Target="https://upload.wikimedia.org/wikipedia/commons/a/a6/Landscape_of_Nuqu%C3%AD%2C_Choc%C3%B3%2C_Colombia_-_21_Oct_2025_-_Diferoch_-_2.jpg" TargetMode="External"/><Relationship Id="rId4351" Type="http://schemas.openxmlformats.org/officeDocument/2006/relationships/hyperlink" Target="https://upload.wikimedia.org/wikipedia/commons/6/62/Puerto_Bolivar_-_Uribia_LA_GUAJIRA.jpg" TargetMode="External"/><Relationship Id="rId3023" Type="http://schemas.openxmlformats.org/officeDocument/2006/relationships/hyperlink" Target="https://upload.wikimedia.org/wikipedia/commons/1/1e/Landscape_of_Nuqu%C3%AD%2C_Choc%C3%B3%2C_Colombia_-_21_Oct_2025_-_Diferoch_-_3.jpg" TargetMode="External"/><Relationship Id="rId4354" Type="http://schemas.openxmlformats.org/officeDocument/2006/relationships/hyperlink" Target="https://commons.wikimedia.org/wiki/File:Puerto_Remanos_del_Tigre_-_Mira%C3%B1as_PNN_Cahuinari.jpg" TargetMode="External"/><Relationship Id="rId3022" Type="http://schemas.openxmlformats.org/officeDocument/2006/relationships/hyperlink" Target="https://maps.google.com/?q=5.704463,-77.275017" TargetMode="External"/><Relationship Id="rId4353" Type="http://schemas.openxmlformats.org/officeDocument/2006/relationships/hyperlink" Target="https://upload.wikimedia.org/wikipedia/commons/a/af/Puerto_Remanos_del_Tigre_-_Mira%C3%B1as_PNN_Cahuinari.jpg" TargetMode="External"/><Relationship Id="rId3025" Type="http://schemas.openxmlformats.org/officeDocument/2006/relationships/hyperlink" Target="https://maps.google.com/?q=5.612718,-77.507438" TargetMode="External"/><Relationship Id="rId4356" Type="http://schemas.openxmlformats.org/officeDocument/2006/relationships/hyperlink" Target="https://upload.wikimedia.org/wikipedia/commons/f/f4/PXL_20260530_165408587.MP.jpg" TargetMode="External"/><Relationship Id="rId3024" Type="http://schemas.openxmlformats.org/officeDocument/2006/relationships/hyperlink" Target="https://commons.wikimedia.org/wiki/File:Landscape_of_Nuqu%C3%AD,_Choc%C3%B3,_Colombia_-_21_Oct_2025_-_Diferoch_-_3.jpg" TargetMode="External"/><Relationship Id="rId4355" Type="http://schemas.openxmlformats.org/officeDocument/2006/relationships/hyperlink" Target="https://maps.google.com/?q=4.667750,-74.099944" TargetMode="External"/><Relationship Id="rId3027" Type="http://schemas.openxmlformats.org/officeDocument/2006/relationships/hyperlink" Target="https://commons.wikimedia.org/wiki/File:Landscape_of_Nuqu%C3%AD,_Choc%C3%B3,_Colombia_-_21_Oct_2025_-_Diferoch_-_4.jpg" TargetMode="External"/><Relationship Id="rId4358" Type="http://schemas.openxmlformats.org/officeDocument/2006/relationships/hyperlink" Target="https://upload.wikimedia.org/wikipedia/commons/5/5d/Puerto_Remanso_del_Tigre_PNN_Cahuinari.jpg" TargetMode="External"/><Relationship Id="rId3026" Type="http://schemas.openxmlformats.org/officeDocument/2006/relationships/hyperlink" Target="https://upload.wikimedia.org/wikipedia/commons/3/3a/Landscape_of_Nuqu%C3%AD%2C_Choc%C3%B3%2C_Colombia_-_21_Oct_2025_-_Diferoch_-_4.jpg" TargetMode="External"/><Relationship Id="rId4357" Type="http://schemas.openxmlformats.org/officeDocument/2006/relationships/hyperlink" Target="https://commons.wikimedia.org/wiki/File:PXL_20260530_165408587.MP.jpg" TargetMode="External"/><Relationship Id="rId3050" Type="http://schemas.openxmlformats.org/officeDocument/2006/relationships/hyperlink" Target="https://upload.wikimedia.org/wikipedia/commons/0/08/Landscape_of_Nuqu%C3%AD%2C_Choc%C3%B3%2C_Colombia_-_22_Oct_2025_-_Diferoch_-_6.jpg" TargetMode="External"/><Relationship Id="rId4381" Type="http://schemas.openxmlformats.org/officeDocument/2006/relationships/hyperlink" Target="https://maps.google.com/?q=7.085035,-73.864022" TargetMode="External"/><Relationship Id="rId4380" Type="http://schemas.openxmlformats.org/officeDocument/2006/relationships/hyperlink" Target="https://commons.wikimedia.org/wiki/File:Puya_trianae_florecida.jpg" TargetMode="External"/><Relationship Id="rId3052" Type="http://schemas.openxmlformats.org/officeDocument/2006/relationships/hyperlink" Target="https://maps.google.com/?q=5.625715,-77.416893" TargetMode="External"/><Relationship Id="rId4383" Type="http://schemas.openxmlformats.org/officeDocument/2006/relationships/hyperlink" Target="https://commons.wikimedia.org/wiki/File:Pyrocephalus_rubinus_piurae_-_Barrancabermeja,_Santander,_Colombia_-_31_Dec_2025_-_Diferoch.jpg" TargetMode="External"/><Relationship Id="rId3051" Type="http://schemas.openxmlformats.org/officeDocument/2006/relationships/hyperlink" Target="https://commons.wikimedia.org/wiki/File:Landscape_of_Nuqu%C3%AD,_Choc%C3%B3,_Colombia_-_22_Oct_2025_-_Diferoch_-_6.jpg" TargetMode="External"/><Relationship Id="rId4382" Type="http://schemas.openxmlformats.org/officeDocument/2006/relationships/hyperlink" Target="https://upload.wikimedia.org/wikipedia/commons/d/d9/Pyrocephalus_rubinus_piurae_-_Barrancabermeja%2C_Santander%2C_Colombia_-_31_Dec_2025_-_Diferoch.jpg" TargetMode="External"/><Relationship Id="rId3054" Type="http://schemas.openxmlformats.org/officeDocument/2006/relationships/hyperlink" Target="https://commons.wikimedia.org/wiki/File:Landscape_of_Nuqu%C3%AD,_Choc%C3%B3,_Colombia_-_22_Oct_2025_-_Diferoch_-_7.jpg" TargetMode="External"/><Relationship Id="rId4385" Type="http://schemas.openxmlformats.org/officeDocument/2006/relationships/hyperlink" Target="https://commons.wikimedia.org/wiki/File:P%C3%A1jaro_Barranquero.jpg" TargetMode="External"/><Relationship Id="rId3053" Type="http://schemas.openxmlformats.org/officeDocument/2006/relationships/hyperlink" Target="https://upload.wikimedia.org/wikipedia/commons/d/d8/Landscape_of_Nuqu%C3%AD%2C_Choc%C3%B3%2C_Colombia_-_22_Oct_2025_-_Diferoch_-_7.jpg" TargetMode="External"/><Relationship Id="rId4384" Type="http://schemas.openxmlformats.org/officeDocument/2006/relationships/hyperlink" Target="https://upload.wikimedia.org/wikipedia/commons/2/2e/P%C3%A1jaro_Barranquero.jpg" TargetMode="External"/><Relationship Id="rId3056" Type="http://schemas.openxmlformats.org/officeDocument/2006/relationships/hyperlink" Target="https://upload.wikimedia.org/wikipedia/commons/7/71/Landscape_of_Nuqu%C3%AD%2C_Choc%C3%B3%2C_Colombia_-_22_Oct_2025_-_Diferoch_-_8.jpg" TargetMode="External"/><Relationship Id="rId4387" Type="http://schemas.openxmlformats.org/officeDocument/2006/relationships/hyperlink" Target="https://commons.wikimedia.org/wiki/File:P%C3%A1jaro_Barranquero_Parqu%C3%A9_Arvi.jpg" TargetMode="External"/><Relationship Id="rId3055" Type="http://schemas.openxmlformats.org/officeDocument/2006/relationships/hyperlink" Target="https://maps.google.com/?q=5.625533,-77.417053" TargetMode="External"/><Relationship Id="rId4386" Type="http://schemas.openxmlformats.org/officeDocument/2006/relationships/hyperlink" Target="https://upload.wikimedia.org/wikipedia/commons/0/0e/P%C3%A1jaro_Barranquero_Parqu%C3%A9_Arvi.jpg" TargetMode="External"/><Relationship Id="rId3058" Type="http://schemas.openxmlformats.org/officeDocument/2006/relationships/hyperlink" Target="https://maps.google.com/?q=5.623085,-77.423920" TargetMode="External"/><Relationship Id="rId4389" Type="http://schemas.openxmlformats.org/officeDocument/2006/relationships/hyperlink" Target="https://upload.wikimedia.org/wikipedia/commons/a/ad/P%C3%A1jaro_g%C3%BCican.jpg" TargetMode="External"/><Relationship Id="rId3057" Type="http://schemas.openxmlformats.org/officeDocument/2006/relationships/hyperlink" Target="https://commons.wikimedia.org/wiki/File:Landscape_of_Nuqu%C3%AD,_Choc%C3%B3,_Colombia_-_22_Oct_2025_-_Diferoch_-_8.jpg" TargetMode="External"/><Relationship Id="rId4388" Type="http://schemas.openxmlformats.org/officeDocument/2006/relationships/hyperlink" Target="https://maps.google.com/?q=6.496114,-72.316850" TargetMode="External"/><Relationship Id="rId3059" Type="http://schemas.openxmlformats.org/officeDocument/2006/relationships/hyperlink" Target="https://upload.wikimedia.org/wikipedia/commons/d/db/Landscape_of_Nuqu%C3%AD%2C_Choc%C3%B3%2C_Colombia_-_22_Oct_2025_-_Diferoch_-_9.jpg" TargetMode="External"/><Relationship Id="rId4370" Type="http://schemas.openxmlformats.org/officeDocument/2006/relationships/hyperlink" Target="https://upload.wikimedia.org/wikipedia/commons/e/ea/Purple-throated_woodstar_%28Philodice_mitchellii%29_male_in_flight_Las_Tangaras_2.jpg" TargetMode="External"/><Relationship Id="rId3041" Type="http://schemas.openxmlformats.org/officeDocument/2006/relationships/hyperlink" Target="https://upload.wikimedia.org/wikipedia/commons/e/ec/Landscape_of_Nuqu%C3%AD%2C_Choc%C3%B3%2C_Colombia_-_22_Oct_2025_-_Diferoch_-_3.jpg" TargetMode="External"/><Relationship Id="rId4372" Type="http://schemas.openxmlformats.org/officeDocument/2006/relationships/hyperlink" Target="https://maps.google.com/?q=4.736361,-75.643356" TargetMode="External"/><Relationship Id="rId3040" Type="http://schemas.openxmlformats.org/officeDocument/2006/relationships/hyperlink" Target="https://maps.google.com/?q=5.625030,-77.420753" TargetMode="External"/><Relationship Id="rId4371" Type="http://schemas.openxmlformats.org/officeDocument/2006/relationships/hyperlink" Target="https://commons.wikimedia.org/wiki/File:Purple-throated_woodstar_(Philodice_mitchellii)_male_in_flight_Las_Tangaras_2.jpg" TargetMode="External"/><Relationship Id="rId3043" Type="http://schemas.openxmlformats.org/officeDocument/2006/relationships/hyperlink" Target="https://maps.google.com/?q=5.617970,-77.476363" TargetMode="External"/><Relationship Id="rId4374" Type="http://schemas.openxmlformats.org/officeDocument/2006/relationships/hyperlink" Target="https://commons.wikimedia.org/wiki/File:Purple_march.jpg" TargetMode="External"/><Relationship Id="rId3042" Type="http://schemas.openxmlformats.org/officeDocument/2006/relationships/hyperlink" Target="https://commons.wikimedia.org/wiki/File:Landscape_of_Nuqu%C3%AD,_Choc%C3%B3,_Colombia_-_22_Oct_2025_-_Diferoch_-_3.jpg" TargetMode="External"/><Relationship Id="rId4373" Type="http://schemas.openxmlformats.org/officeDocument/2006/relationships/hyperlink" Target="https://upload.wikimedia.org/wikipedia/commons/3/35/Purple_march.jpg" TargetMode="External"/><Relationship Id="rId3045" Type="http://schemas.openxmlformats.org/officeDocument/2006/relationships/hyperlink" Target="https://commons.wikimedia.org/wiki/File:Landscape_of_Nuqu%C3%AD,_Choc%C3%B3,_Colombia_-_22_Oct_2025_-_Diferoch_-_4.jpg" TargetMode="External"/><Relationship Id="rId4376" Type="http://schemas.openxmlformats.org/officeDocument/2006/relationships/hyperlink" Target="https://commons.wikimedia.org/wiki/File:Putumayo_camino_cascadas_del_fin_del_mundo.jpg" TargetMode="External"/><Relationship Id="rId3044" Type="http://schemas.openxmlformats.org/officeDocument/2006/relationships/hyperlink" Target="https://upload.wikimedia.org/wikipedia/commons/0/02/Landscape_of_Nuqu%C3%AD%2C_Choc%C3%B3%2C_Colombia_-_22_Oct_2025_-_Diferoch_-_4.jpg" TargetMode="External"/><Relationship Id="rId4375" Type="http://schemas.openxmlformats.org/officeDocument/2006/relationships/hyperlink" Target="https://upload.wikimedia.org/wikipedia/commons/c/cc/Putumayo_camino_cascadas_del_fin_del_mundo.jpg" TargetMode="External"/><Relationship Id="rId3047" Type="http://schemas.openxmlformats.org/officeDocument/2006/relationships/hyperlink" Target="https://upload.wikimedia.org/wikipedia/commons/a/a8/Landscape_of_Nuqu%C3%AD%2C_Choc%C3%B3%2C_Colombia_-_22_Oct_2025_-_Diferoch_-_5.jpg" TargetMode="External"/><Relationship Id="rId4378" Type="http://schemas.openxmlformats.org/officeDocument/2006/relationships/hyperlink" Target="https://commons.wikimedia.org/wiki/File:Puya_Santos_(Puya_santosii)_en_floraci%C3%B3n_en_el_P%C3%A1ramo_de_Matarredonda,_Colombia.jpg" TargetMode="External"/><Relationship Id="rId3046" Type="http://schemas.openxmlformats.org/officeDocument/2006/relationships/hyperlink" Target="https://maps.google.com/?q=5.617940,-77.476600" TargetMode="External"/><Relationship Id="rId4377" Type="http://schemas.openxmlformats.org/officeDocument/2006/relationships/hyperlink" Target="https://upload.wikimedia.org/wikipedia/commons/f/fa/Puya_Santos_%28Puya_santosii%29_en_floraci%C3%B3n_en_el_P%C3%A1ramo_de_Matarredonda%2C_Colombia.jpg" TargetMode="External"/><Relationship Id="rId3049" Type="http://schemas.openxmlformats.org/officeDocument/2006/relationships/hyperlink" Target="https://maps.google.com/?q=5.616847,-77.488968" TargetMode="External"/><Relationship Id="rId3048" Type="http://schemas.openxmlformats.org/officeDocument/2006/relationships/hyperlink" Target="https://commons.wikimedia.org/wiki/File:Landscape_of_Nuqu%C3%AD,_Choc%C3%B3,_Colombia_-_22_Oct_2025_-_Diferoch_-_5.jpg" TargetMode="External"/><Relationship Id="rId4379" Type="http://schemas.openxmlformats.org/officeDocument/2006/relationships/hyperlink" Target="https://upload.wikimedia.org/wikipedia/commons/a/a5/Puya_trianae_florecida.jpg" TargetMode="External"/><Relationship Id="rId3911" Type="http://schemas.openxmlformats.org/officeDocument/2006/relationships/hyperlink" Target="https://commons.wikimedia.org/wiki/File:Palma_de_cera_(Ceroxylon_quindiuense).jpg" TargetMode="External"/><Relationship Id="rId3910" Type="http://schemas.openxmlformats.org/officeDocument/2006/relationships/hyperlink" Target="https://upload.wikimedia.org/wikipedia/commons/a/ab/Palma_de_cera_%28Ceroxylon_quindiuense%29.jpg" TargetMode="External"/><Relationship Id="rId3913" Type="http://schemas.openxmlformats.org/officeDocument/2006/relationships/hyperlink" Target="https://upload.wikimedia.org/wikipedia/commons/7/7e/Palma_de_coco_%28Cocos_nucifera%29.jpg" TargetMode="External"/><Relationship Id="rId3912" Type="http://schemas.openxmlformats.org/officeDocument/2006/relationships/hyperlink" Target="https://maps.google.com/?q=-7.883198,-72.531270" TargetMode="External"/><Relationship Id="rId3915" Type="http://schemas.openxmlformats.org/officeDocument/2006/relationships/hyperlink" Target="https://maps.google.com/?q=5.029910,-74.282561" TargetMode="External"/><Relationship Id="rId3914" Type="http://schemas.openxmlformats.org/officeDocument/2006/relationships/hyperlink" Target="https://commons.wikimedia.org/wiki/File:Palma_de_coco_(Cocos_nucifera).jpg" TargetMode="External"/><Relationship Id="rId3917" Type="http://schemas.openxmlformats.org/officeDocument/2006/relationships/hyperlink" Target="https://commons.wikimedia.org/wiki/File:Palma_de_moriche.jpg" TargetMode="External"/><Relationship Id="rId3916" Type="http://schemas.openxmlformats.org/officeDocument/2006/relationships/hyperlink" Target="https://upload.wikimedia.org/wikipedia/commons/8/83/Palma_de_moriche.jpg" TargetMode="External"/><Relationship Id="rId3919" Type="http://schemas.openxmlformats.org/officeDocument/2006/relationships/hyperlink" Target="https://commons.wikimedia.org/wiki/File:Palma_real_(Ceroxylon_alpinum).jpg" TargetMode="External"/><Relationship Id="rId3918" Type="http://schemas.openxmlformats.org/officeDocument/2006/relationships/hyperlink" Target="https://upload.wikimedia.org/wikipedia/commons/7/7a/Palma_real_%28Ceroxylon_alpinum%29.jpg" TargetMode="External"/><Relationship Id="rId3900" Type="http://schemas.openxmlformats.org/officeDocument/2006/relationships/hyperlink" Target="https://maps.google.com/?q=4.581600,-7.417210" TargetMode="External"/><Relationship Id="rId3902" Type="http://schemas.openxmlformats.org/officeDocument/2006/relationships/hyperlink" Target="https://commons.wikimedia.org/wiki/File:Palm_Tanager_Bird_(Thraupis_palmarum).jpg" TargetMode="External"/><Relationship Id="rId3901" Type="http://schemas.openxmlformats.org/officeDocument/2006/relationships/hyperlink" Target="https://upload.wikimedia.org/wikipedia/commons/c/c5/Palm_Tanager_Bird_%28Thraupis_palmarum%29.jpg" TargetMode="External"/><Relationship Id="rId3904" Type="http://schemas.openxmlformats.org/officeDocument/2006/relationships/hyperlink" Target="https://commons.wikimedia.org/wiki/File:Palma_canaria_(Arecaceae).jpg" TargetMode="External"/><Relationship Id="rId3903" Type="http://schemas.openxmlformats.org/officeDocument/2006/relationships/hyperlink" Target="https://upload.wikimedia.org/wikipedia/commons/c/c8/Palma_canaria_%28Arecaceae%29.jpg" TargetMode="External"/><Relationship Id="rId3906" Type="http://schemas.openxmlformats.org/officeDocument/2006/relationships/hyperlink" Target="https://commons.wikimedia.org/wiki/File:Palma_canaria_1(Arecaceae).jpg" TargetMode="External"/><Relationship Id="rId3905" Type="http://schemas.openxmlformats.org/officeDocument/2006/relationships/hyperlink" Target="https://upload.wikimedia.org/wikipedia/commons/c/ce/Palma_canaria_1%28Arecaceae%29.jpg" TargetMode="External"/><Relationship Id="rId3908" Type="http://schemas.openxmlformats.org/officeDocument/2006/relationships/hyperlink" Target="https://upload.wikimedia.org/wikipedia/commons/8/8a/Palma_de_Corozo_-_Familia_Arecaceae.jpg" TargetMode="External"/><Relationship Id="rId3907" Type="http://schemas.openxmlformats.org/officeDocument/2006/relationships/hyperlink" Target="https://maps.google.com/?q=4.669437,-74.097702" TargetMode="External"/><Relationship Id="rId3909" Type="http://schemas.openxmlformats.org/officeDocument/2006/relationships/hyperlink" Target="https://commons.wikimedia.org/wiki/File:Palma_de_Corozo_-_Familia_Arecaceae.jpg" TargetMode="External"/><Relationship Id="rId3931" Type="http://schemas.openxmlformats.org/officeDocument/2006/relationships/hyperlink" Target="https://upload.wikimedia.org/wikipedia/commons/6/65/Palmera_costera.jpg" TargetMode="External"/><Relationship Id="rId2600" Type="http://schemas.openxmlformats.org/officeDocument/2006/relationships/hyperlink" Target="https://commons.wikimedia.org/wiki/File:Hongo_en_Paipa.jpg" TargetMode="External"/><Relationship Id="rId3930" Type="http://schemas.openxmlformats.org/officeDocument/2006/relationships/hyperlink" Target="https://commons.wikimedia.org/wiki/File:Palmas_san_andres.jpg" TargetMode="External"/><Relationship Id="rId2601" Type="http://schemas.openxmlformats.org/officeDocument/2006/relationships/hyperlink" Target="https://maps.google.com/?q=4.843117,-73.831432" TargetMode="External"/><Relationship Id="rId3933" Type="http://schemas.openxmlformats.org/officeDocument/2006/relationships/hyperlink" Target="https://upload.wikimedia.org/wikipedia/commons/9/9f/Palmera_de_san_andres.jpg" TargetMode="External"/><Relationship Id="rId2602" Type="http://schemas.openxmlformats.org/officeDocument/2006/relationships/hyperlink" Target="https://upload.wikimedia.org/wikipedia/commons/4/44/Hongo_en_hojarasca_en_Cu%C3%ADtiva_Boyac%C3%A1.jpg" TargetMode="External"/><Relationship Id="rId3932" Type="http://schemas.openxmlformats.org/officeDocument/2006/relationships/hyperlink" Target="https://commons.wikimedia.org/wiki/File:Palmera_costera.jpg" TargetMode="External"/><Relationship Id="rId2603" Type="http://schemas.openxmlformats.org/officeDocument/2006/relationships/hyperlink" Target="https://commons.wikimedia.org/wiki/File:Hongo_en_hojarasca_en_Cu%C3%ADtiva_Boyac%C3%A1.jpg" TargetMode="External"/><Relationship Id="rId3935" Type="http://schemas.openxmlformats.org/officeDocument/2006/relationships/hyperlink" Target="https://upload.wikimedia.org/wikipedia/commons/4/4d/Palmera_junto_al_mar.jpg" TargetMode="External"/><Relationship Id="rId2604" Type="http://schemas.openxmlformats.org/officeDocument/2006/relationships/hyperlink" Target="https://maps.google.com/?q=4.840586,-73.832858" TargetMode="External"/><Relationship Id="rId3934" Type="http://schemas.openxmlformats.org/officeDocument/2006/relationships/hyperlink" Target="https://commons.wikimedia.org/wiki/File:Palmera_de_san_andres.jpg" TargetMode="External"/><Relationship Id="rId2605" Type="http://schemas.openxmlformats.org/officeDocument/2006/relationships/hyperlink" Target="https://upload.wikimedia.org/wikipedia/commons/5/57/Hongo_fructificados_en_un_tronco.jpg" TargetMode="External"/><Relationship Id="rId3937" Type="http://schemas.openxmlformats.org/officeDocument/2006/relationships/hyperlink" Target="https://upload.wikimedia.org/wikipedia/commons/5/5b/Palmeras%2Cjardin_botanico.jpg" TargetMode="External"/><Relationship Id="rId2606" Type="http://schemas.openxmlformats.org/officeDocument/2006/relationships/hyperlink" Target="https://commons.wikimedia.org/wiki/File:Hongo_fructificados_en_un_tronco.jpg" TargetMode="External"/><Relationship Id="rId3936" Type="http://schemas.openxmlformats.org/officeDocument/2006/relationships/hyperlink" Target="https://commons.wikimedia.org/wiki/File:Palmera_junto_al_mar.jpg" TargetMode="External"/><Relationship Id="rId808" Type="http://schemas.openxmlformats.org/officeDocument/2006/relationships/hyperlink" Target="https://upload.wikimedia.org/wikipedia/commons/5/5b/Cabo_San_Juan_Mountain_View_%282024%29.jpg" TargetMode="External"/><Relationship Id="rId2607" Type="http://schemas.openxmlformats.org/officeDocument/2006/relationships/hyperlink" Target="https://maps.google.com/?q=4.577802,-74.054773" TargetMode="External"/><Relationship Id="rId3939" Type="http://schemas.openxmlformats.org/officeDocument/2006/relationships/hyperlink" Target="https://upload.wikimedia.org/wikipedia/commons/7/7a/Paloma_en_mano.jpg" TargetMode="External"/><Relationship Id="rId807" Type="http://schemas.openxmlformats.org/officeDocument/2006/relationships/hyperlink" Target="https://commons.wikimedia.org/wiki/File:Caballitos_escarlata.jpg" TargetMode="External"/><Relationship Id="rId2608" Type="http://schemas.openxmlformats.org/officeDocument/2006/relationships/hyperlink" Target="https://upload.wikimedia.org/wikipedia/commons/a/a6/Hongo_matamoscas_%28Amanita_muscaria%29.jpg" TargetMode="External"/><Relationship Id="rId3938" Type="http://schemas.openxmlformats.org/officeDocument/2006/relationships/hyperlink" Target="https://commons.wikimedia.org/wiki/File:Palmeras,jardin_botanico.jpg" TargetMode="External"/><Relationship Id="rId806" Type="http://schemas.openxmlformats.org/officeDocument/2006/relationships/hyperlink" Target="https://upload.wikimedia.org/wikipedia/commons/f/fb/Caballitos_escarlata.jpg" TargetMode="External"/><Relationship Id="rId2609" Type="http://schemas.openxmlformats.org/officeDocument/2006/relationships/hyperlink" Target="https://commons.wikimedia.org/wiki/File:Hongo_matamoscas_(Amanita_muscaria).jpg" TargetMode="External"/><Relationship Id="rId805" Type="http://schemas.openxmlformats.org/officeDocument/2006/relationships/hyperlink" Target="https://commons.wikimedia.org/wiki/File:Caballito_de_batalla.png" TargetMode="External"/><Relationship Id="rId809" Type="http://schemas.openxmlformats.org/officeDocument/2006/relationships/hyperlink" Target="https://commons.wikimedia.org/wiki/File:Cabo_San_Juan_Mountain_View_(2024).jpg" TargetMode="External"/><Relationship Id="rId800" Type="http://schemas.openxmlformats.org/officeDocument/2006/relationships/hyperlink" Target="https://upload.wikimedia.org/wikipedia/commons/e/ef/B%C3%BAho_Llanero_en_Casanar%C3%A9_-_2022.jpg" TargetMode="External"/><Relationship Id="rId804" Type="http://schemas.openxmlformats.org/officeDocument/2006/relationships/hyperlink" Target="https://upload.wikimedia.org/wikipedia/commons/3/3e/Caballito_de_batalla.png" TargetMode="External"/><Relationship Id="rId803" Type="http://schemas.openxmlformats.org/officeDocument/2006/relationships/hyperlink" Target="https://commons.wikimedia.org/wiki/File:B%C3%BAho_posando_en_%C3%A1rbol.jpg" TargetMode="External"/><Relationship Id="rId802" Type="http://schemas.openxmlformats.org/officeDocument/2006/relationships/hyperlink" Target="https://upload.wikimedia.org/wikipedia/commons/0/06/B%C3%BAho_posando_en_%C3%A1rbol.jpg" TargetMode="External"/><Relationship Id="rId801" Type="http://schemas.openxmlformats.org/officeDocument/2006/relationships/hyperlink" Target="https://commons.wikimedia.org/wiki/File:B%C3%BAho_Llanero_en_Casanar%C3%A9_-_2022.jpg" TargetMode="External"/><Relationship Id="rId3920" Type="http://schemas.openxmlformats.org/officeDocument/2006/relationships/hyperlink" Target="https://upload.wikimedia.org/wikipedia/commons/9/9d/Palmas_de_cera_%28salento_Quindio.jpg" TargetMode="External"/><Relationship Id="rId3922" Type="http://schemas.openxmlformats.org/officeDocument/2006/relationships/hyperlink" Target="https://upload.wikimedia.org/wikipedia/commons/8/85/Palmas_de_cera_en_el_Jard%C3%ADn_Bot%C3%A1nico_de_Bogot%C3%A11.jpg" TargetMode="External"/><Relationship Id="rId3921" Type="http://schemas.openxmlformats.org/officeDocument/2006/relationships/hyperlink" Target="https://commons.wikimedia.org/wiki/File:Palmas_de_cera_(salento_Quindio.jpg" TargetMode="External"/><Relationship Id="rId3924" Type="http://schemas.openxmlformats.org/officeDocument/2006/relationships/hyperlink" Target="https://upload.wikimedia.org/wikipedia/commons/f/f0/Palmas_de_cera_en_su_esplendor.jpg" TargetMode="External"/><Relationship Id="rId3923" Type="http://schemas.openxmlformats.org/officeDocument/2006/relationships/hyperlink" Target="https://commons.wikimedia.org/wiki/File:Palmas_de_cera_en_el_Jard%C3%ADn_Bot%C3%A1nico_de_Bogot%C3%A11.jpg" TargetMode="External"/><Relationship Id="rId3926" Type="http://schemas.openxmlformats.org/officeDocument/2006/relationships/hyperlink" Target="https://maps.google.com/?q=5.571886,-74.897072" TargetMode="External"/><Relationship Id="rId3925" Type="http://schemas.openxmlformats.org/officeDocument/2006/relationships/hyperlink" Target="https://commons.wikimedia.org/wiki/File:Palmas_de_cera_en_su_esplendor.jpg" TargetMode="External"/><Relationship Id="rId3928" Type="http://schemas.openxmlformats.org/officeDocument/2006/relationships/hyperlink" Target="https://commons.wikimedia.org/wiki/File:Palmas_de_sol.jpg" TargetMode="External"/><Relationship Id="rId3927" Type="http://schemas.openxmlformats.org/officeDocument/2006/relationships/hyperlink" Target="https://upload.wikimedia.org/wikipedia/commons/1/17/Palmas_de_sol.jpg" TargetMode="External"/><Relationship Id="rId3929" Type="http://schemas.openxmlformats.org/officeDocument/2006/relationships/hyperlink" Target="https://upload.wikimedia.org/wikipedia/commons/8/87/Palmas_san_andres.jpg" TargetMode="External"/><Relationship Id="rId1334" Type="http://schemas.openxmlformats.org/officeDocument/2006/relationships/hyperlink" Target="https://maps.google.com/?q=4.876822,-75.263344" TargetMode="External"/><Relationship Id="rId2665" Type="http://schemas.openxmlformats.org/officeDocument/2006/relationships/hyperlink" Target="https://upload.wikimedia.org/wikipedia/commons/a/a8/Humedal_sumapaz.jpg" TargetMode="External"/><Relationship Id="rId3997" Type="http://schemas.openxmlformats.org/officeDocument/2006/relationships/hyperlink" Target="https://upload.wikimedia.org/wikipedia/commons/7/73/Parque_Ecol%C3%B3gico_Matarredonda_-_23-May-2025.jpg" TargetMode="External"/><Relationship Id="rId1335" Type="http://schemas.openxmlformats.org/officeDocument/2006/relationships/hyperlink" Target="https://upload.wikimedia.org/wikipedia/commons/3/3b/Como_es_arriba_es_abajo.jpg" TargetMode="External"/><Relationship Id="rId2666" Type="http://schemas.openxmlformats.org/officeDocument/2006/relationships/hyperlink" Target="https://commons.wikimedia.org/wiki/File:Humedal_sumapaz.jpg" TargetMode="External"/><Relationship Id="rId3996" Type="http://schemas.openxmlformats.org/officeDocument/2006/relationships/hyperlink" Target="https://maps.google.com/?q=4.550000,-74.000000" TargetMode="External"/><Relationship Id="rId1336" Type="http://schemas.openxmlformats.org/officeDocument/2006/relationships/hyperlink" Target="https://commons.wikimedia.org/wiki/File:Como_es_arriba_es_abajo.jpg" TargetMode="External"/><Relationship Id="rId2667" Type="http://schemas.openxmlformats.org/officeDocument/2006/relationships/hyperlink" Target="https://maps.google.com/?q=4.667880,-74.099779" TargetMode="External"/><Relationship Id="rId3999" Type="http://schemas.openxmlformats.org/officeDocument/2006/relationships/hyperlink" Target="https://maps.google.com/?q=4.550000,-74.000000" TargetMode="External"/><Relationship Id="rId1337" Type="http://schemas.openxmlformats.org/officeDocument/2006/relationships/hyperlink" Target="https://upload.wikimedia.org/wikipedia/commons/8/86/Compa%C3%B1era_de_piscina.jpg" TargetMode="External"/><Relationship Id="rId2668" Type="http://schemas.openxmlformats.org/officeDocument/2006/relationships/hyperlink" Target="https://upload.wikimedia.org/wikipedia/commons/3/3d/Hydrangea_Macrophylla_en_Jard%C3%ADn_Bot%C3%A1nico.jpg" TargetMode="External"/><Relationship Id="rId3998" Type="http://schemas.openxmlformats.org/officeDocument/2006/relationships/hyperlink" Target="https://commons.wikimedia.org/wiki/File:Parque_Ecol%C3%B3gico_Matarredonda_-_23-May-2025.jpg" TargetMode="External"/><Relationship Id="rId1338" Type="http://schemas.openxmlformats.org/officeDocument/2006/relationships/hyperlink" Target="https://commons.wikimedia.org/wiki/File:Compa%C3%B1era_de_piscina.jpg" TargetMode="External"/><Relationship Id="rId2669" Type="http://schemas.openxmlformats.org/officeDocument/2006/relationships/hyperlink" Target="https://commons.wikimedia.org/wiki/File:Hydrangea_Macrophylla_en_Jard%C3%ADn_Bot%C3%A1nico.jpg" TargetMode="External"/><Relationship Id="rId1339" Type="http://schemas.openxmlformats.org/officeDocument/2006/relationships/hyperlink" Target="https://upload.wikimedia.org/wikipedia/commons/b/bc/Compa%C3%B1eras_de_r%C3%ADo.jpg" TargetMode="External"/><Relationship Id="rId745" Type="http://schemas.openxmlformats.org/officeDocument/2006/relationships/hyperlink" Target="https://maps.google.com/?q=4.667750,-74.099944" TargetMode="External"/><Relationship Id="rId744" Type="http://schemas.openxmlformats.org/officeDocument/2006/relationships/hyperlink" Target="https://commons.wikimedia.org/wiki/File:Bromelia_del_g%C3%A9nero_Nidularium.jpg" TargetMode="External"/><Relationship Id="rId743" Type="http://schemas.openxmlformats.org/officeDocument/2006/relationships/hyperlink" Target="https://upload.wikimedia.org/wikipedia/commons/5/5a/Bromelia_del_g%C3%A9nero_Nidularium.jpg" TargetMode="External"/><Relationship Id="rId742" Type="http://schemas.openxmlformats.org/officeDocument/2006/relationships/hyperlink" Target="https://maps.google.com/?q=4.669437,-74.097702" TargetMode="External"/><Relationship Id="rId749" Type="http://schemas.openxmlformats.org/officeDocument/2006/relationships/hyperlink" Target="https://commons.wikimedia.org/wiki/File:Bromelia_morada.jpg" TargetMode="External"/><Relationship Id="rId748" Type="http://schemas.openxmlformats.org/officeDocument/2006/relationships/hyperlink" Target="https://upload.wikimedia.org/wikipedia/commons/a/ae/Bromelia_morada.jpg" TargetMode="External"/><Relationship Id="rId747" Type="http://schemas.openxmlformats.org/officeDocument/2006/relationships/hyperlink" Target="https://commons.wikimedia.org/wiki/File:Bromelia_mayo_2026.jpg" TargetMode="External"/><Relationship Id="rId746" Type="http://schemas.openxmlformats.org/officeDocument/2006/relationships/hyperlink" Target="https://upload.wikimedia.org/wikipedia/commons/9/9b/Bromelia_mayo_2026.jpg" TargetMode="External"/><Relationship Id="rId3991" Type="http://schemas.openxmlformats.org/officeDocument/2006/relationships/hyperlink" Target="https://commons.wikimedia.org/wiki/File:Pareja_de_Cairina_moschata_en_h%C3%A1bitat_acu%C3%A1tico.jpg" TargetMode="External"/><Relationship Id="rId2660" Type="http://schemas.openxmlformats.org/officeDocument/2006/relationships/hyperlink" Target="https://commons.wikimedia.org/wiki/File:Huila_Colombia.jpg" TargetMode="External"/><Relationship Id="rId3990" Type="http://schemas.openxmlformats.org/officeDocument/2006/relationships/hyperlink" Target="https://upload.wikimedia.org/wikipedia/commons/6/6f/Pareja_de_Cairina_moschata_en_h%C3%A1bitat_acu%C3%A1tico.jpg" TargetMode="External"/><Relationship Id="rId741" Type="http://schemas.openxmlformats.org/officeDocument/2006/relationships/hyperlink" Target="https://commons.wikimedia.org/wiki/File:Bromelia_de_paramo.jpg" TargetMode="External"/><Relationship Id="rId1330" Type="http://schemas.openxmlformats.org/officeDocument/2006/relationships/hyperlink" Target="https://upload.wikimedia.org/wikipedia/commons/5/5d/Col%C3%ADn_Crestudo_%28Colinus_cristatus%29.jpg" TargetMode="External"/><Relationship Id="rId2661" Type="http://schemas.openxmlformats.org/officeDocument/2006/relationships/hyperlink" Target="https://upload.wikimedia.org/wikipedia/commons/1/1c/Humedal_C%C3%B3rdoba.jpg" TargetMode="External"/><Relationship Id="rId3993" Type="http://schemas.openxmlformats.org/officeDocument/2006/relationships/hyperlink" Target="https://commons.wikimedia.org/wiki/File:Pareja_de_guacamayas_frenticasta%C3%B1as_(Ara_severus)_en_Villavicencio,_Meta,_Colombia.jpg" TargetMode="External"/><Relationship Id="rId740" Type="http://schemas.openxmlformats.org/officeDocument/2006/relationships/hyperlink" Target="https://upload.wikimedia.org/wikipedia/commons/4/44/Bromelia_de_paramo.jpg" TargetMode="External"/><Relationship Id="rId1331" Type="http://schemas.openxmlformats.org/officeDocument/2006/relationships/hyperlink" Target="https://commons.wikimedia.org/wiki/File:Col%C3%ADn_Crestudo_(Colinus_cristatus).jpg" TargetMode="External"/><Relationship Id="rId2662" Type="http://schemas.openxmlformats.org/officeDocument/2006/relationships/hyperlink" Target="https://commons.wikimedia.org/wiki/File:Humedal_C%C3%B3rdoba.jpg" TargetMode="External"/><Relationship Id="rId3992" Type="http://schemas.openxmlformats.org/officeDocument/2006/relationships/hyperlink" Target="https://upload.wikimedia.org/wikipedia/commons/b/b9/Pareja_de_guacamayas_frenticasta%C3%B1as_%28Ara_severus%29_en_Villavicencio%2C_Meta%2C_Colombia.jpg" TargetMode="External"/><Relationship Id="rId1332" Type="http://schemas.openxmlformats.org/officeDocument/2006/relationships/hyperlink" Target="https://upload.wikimedia.org/wikipedia/commons/1/11/Comelina_difusa.jpg" TargetMode="External"/><Relationship Id="rId2663" Type="http://schemas.openxmlformats.org/officeDocument/2006/relationships/hyperlink" Target="https://upload.wikimedia.org/wikipedia/commons/e/e5/Humedal_santa_maria_del_lago.jpg" TargetMode="External"/><Relationship Id="rId3995" Type="http://schemas.openxmlformats.org/officeDocument/2006/relationships/hyperlink" Target="https://commons.wikimedia.org/wiki/File:Pareja_de_insectos.jpg" TargetMode="External"/><Relationship Id="rId1333" Type="http://schemas.openxmlformats.org/officeDocument/2006/relationships/hyperlink" Target="https://commons.wikimedia.org/wiki/File:Comelina_difusa.jpg" TargetMode="External"/><Relationship Id="rId2664" Type="http://schemas.openxmlformats.org/officeDocument/2006/relationships/hyperlink" Target="https://commons.wikimedia.org/wiki/File:Humedal_santa_maria_del_lago.jpg" TargetMode="External"/><Relationship Id="rId3994" Type="http://schemas.openxmlformats.org/officeDocument/2006/relationships/hyperlink" Target="https://upload.wikimedia.org/wikipedia/commons/2/27/Pareja_de_insectos.jpg" TargetMode="External"/><Relationship Id="rId1323" Type="http://schemas.openxmlformats.org/officeDocument/2006/relationships/hyperlink" Target="https://maps.google.com/?q=7.085015,-73.864067" TargetMode="External"/><Relationship Id="rId2654" Type="http://schemas.openxmlformats.org/officeDocument/2006/relationships/hyperlink" Target="https://upload.wikimedia.org/wikipedia/commons/2/2e/Huellas_de_tranquilidad.jpg" TargetMode="External"/><Relationship Id="rId3986" Type="http://schemas.openxmlformats.org/officeDocument/2006/relationships/hyperlink" Target="https://upload.wikimedia.org/wikipedia/commons/0/01/Paramo_de_guerrero_%28_Cachira%29.jpg" TargetMode="External"/><Relationship Id="rId1324" Type="http://schemas.openxmlformats.org/officeDocument/2006/relationships/hyperlink" Target="https://upload.wikimedia.org/wikipedia/commons/d/d2/Columbina_talpacoti_rufipennis_-_Barrancabermeja%2C_Santander%2C_Colombia_-_31_Dec_2025_-_Diferoch_-_1.jpg" TargetMode="External"/><Relationship Id="rId2655" Type="http://schemas.openxmlformats.org/officeDocument/2006/relationships/hyperlink" Target="https://commons.wikimedia.org/wiki/File:Huellas_de_tranquilidad.jpg" TargetMode="External"/><Relationship Id="rId3985" Type="http://schemas.openxmlformats.org/officeDocument/2006/relationships/hyperlink" Target="https://commons.wikimedia.org/wiki/File:Paramo_Chingaza_con_neblina.jpg" TargetMode="External"/><Relationship Id="rId1325" Type="http://schemas.openxmlformats.org/officeDocument/2006/relationships/hyperlink" Target="https://commons.wikimedia.org/wiki/File:Columbina_talpacoti_rufipennis_-_Barrancabermeja,_Santander,_Colombia_-_31_Dec_2025_-_Diferoch_-_1.jpg" TargetMode="External"/><Relationship Id="rId2656" Type="http://schemas.openxmlformats.org/officeDocument/2006/relationships/hyperlink" Target="https://maps.google.com/?q=4.900175,-74.324919" TargetMode="External"/><Relationship Id="rId3988" Type="http://schemas.openxmlformats.org/officeDocument/2006/relationships/hyperlink" Target="https://upload.wikimedia.org/wikipedia/commons/4/46/Paramo_de_sumapaz.jpg" TargetMode="External"/><Relationship Id="rId1326" Type="http://schemas.openxmlformats.org/officeDocument/2006/relationships/hyperlink" Target="https://maps.google.com/?q=7.085015,-73.864090" TargetMode="External"/><Relationship Id="rId2657" Type="http://schemas.openxmlformats.org/officeDocument/2006/relationships/hyperlink" Target="https://upload.wikimedia.org/wikipedia/commons/8/89/Huevos_de_aire.jpg" TargetMode="External"/><Relationship Id="rId3987" Type="http://schemas.openxmlformats.org/officeDocument/2006/relationships/hyperlink" Target="https://commons.wikimedia.org/wiki/File:Paramo_de_guerrero_(_Cachira).jpg" TargetMode="External"/><Relationship Id="rId1327" Type="http://schemas.openxmlformats.org/officeDocument/2006/relationships/hyperlink" Target="https://upload.wikimedia.org/wikipedia/commons/a/aa/Columbina_talpacoti_rufipennis_-_Barrancabermeja%2C_Santander%2C_Colombia_-_31_Dec_2025_-_Diferoch_-_2.jpg" TargetMode="External"/><Relationship Id="rId2658" Type="http://schemas.openxmlformats.org/officeDocument/2006/relationships/hyperlink" Target="https://commons.wikimedia.org/wiki/File:Huevos_de_aire.jpg" TargetMode="External"/><Relationship Id="rId1328" Type="http://schemas.openxmlformats.org/officeDocument/2006/relationships/hyperlink" Target="https://commons.wikimedia.org/wiki/File:Columbina_talpacoti_rufipennis_-_Barrancabermeja,_Santander,_Colombia_-_31_Dec_2025_-_Diferoch_-_2.jpg" TargetMode="External"/><Relationship Id="rId2659" Type="http://schemas.openxmlformats.org/officeDocument/2006/relationships/hyperlink" Target="https://upload.wikimedia.org/wikipedia/commons/2/2c/Huila_Colombia.jpg" TargetMode="External"/><Relationship Id="rId3989" Type="http://schemas.openxmlformats.org/officeDocument/2006/relationships/hyperlink" Target="https://commons.wikimedia.org/wiki/File:Paramo_de_sumapaz.jpg" TargetMode="External"/><Relationship Id="rId1329" Type="http://schemas.openxmlformats.org/officeDocument/2006/relationships/hyperlink" Target="https://maps.google.com/?q=4.513160,-74.537920" TargetMode="External"/><Relationship Id="rId739" Type="http://schemas.openxmlformats.org/officeDocument/2006/relationships/hyperlink" Target="https://maps.google.com/?q=4.648014,-73.945739" TargetMode="External"/><Relationship Id="rId734" Type="http://schemas.openxmlformats.org/officeDocument/2006/relationships/hyperlink" Target="https://commons.wikimedia.org/wiki/File:Bromelia_(Bromeliaceae).jpg" TargetMode="External"/><Relationship Id="rId733" Type="http://schemas.openxmlformats.org/officeDocument/2006/relationships/hyperlink" Target="https://upload.wikimedia.org/wikipedia/commons/3/3c/Bromelia_%28Bromeliaceae%29.jpg" TargetMode="External"/><Relationship Id="rId732" Type="http://schemas.openxmlformats.org/officeDocument/2006/relationships/hyperlink" Target="https://commons.wikimedia.org/wiki/File:Breutelia_pendula-moss-musgo.jpg" TargetMode="External"/><Relationship Id="rId731" Type="http://schemas.openxmlformats.org/officeDocument/2006/relationships/hyperlink" Target="https://upload.wikimedia.org/wikipedia/commons/7/76/Breutelia_pendula-moss-musgo.jpg" TargetMode="External"/><Relationship Id="rId738" Type="http://schemas.openxmlformats.org/officeDocument/2006/relationships/hyperlink" Target="https://commons.wikimedia.org/wiki/File:Bromelia_de_flor_blanca.jpg" TargetMode="External"/><Relationship Id="rId737" Type="http://schemas.openxmlformats.org/officeDocument/2006/relationships/hyperlink" Target="https://upload.wikimedia.org/wikipedia/commons/b/b9/Bromelia_de_flor_blanca.jpg" TargetMode="External"/><Relationship Id="rId736" Type="http://schemas.openxmlformats.org/officeDocument/2006/relationships/hyperlink" Target="https://commons.wikimedia.org/wiki/File:Bromelia_(Guzmania_lingulata).jpg" TargetMode="External"/><Relationship Id="rId735" Type="http://schemas.openxmlformats.org/officeDocument/2006/relationships/hyperlink" Target="https://upload.wikimedia.org/wikipedia/commons/c/c3/Bromelia_%28Guzmania_lingulata%29.jpg" TargetMode="External"/><Relationship Id="rId3980" Type="http://schemas.openxmlformats.org/officeDocument/2006/relationships/hyperlink" Target="https://commons.wikimedia.org/wiki/File:Papiro_-_Cyperus_papyrus_-_Cyperaceae.jpg" TargetMode="External"/><Relationship Id="rId730" Type="http://schemas.openxmlformats.org/officeDocument/2006/relationships/hyperlink" Target="https://maps.google.com/?q=4.527990,-73.752840" TargetMode="External"/><Relationship Id="rId2650" Type="http://schemas.openxmlformats.org/officeDocument/2006/relationships/hyperlink" Target="https://upload.wikimedia.org/wikipedia/commons/2/21/House_Over_the_Clouds.jpg" TargetMode="External"/><Relationship Id="rId3982" Type="http://schemas.openxmlformats.org/officeDocument/2006/relationships/hyperlink" Target="https://commons.wikimedia.org/wiki/File:Parada_de_Romero,_G%C3%BCic%C3%A1n_de_la_Sierra.jpg" TargetMode="External"/><Relationship Id="rId1320" Type="http://schemas.openxmlformats.org/officeDocument/2006/relationships/hyperlink" Target="https://maps.google.com/?q=10.929443,-74.773300" TargetMode="External"/><Relationship Id="rId2651" Type="http://schemas.openxmlformats.org/officeDocument/2006/relationships/hyperlink" Target="https://commons.wikimedia.org/wiki/File:House_Over_the_Clouds.jpg" TargetMode="External"/><Relationship Id="rId3981" Type="http://schemas.openxmlformats.org/officeDocument/2006/relationships/hyperlink" Target="https://upload.wikimedia.org/wikipedia/commons/e/e2/Parada_de_Romero%2C_G%C3%BCic%C3%A1n_de_la_Sierra.jpg" TargetMode="External"/><Relationship Id="rId1321" Type="http://schemas.openxmlformats.org/officeDocument/2006/relationships/hyperlink" Target="https://upload.wikimedia.org/wikipedia/commons/1/14/Color_balling.jpg" TargetMode="External"/><Relationship Id="rId2652" Type="http://schemas.openxmlformats.org/officeDocument/2006/relationships/hyperlink" Target="https://upload.wikimedia.org/wikipedia/commons/3/34/Hudsonian_Whimbrel_%28Numenius_hudsonicus%29_in_Nuqu%C3%AD%2C_Choc%C3%B3%2C_Colombia.jpg" TargetMode="External"/><Relationship Id="rId3984" Type="http://schemas.openxmlformats.org/officeDocument/2006/relationships/hyperlink" Target="https://upload.wikimedia.org/wikipedia/commons/e/e7/Paramo_Chingaza_con_neblina.jpg" TargetMode="External"/><Relationship Id="rId1322" Type="http://schemas.openxmlformats.org/officeDocument/2006/relationships/hyperlink" Target="https://commons.wikimedia.org/wiki/File:Color_balling.jpg" TargetMode="External"/><Relationship Id="rId2653" Type="http://schemas.openxmlformats.org/officeDocument/2006/relationships/hyperlink" Target="https://commons.wikimedia.org/wiki/File:Hudsonian_Whimbrel_(Numenius_hudsonicus)_in_Nuqu%C3%AD,_Choc%C3%B3,_Colombia.jpg" TargetMode="External"/><Relationship Id="rId3983" Type="http://schemas.openxmlformats.org/officeDocument/2006/relationships/hyperlink" Target="https://maps.google.com/?q=4.527990,-73.752840" TargetMode="External"/><Relationship Id="rId1356" Type="http://schemas.openxmlformats.org/officeDocument/2006/relationships/hyperlink" Target="https://commons.wikimedia.org/wiki/File:Confusi%C3%B3n.jpg" TargetMode="External"/><Relationship Id="rId2687" Type="http://schemas.openxmlformats.org/officeDocument/2006/relationships/hyperlink" Target="https://upload.wikimedia.org/wikipedia/commons/5/5b/Iglesia_de_Quiba1.jpg" TargetMode="External"/><Relationship Id="rId1357" Type="http://schemas.openxmlformats.org/officeDocument/2006/relationships/hyperlink" Target="https://maps.google.com/?q=4.594490,-74.070340" TargetMode="External"/><Relationship Id="rId2688" Type="http://schemas.openxmlformats.org/officeDocument/2006/relationships/hyperlink" Target="https://commons.wikimedia.org/wiki/File:Iglesia_de_Quiba1.jpg" TargetMode="External"/><Relationship Id="rId1358" Type="http://schemas.openxmlformats.org/officeDocument/2006/relationships/hyperlink" Target="https://upload.wikimedia.org/wikipedia/commons/5/5f/Constelaci%C3%B3n_P%C3%BArpura.jpg" TargetMode="External"/><Relationship Id="rId2689" Type="http://schemas.openxmlformats.org/officeDocument/2006/relationships/hyperlink" Target="https://upload.wikimedia.org/wikipedia/commons/a/a2/Iguana_Barrancabermeja.jpg" TargetMode="External"/><Relationship Id="rId1359" Type="http://schemas.openxmlformats.org/officeDocument/2006/relationships/hyperlink" Target="https://commons.wikimedia.org/wiki/File:Constelaci%C3%B3n_P%C3%BArpura.jpg" TargetMode="External"/><Relationship Id="rId767" Type="http://schemas.openxmlformats.org/officeDocument/2006/relationships/hyperlink" Target="https://maps.google.com/?q=4.669437,-74.097702" TargetMode="External"/><Relationship Id="rId766" Type="http://schemas.openxmlformats.org/officeDocument/2006/relationships/hyperlink" Target="https://commons.wikimedia.org/wiki/File:Bromelias_(95822).jpg" TargetMode="External"/><Relationship Id="rId765" Type="http://schemas.openxmlformats.org/officeDocument/2006/relationships/hyperlink" Target="https://upload.wikimedia.org/wikipedia/commons/1/13/Bromelias_%2895822%29.jpg" TargetMode="External"/><Relationship Id="rId764" Type="http://schemas.openxmlformats.org/officeDocument/2006/relationships/hyperlink" Target="https://maps.google.com/?q=4.905542,-74.900263" TargetMode="External"/><Relationship Id="rId769" Type="http://schemas.openxmlformats.org/officeDocument/2006/relationships/hyperlink" Target="https://commons.wikimedia.org/wiki/File:Bromelias_de_tanque_%E2%80%93_Familia_Bromeliaceae.jpg" TargetMode="External"/><Relationship Id="rId768" Type="http://schemas.openxmlformats.org/officeDocument/2006/relationships/hyperlink" Target="https://upload.wikimedia.org/wikipedia/commons/6/6b/Bromelias_de_tanque_%E2%80%93_Familia_Bromeliaceae.jpg" TargetMode="External"/><Relationship Id="rId2680" Type="http://schemas.openxmlformats.org/officeDocument/2006/relationships/hyperlink" Target="https://commons.wikimedia.org/wiki/File:Ibis_coquito.jpg" TargetMode="External"/><Relationship Id="rId1350" Type="http://schemas.openxmlformats.org/officeDocument/2006/relationships/hyperlink" Target="https://commons.wikimedia.org/wiki/File:Compsus_-_Bogot%C3%A1_D._C.,_Colombia_-_23_Aug_2025_-_Diferoch_-_2.jpg" TargetMode="External"/><Relationship Id="rId2681" Type="http://schemas.openxmlformats.org/officeDocument/2006/relationships/hyperlink" Target="https://upload.wikimedia.org/wikipedia/commons/7/74/Ibis_coquito_en_MEDELLIN.jpg" TargetMode="External"/><Relationship Id="rId1351" Type="http://schemas.openxmlformats.org/officeDocument/2006/relationships/hyperlink" Target="https://maps.google.com/?q=4.703611,-74.066667" TargetMode="External"/><Relationship Id="rId2682" Type="http://schemas.openxmlformats.org/officeDocument/2006/relationships/hyperlink" Target="https://commons.wikimedia.org/wiki/File:Ibis_coquito_en_MEDELLIN.jpg" TargetMode="External"/><Relationship Id="rId763" Type="http://schemas.openxmlformats.org/officeDocument/2006/relationships/hyperlink" Target="https://commons.wikimedia.org/wiki/File:Bromelias_(85952).jpg" TargetMode="External"/><Relationship Id="rId1352" Type="http://schemas.openxmlformats.org/officeDocument/2006/relationships/hyperlink" Target="https://upload.wikimedia.org/wikipedia/commons/6/65/Conexi%C3%B3n_bajo_un_mismo_horizonte.jpg" TargetMode="External"/><Relationship Id="rId2683" Type="http://schemas.openxmlformats.org/officeDocument/2006/relationships/hyperlink" Target="https://upload.wikimedia.org/wikipedia/commons/5/57/Icterus_chrysater_en_percha_natural_en_entorno_forestal.jpg" TargetMode="External"/><Relationship Id="rId762" Type="http://schemas.openxmlformats.org/officeDocument/2006/relationships/hyperlink" Target="https://upload.wikimedia.org/wikipedia/commons/8/81/Bromelias_%2885952%29.jpg" TargetMode="External"/><Relationship Id="rId1353" Type="http://schemas.openxmlformats.org/officeDocument/2006/relationships/hyperlink" Target="https://commons.wikimedia.org/wiki/File:Conexi%C3%B3n_bajo_un_mismo_horizonte.jpg" TargetMode="External"/><Relationship Id="rId2684" Type="http://schemas.openxmlformats.org/officeDocument/2006/relationships/hyperlink" Target="https://commons.wikimedia.org/wiki/File:Icterus_chrysater_en_percha_natural_en_entorno_forestal.jpg" TargetMode="External"/><Relationship Id="rId761" Type="http://schemas.openxmlformats.org/officeDocument/2006/relationships/hyperlink" Target="https://maps.google.com/?q=4.898919,-74.810261" TargetMode="External"/><Relationship Id="rId1354" Type="http://schemas.openxmlformats.org/officeDocument/2006/relationships/hyperlink" Target="https://maps.google.com/?q=10.396081,-75.559639" TargetMode="External"/><Relationship Id="rId2685" Type="http://schemas.openxmlformats.org/officeDocument/2006/relationships/hyperlink" Target="https://upload.wikimedia.org/wikipedia/commons/3/37/Iglesia%2C_Chapinero%2C_Bogot%C3%A1%2C_Colombia.jpg" TargetMode="External"/><Relationship Id="rId760" Type="http://schemas.openxmlformats.org/officeDocument/2006/relationships/hyperlink" Target="https://commons.wikimedia.org/wiki/File:Bromelias_(70524).jpg" TargetMode="External"/><Relationship Id="rId1355" Type="http://schemas.openxmlformats.org/officeDocument/2006/relationships/hyperlink" Target="https://upload.wikimedia.org/wikipedia/commons/2/2b/Confusi%C3%B3n.jpg" TargetMode="External"/><Relationship Id="rId2686" Type="http://schemas.openxmlformats.org/officeDocument/2006/relationships/hyperlink" Target="https://commons.wikimedia.org/wiki/File:Iglesia,_Chapinero,_Bogot%C3%A1,_Colombia.jpg" TargetMode="External"/><Relationship Id="rId1345" Type="http://schemas.openxmlformats.org/officeDocument/2006/relationships/hyperlink" Target="https://maps.google.com/?q=4.599895,-74.063584" TargetMode="External"/><Relationship Id="rId2676" Type="http://schemas.openxmlformats.org/officeDocument/2006/relationships/hyperlink" Target="https://commons.wikimedia.org/wiki/File:IGUANA_POSANDO_EN_UN_ARBOL.jpg" TargetMode="External"/><Relationship Id="rId1346" Type="http://schemas.openxmlformats.org/officeDocument/2006/relationships/hyperlink" Target="https://upload.wikimedia.org/wikipedia/commons/b/bf/Compsus_-_Bogot%C3%A1_D._C.%2C_Colombia_-_23_Aug_2025_-_Diferoch_-_1.jpg" TargetMode="External"/><Relationship Id="rId2677" Type="http://schemas.openxmlformats.org/officeDocument/2006/relationships/hyperlink" Target="https://upload.wikimedia.org/wikipedia/commons/b/b2/IMG-20260525-WA0007_flores_para_mis_amigas.jpg" TargetMode="External"/><Relationship Id="rId1347" Type="http://schemas.openxmlformats.org/officeDocument/2006/relationships/hyperlink" Target="https://commons.wikimedia.org/wiki/File:Compsus_-_Bogot%C3%A1_D._C.,_Colombia_-_23_Aug_2025_-_Diferoch_-_1.jpg" TargetMode="External"/><Relationship Id="rId2678" Type="http://schemas.openxmlformats.org/officeDocument/2006/relationships/hyperlink" Target="https://commons.wikimedia.org/wiki/File:IMG-20260525-WA0007_flores_para_mis_amigas.jpg" TargetMode="External"/><Relationship Id="rId1348" Type="http://schemas.openxmlformats.org/officeDocument/2006/relationships/hyperlink" Target="https://maps.google.com/?q=4.600495,-74.063438" TargetMode="External"/><Relationship Id="rId2679" Type="http://schemas.openxmlformats.org/officeDocument/2006/relationships/hyperlink" Target="https://upload.wikimedia.org/wikipedia/commons/f/f8/Ibis_coquito.jpg" TargetMode="External"/><Relationship Id="rId1349" Type="http://schemas.openxmlformats.org/officeDocument/2006/relationships/hyperlink" Target="https://upload.wikimedia.org/wikipedia/commons/d/d8/Compsus_-_Bogot%C3%A1_D._C.%2C_Colombia_-_23_Aug_2025_-_Diferoch_-_2.jpg" TargetMode="External"/><Relationship Id="rId756" Type="http://schemas.openxmlformats.org/officeDocument/2006/relationships/hyperlink" Target="https://upload.wikimedia.org/wikipedia/commons/8/85/Bromelias_%2824553%29.jpg" TargetMode="External"/><Relationship Id="rId755" Type="http://schemas.openxmlformats.org/officeDocument/2006/relationships/hyperlink" Target="https://maps.google.com/?q=4.906410,-75.064338" TargetMode="External"/><Relationship Id="rId754" Type="http://schemas.openxmlformats.org/officeDocument/2006/relationships/hyperlink" Target="https://commons.wikimedia.org/wiki/File:Bromeliad_plant-Bromeliad_plant.jpg" TargetMode="External"/><Relationship Id="rId753" Type="http://schemas.openxmlformats.org/officeDocument/2006/relationships/hyperlink" Target="https://upload.wikimedia.org/wikipedia/commons/1/17/Bromeliad_plant-Bromeliad_plant.jpg" TargetMode="External"/><Relationship Id="rId759" Type="http://schemas.openxmlformats.org/officeDocument/2006/relationships/hyperlink" Target="https://upload.wikimedia.org/wikipedia/commons/3/3f/Bromelias_%2870524%29.jpg" TargetMode="External"/><Relationship Id="rId758" Type="http://schemas.openxmlformats.org/officeDocument/2006/relationships/hyperlink" Target="https://maps.google.com/?q=4.940291,-74.869639" TargetMode="External"/><Relationship Id="rId757" Type="http://schemas.openxmlformats.org/officeDocument/2006/relationships/hyperlink" Target="https://commons.wikimedia.org/wiki/File:Bromelias_(24553).jpg" TargetMode="External"/><Relationship Id="rId2670" Type="http://schemas.openxmlformats.org/officeDocument/2006/relationships/hyperlink" Target="https://maps.google.com/?q=5.862240,-74.870470" TargetMode="External"/><Relationship Id="rId1340" Type="http://schemas.openxmlformats.org/officeDocument/2006/relationships/hyperlink" Target="https://commons.wikimedia.org/wiki/File:Compa%C3%B1eras_de_r%C3%ADo.jpg" TargetMode="External"/><Relationship Id="rId2671" Type="http://schemas.openxmlformats.org/officeDocument/2006/relationships/hyperlink" Target="https://upload.wikimedia.org/wikipedia/commons/7/73/Hyloscirtus_palmeri_2026.jpg" TargetMode="External"/><Relationship Id="rId752" Type="http://schemas.openxmlformats.org/officeDocument/2006/relationships/hyperlink" Target="https://maps.google.com/?q=4.527990,-73.752840" TargetMode="External"/><Relationship Id="rId1341" Type="http://schemas.openxmlformats.org/officeDocument/2006/relationships/hyperlink" Target="https://upload.wikimedia.org/wikipedia/commons/7/76/Compa%C3%B1ero_Fiel.jpg" TargetMode="External"/><Relationship Id="rId2672" Type="http://schemas.openxmlformats.org/officeDocument/2006/relationships/hyperlink" Target="https://commons.wikimedia.org/wiki/File:Hyloscirtus_palmeri_2026.jpg" TargetMode="External"/><Relationship Id="rId751" Type="http://schemas.openxmlformats.org/officeDocument/2006/relationships/hyperlink" Target="https://commons.wikimedia.org/wiki/File:Bromelia_roja_(Guzmania_lingulata).jpg" TargetMode="External"/><Relationship Id="rId1342" Type="http://schemas.openxmlformats.org/officeDocument/2006/relationships/hyperlink" Target="https://commons.wikimedia.org/wiki/File:Compa%C3%B1ero_Fiel.jpg" TargetMode="External"/><Relationship Id="rId2673" Type="http://schemas.openxmlformats.org/officeDocument/2006/relationships/hyperlink" Target="https://upload.wikimedia.org/wikipedia/commons/5/57/Hypercum_Juniperinum.jpg" TargetMode="External"/><Relationship Id="rId750" Type="http://schemas.openxmlformats.org/officeDocument/2006/relationships/hyperlink" Target="https://upload.wikimedia.org/wikipedia/commons/d/de/Bromelia_roja_%28Guzmania_lingulata%29.jpg" TargetMode="External"/><Relationship Id="rId1343" Type="http://schemas.openxmlformats.org/officeDocument/2006/relationships/hyperlink" Target="https://upload.wikimedia.org/wikipedia/commons/4/48/Complejo_camaronero_la_guajira.jpg" TargetMode="External"/><Relationship Id="rId2674" Type="http://schemas.openxmlformats.org/officeDocument/2006/relationships/hyperlink" Target="https://commons.wikimedia.org/wiki/File:Hypercum_Juniperinum.jpg" TargetMode="External"/><Relationship Id="rId1344" Type="http://schemas.openxmlformats.org/officeDocument/2006/relationships/hyperlink" Target="https://commons.wikimedia.org/wiki/File:Complejo_camaronero_la_guajira.jpg" TargetMode="External"/><Relationship Id="rId2675" Type="http://schemas.openxmlformats.org/officeDocument/2006/relationships/hyperlink" Target="https://upload.wikimedia.org/wikipedia/commons/4/49/IGUANA_POSANDO_EN_UN_ARBOL.jpg" TargetMode="External"/><Relationship Id="rId2621" Type="http://schemas.openxmlformats.org/officeDocument/2006/relationships/hyperlink" Target="https://upload.wikimedia.org/wikipedia/commons/b/be/Hongos_de_guataqui_de_potosi.jpg" TargetMode="External"/><Relationship Id="rId3953" Type="http://schemas.openxmlformats.org/officeDocument/2006/relationships/hyperlink" Target="https://upload.wikimedia.org/wikipedia/commons/6/60/Pance_River%2C_Cali%2C_Colombia.jpg" TargetMode="External"/><Relationship Id="rId2622" Type="http://schemas.openxmlformats.org/officeDocument/2006/relationships/hyperlink" Target="https://commons.wikimedia.org/wiki/File:Hongos_de_guataqui_de_potosi.jpg" TargetMode="External"/><Relationship Id="rId3952" Type="http://schemas.openxmlformats.org/officeDocument/2006/relationships/hyperlink" Target="https://maps.google.com/?q=3.322900,-76.609600" TargetMode="External"/><Relationship Id="rId2623" Type="http://schemas.openxmlformats.org/officeDocument/2006/relationships/hyperlink" Target="https://maps.google.com/?q=4.557642,-73.962394" TargetMode="External"/><Relationship Id="rId3955" Type="http://schemas.openxmlformats.org/officeDocument/2006/relationships/hyperlink" Target="https://upload.wikimedia.org/wikipedia/commons/7/7d/Panor%C3%A1mica_a_la_bah%C3%ADa_de_Santa_Marta.jpg" TargetMode="External"/><Relationship Id="rId2624" Type="http://schemas.openxmlformats.org/officeDocument/2006/relationships/hyperlink" Target="https://upload.wikimedia.org/wikipedia/commons/4/47/Hongos_en_la_cascada_la_abuela.jpg" TargetMode="External"/><Relationship Id="rId3954" Type="http://schemas.openxmlformats.org/officeDocument/2006/relationships/hyperlink" Target="https://commons.wikimedia.org/wiki/File:Pance_River,_Cali,_Colombia.jpg" TargetMode="External"/><Relationship Id="rId2625" Type="http://schemas.openxmlformats.org/officeDocument/2006/relationships/hyperlink" Target="https://commons.wikimedia.org/wiki/File:Hongos_en_la_cascada_la_abuela.jpg" TargetMode="External"/><Relationship Id="rId3957" Type="http://schemas.openxmlformats.org/officeDocument/2006/relationships/hyperlink" Target="https://maps.google.com/?q=4.578887,-74.294787" TargetMode="External"/><Relationship Id="rId2626" Type="http://schemas.openxmlformats.org/officeDocument/2006/relationships/hyperlink" Target="https://maps.google.com/?q=4.172187,-74.146794" TargetMode="External"/><Relationship Id="rId3956" Type="http://schemas.openxmlformats.org/officeDocument/2006/relationships/hyperlink" Target="https://commons.wikimedia.org/wiki/File:Panor%C3%A1mica_a_la_bah%C3%ADa_de_Santa_Marta.jpg" TargetMode="External"/><Relationship Id="rId2627" Type="http://schemas.openxmlformats.org/officeDocument/2006/relationships/hyperlink" Target="https://upload.wikimedia.org/wikipedia/commons/3/32/Hongos_laminares.jpg" TargetMode="External"/><Relationship Id="rId3959" Type="http://schemas.openxmlformats.org/officeDocument/2006/relationships/hyperlink" Target="https://commons.wikimedia.org/wiki/File:Panor%C3%A1mica_a%C3%A9rea_del_ca%C3%B1%C3%B3n_del_R%C3%ADo_Bogot%C3%A1_tras_el_Salto_del_Tequendama.jpg" TargetMode="External"/><Relationship Id="rId2628" Type="http://schemas.openxmlformats.org/officeDocument/2006/relationships/hyperlink" Target="https://commons.wikimedia.org/wiki/File:Hongos_laminares.jpg" TargetMode="External"/><Relationship Id="rId3958" Type="http://schemas.openxmlformats.org/officeDocument/2006/relationships/hyperlink" Target="https://upload.wikimedia.org/wikipedia/commons/3/39/Panor%C3%A1mica_a%C3%A9rea_del_ca%C3%B1%C3%B3n_del_R%C3%ADo_Bogot%C3%A1_tras_el_Salto_del_Tequendama.jpg" TargetMode="External"/><Relationship Id="rId709" Type="http://schemas.openxmlformats.org/officeDocument/2006/relationships/hyperlink" Target="https://upload.wikimedia.org/wikipedia/commons/3/3d/Bosques_de_Robles.jpg" TargetMode="External"/><Relationship Id="rId2629" Type="http://schemas.openxmlformats.org/officeDocument/2006/relationships/hyperlink" Target="https://upload.wikimedia.org/wikipedia/commons/8/80/Hongos_sobre_tronco_en_descomposici%C3%B3n.jpg" TargetMode="External"/><Relationship Id="rId708" Type="http://schemas.openxmlformats.org/officeDocument/2006/relationships/hyperlink" Target="https://maps.google.com/?q=1.663076,-76.112399" TargetMode="External"/><Relationship Id="rId707" Type="http://schemas.openxmlformats.org/officeDocument/2006/relationships/hyperlink" Target="https://commons.wikimedia.org/wiki/File:Bosque_%C3%A1rboles_espina.jpg" TargetMode="External"/><Relationship Id="rId706" Type="http://schemas.openxmlformats.org/officeDocument/2006/relationships/hyperlink" Target="https://upload.wikimedia.org/wikipedia/commons/b/ba/Bosque_%C3%A1rboles_espina.jpg" TargetMode="External"/><Relationship Id="rId701" Type="http://schemas.openxmlformats.org/officeDocument/2006/relationships/hyperlink" Target="https://commons.wikimedia.org/wiki/File:Bosque_tropical.jpg" TargetMode="External"/><Relationship Id="rId700" Type="http://schemas.openxmlformats.org/officeDocument/2006/relationships/hyperlink" Target="https://upload.wikimedia.org/wikipedia/commons/3/35/Bosque_tropical.jpg" TargetMode="External"/><Relationship Id="rId705" Type="http://schemas.openxmlformats.org/officeDocument/2006/relationships/hyperlink" Target="https://commons.wikimedia.org/wiki/File:Bosque_y_sendero.jpg" TargetMode="External"/><Relationship Id="rId704" Type="http://schemas.openxmlformats.org/officeDocument/2006/relationships/hyperlink" Target="https://upload.wikimedia.org/wikipedia/commons/4/4d/Bosque_y_sendero.jpg" TargetMode="External"/><Relationship Id="rId703" Type="http://schemas.openxmlformats.org/officeDocument/2006/relationships/hyperlink" Target="https://commons.wikimedia.org/wiki/File:Bosque_urbano.jpg" TargetMode="External"/><Relationship Id="rId702" Type="http://schemas.openxmlformats.org/officeDocument/2006/relationships/hyperlink" Target="https://upload.wikimedia.org/wikipedia/commons/b/b2/Bosque_urbano.jpg" TargetMode="External"/><Relationship Id="rId3951" Type="http://schemas.openxmlformats.org/officeDocument/2006/relationships/hyperlink" Target="https://commons.wikimedia.org/wiki/File:Panam%C3%A1_de_cera_2.jpg" TargetMode="External"/><Relationship Id="rId2620" Type="http://schemas.openxmlformats.org/officeDocument/2006/relationships/hyperlink" Target="https://commons.wikimedia.org/wiki/File:Hongos_de_Iza,_Boyac%C3%A1.jpg" TargetMode="External"/><Relationship Id="rId3950" Type="http://schemas.openxmlformats.org/officeDocument/2006/relationships/hyperlink" Target="https://upload.wikimedia.org/wikipedia/commons/9/9f/Panam%C3%A1_de_cera_2.jpg" TargetMode="External"/><Relationship Id="rId2610" Type="http://schemas.openxmlformats.org/officeDocument/2006/relationships/hyperlink" Target="https://maps.google.com/?q=4.695205,-74.093442" TargetMode="External"/><Relationship Id="rId3942" Type="http://schemas.openxmlformats.org/officeDocument/2006/relationships/hyperlink" Target="https://commons.wikimedia.org/wiki/File:Palomino_Beach.jpg" TargetMode="External"/><Relationship Id="rId2611" Type="http://schemas.openxmlformats.org/officeDocument/2006/relationships/hyperlink" Target="https://upload.wikimedia.org/wikipedia/commons/2/2d/Hongo_poroso_naranja_%28Favolaschia_sp.%29.jpg" TargetMode="External"/><Relationship Id="rId3941" Type="http://schemas.openxmlformats.org/officeDocument/2006/relationships/hyperlink" Target="https://upload.wikimedia.org/wikipedia/commons/2/2f/Palomino_Beach.jpg" TargetMode="External"/><Relationship Id="rId2612" Type="http://schemas.openxmlformats.org/officeDocument/2006/relationships/hyperlink" Target="https://commons.wikimedia.org/wiki/File:Hongo_poroso_naranja_(Favolaschia_sp.).jpg" TargetMode="External"/><Relationship Id="rId3944" Type="http://schemas.openxmlformats.org/officeDocument/2006/relationships/hyperlink" Target="https://commons.wikimedia.org/wiki/File:Palomino_Colombia.jpg" TargetMode="External"/><Relationship Id="rId2613" Type="http://schemas.openxmlformats.org/officeDocument/2006/relationships/hyperlink" Target="https://maps.google.com/?q=4.854756,-74.345200" TargetMode="External"/><Relationship Id="rId3943" Type="http://schemas.openxmlformats.org/officeDocument/2006/relationships/hyperlink" Target="https://upload.wikimedia.org/wikipedia/commons/1/15/Palomino_Colombia.jpg" TargetMode="External"/><Relationship Id="rId2614" Type="http://schemas.openxmlformats.org/officeDocument/2006/relationships/hyperlink" Target="https://upload.wikimedia.org/wikipedia/commons/3/3d/Hongo_sp.jpg" TargetMode="External"/><Relationship Id="rId3946" Type="http://schemas.openxmlformats.org/officeDocument/2006/relationships/hyperlink" Target="https://commons.wikimedia.org/wiki/File:Palomino_Colombia_2.jpg" TargetMode="External"/><Relationship Id="rId2615" Type="http://schemas.openxmlformats.org/officeDocument/2006/relationships/hyperlink" Target="https://commons.wikimedia.org/wiki/File:Hongo_sp.jpg" TargetMode="External"/><Relationship Id="rId3945" Type="http://schemas.openxmlformats.org/officeDocument/2006/relationships/hyperlink" Target="https://upload.wikimedia.org/wikipedia/commons/f/f3/Palomino_Colombia_2.jpg" TargetMode="External"/><Relationship Id="rId2616" Type="http://schemas.openxmlformats.org/officeDocument/2006/relationships/hyperlink" Target="https://upload.wikimedia.org/wikipedia/commons/b/bb/Hongo_tomadas_desde_la_reserva_natural_de_guataqui_de_potos%C3%AD.jpg" TargetMode="External"/><Relationship Id="rId3948" Type="http://schemas.openxmlformats.org/officeDocument/2006/relationships/hyperlink" Target="https://upload.wikimedia.org/wikipedia/commons/9/98/Panama_Queen.jpg" TargetMode="External"/><Relationship Id="rId2617" Type="http://schemas.openxmlformats.org/officeDocument/2006/relationships/hyperlink" Target="https://commons.wikimedia.org/wiki/File:Hongo_tomadas_desde_la_reserva_natural_de_guataqui_de_potos%C3%AD.jpg" TargetMode="External"/><Relationship Id="rId3947" Type="http://schemas.openxmlformats.org/officeDocument/2006/relationships/hyperlink" Target="https://maps.google.com/?q=4.667750,-74.099940" TargetMode="External"/><Relationship Id="rId2618" Type="http://schemas.openxmlformats.org/officeDocument/2006/relationships/hyperlink" Target="https://maps.google.com/?q=4.843085,-73.831453" TargetMode="External"/><Relationship Id="rId2619" Type="http://schemas.openxmlformats.org/officeDocument/2006/relationships/hyperlink" Target="https://upload.wikimedia.org/wikipedia/commons/7/7a/Hongos_de_Iza%2C_Boyac%C3%A1.jpg" TargetMode="External"/><Relationship Id="rId3949" Type="http://schemas.openxmlformats.org/officeDocument/2006/relationships/hyperlink" Target="https://commons.wikimedia.org/wiki/File:Panama_Queen.jpg" TargetMode="External"/><Relationship Id="rId3940" Type="http://schemas.openxmlformats.org/officeDocument/2006/relationships/hyperlink" Target="https://commons.wikimedia.org/wiki/File:Paloma_en_mano.jpg" TargetMode="External"/><Relationship Id="rId1312" Type="http://schemas.openxmlformats.org/officeDocument/2006/relationships/hyperlink" Target="https://maps.google.com/?q=4.668211,-74.100198" TargetMode="External"/><Relationship Id="rId2643" Type="http://schemas.openxmlformats.org/officeDocument/2006/relationships/hyperlink" Target="https://commons.wikimedia.org/wiki/File:Hormiga_recolectando_alimento.jpg" TargetMode="External"/><Relationship Id="rId3975" Type="http://schemas.openxmlformats.org/officeDocument/2006/relationships/hyperlink" Target="https://commons.wikimedia.org/wiki/File:Panor%C3%A1mica_playera.jpg" TargetMode="External"/><Relationship Id="rId1313" Type="http://schemas.openxmlformats.org/officeDocument/2006/relationships/hyperlink" Target="https://upload.wikimedia.org/wikipedia/commons/4/49/Colocasia_or_Alocasia_planta.jpg" TargetMode="External"/><Relationship Id="rId2644" Type="http://schemas.openxmlformats.org/officeDocument/2006/relationships/hyperlink" Target="https://upload.wikimedia.org/wikipedia/commons/5/56/Hormigas_en_una_flor.jpg" TargetMode="External"/><Relationship Id="rId3974" Type="http://schemas.openxmlformats.org/officeDocument/2006/relationships/hyperlink" Target="https://upload.wikimedia.org/wikipedia/commons/e/e3/Panor%C3%A1mica_playera.jpg" TargetMode="External"/><Relationship Id="rId1314" Type="http://schemas.openxmlformats.org/officeDocument/2006/relationships/hyperlink" Target="https://commons.wikimedia.org/wiki/File:Colocasia_or_Alocasia_planta.jpg" TargetMode="External"/><Relationship Id="rId2645" Type="http://schemas.openxmlformats.org/officeDocument/2006/relationships/hyperlink" Target="https://commons.wikimedia.org/wiki/File:Hormigas_en_una_flor.jpg" TargetMode="External"/><Relationship Id="rId3977" Type="http://schemas.openxmlformats.org/officeDocument/2006/relationships/hyperlink" Target="https://commons.wikimedia.org/wiki/File:Pantano_de_Andabobos.jpg" TargetMode="External"/><Relationship Id="rId1315" Type="http://schemas.openxmlformats.org/officeDocument/2006/relationships/hyperlink" Target="https://upload.wikimedia.org/wikipedia/commons/6/65/Colombian_Beaches.jpg" TargetMode="External"/><Relationship Id="rId2646" Type="http://schemas.openxmlformats.org/officeDocument/2006/relationships/hyperlink" Target="https://upload.wikimedia.org/wikipedia/commons/7/79/Hormiguero_Tiznado.jpg" TargetMode="External"/><Relationship Id="rId3976" Type="http://schemas.openxmlformats.org/officeDocument/2006/relationships/hyperlink" Target="https://upload.wikimedia.org/wikipedia/commons/b/b8/Pantano_de_Andabobos.jpg" TargetMode="External"/><Relationship Id="rId1316" Type="http://schemas.openxmlformats.org/officeDocument/2006/relationships/hyperlink" Target="https://commons.wikimedia.org/wiki/File:Colombian_Beaches.jpg" TargetMode="External"/><Relationship Id="rId2647" Type="http://schemas.openxmlformats.org/officeDocument/2006/relationships/hyperlink" Target="https://commons.wikimedia.org/wiki/File:Hormiguero_Tiznado.jpg" TargetMode="External"/><Relationship Id="rId3979" Type="http://schemas.openxmlformats.org/officeDocument/2006/relationships/hyperlink" Target="https://upload.wikimedia.org/wikipedia/commons/5/58/Papiro_-_Cyperus_papyrus_-_Cyperaceae.jpg" TargetMode="External"/><Relationship Id="rId1317" Type="http://schemas.openxmlformats.org/officeDocument/2006/relationships/hyperlink" Target="https://maps.google.com/?q=5.071261,-75.287675" TargetMode="External"/><Relationship Id="rId2648" Type="http://schemas.openxmlformats.org/officeDocument/2006/relationships/hyperlink" Target="https://upload.wikimedia.org/wikipedia/commons/2/24/Hotel_Continental_Bogot%C3%A1%2C_Colombia.jpg" TargetMode="External"/><Relationship Id="rId3978" Type="http://schemas.openxmlformats.org/officeDocument/2006/relationships/hyperlink" Target="https://maps.google.com/?q=4.669437,-74.097702" TargetMode="External"/><Relationship Id="rId1318" Type="http://schemas.openxmlformats.org/officeDocument/2006/relationships/hyperlink" Target="https://upload.wikimedia.org/wikipedia/commons/7/73/Colombian_fog.jpg" TargetMode="External"/><Relationship Id="rId2649" Type="http://schemas.openxmlformats.org/officeDocument/2006/relationships/hyperlink" Target="https://commons.wikimedia.org/wiki/File:Hotel_Continental_Bogot%C3%A1,_Colombia.jpg" TargetMode="External"/><Relationship Id="rId1319" Type="http://schemas.openxmlformats.org/officeDocument/2006/relationships/hyperlink" Target="https://commons.wikimedia.org/wiki/File:Colombian_fog.jpg" TargetMode="External"/><Relationship Id="rId729" Type="http://schemas.openxmlformats.org/officeDocument/2006/relationships/hyperlink" Target="https://commons.wikimedia.org/wiki/File:Bradypus_variegatus_2026.jpg" TargetMode="External"/><Relationship Id="rId728" Type="http://schemas.openxmlformats.org/officeDocument/2006/relationships/hyperlink" Target="https://upload.wikimedia.org/wikipedia/commons/e/e9/Bradypus_variegatus_2026.jpg" TargetMode="External"/><Relationship Id="rId723" Type="http://schemas.openxmlformats.org/officeDocument/2006/relationships/hyperlink" Target="https://upload.wikimedia.org/wikipedia/commons/2/2b/Bougainvillea_purple_flower.jpg" TargetMode="External"/><Relationship Id="rId722" Type="http://schemas.openxmlformats.org/officeDocument/2006/relationships/hyperlink" Target="https://commons.wikimedia.org/wiki/File:Bougainvillea_Jard%C3%ADn_Bot%C3%A1nico_de_Bogot%C3%A1.jpg" TargetMode="External"/><Relationship Id="rId721" Type="http://schemas.openxmlformats.org/officeDocument/2006/relationships/hyperlink" Target="https://upload.wikimedia.org/wikipedia/commons/5/56/Bougainvillea_Jard%C3%ADn_Bot%C3%A1nico_de_Bogot%C3%A1.jpg" TargetMode="External"/><Relationship Id="rId720" Type="http://schemas.openxmlformats.org/officeDocument/2006/relationships/hyperlink" Target="https://commons.wikimedia.org/wiki/File:Botumbo_(Rosaceae).jpg" TargetMode="External"/><Relationship Id="rId727" Type="http://schemas.openxmlformats.org/officeDocument/2006/relationships/hyperlink" Target="https://maps.google.com/?q=7.766700,-76.650000" TargetMode="External"/><Relationship Id="rId726" Type="http://schemas.openxmlformats.org/officeDocument/2006/relationships/hyperlink" Target="https://commons.wikimedia.org/wiki/File:Boyac%C3%A1,_Colombia,_2026.jpg" TargetMode="External"/><Relationship Id="rId725" Type="http://schemas.openxmlformats.org/officeDocument/2006/relationships/hyperlink" Target="https://upload.wikimedia.org/wikipedia/commons/6/66/Boyac%C3%A1%2C_Colombia%2C_2026.jpg" TargetMode="External"/><Relationship Id="rId724" Type="http://schemas.openxmlformats.org/officeDocument/2006/relationships/hyperlink" Target="https://commons.wikimedia.org/wiki/File:Bougainvillea_purple_flower.jpg" TargetMode="External"/><Relationship Id="rId3971" Type="http://schemas.openxmlformats.org/officeDocument/2006/relationships/hyperlink" Target="https://commons.wikimedia.org/wiki/File:Panor%C3%A1mica_Parque_Nacional_Natural_Los_Nevados.jpg" TargetMode="External"/><Relationship Id="rId2640" Type="http://schemas.openxmlformats.org/officeDocument/2006/relationships/hyperlink" Target="https://upload.wikimedia.org/wikipedia/commons/d/d7/Horizonte_lunar.jpg" TargetMode="External"/><Relationship Id="rId3970" Type="http://schemas.openxmlformats.org/officeDocument/2006/relationships/hyperlink" Target="https://upload.wikimedia.org/wikipedia/commons/6/62/Panor%C3%A1mica_Parque_Nacional_Natural_Los_Nevados.jpg" TargetMode="External"/><Relationship Id="rId1310" Type="http://schemas.openxmlformats.org/officeDocument/2006/relationships/hyperlink" Target="https://upload.wikimedia.org/wikipedia/commons/9/9c/Collared_inca_%28Coeligena_torquata%29_male_in_flight_Caldas_2.jpg" TargetMode="External"/><Relationship Id="rId2641" Type="http://schemas.openxmlformats.org/officeDocument/2006/relationships/hyperlink" Target="https://commons.wikimedia.org/wiki/File:Horizonte_lunar.jpg" TargetMode="External"/><Relationship Id="rId3973" Type="http://schemas.openxmlformats.org/officeDocument/2006/relationships/hyperlink" Target="https://commons.wikimedia.org/wiki/File:Panor%C3%A1mica_desde_Santa_Marta.jpg" TargetMode="External"/><Relationship Id="rId1311" Type="http://schemas.openxmlformats.org/officeDocument/2006/relationships/hyperlink" Target="https://commons.wikimedia.org/wiki/File:Collared_inca_(Coeligena_torquata)_male_in_flight_Caldas_2.jpg" TargetMode="External"/><Relationship Id="rId2642" Type="http://schemas.openxmlformats.org/officeDocument/2006/relationships/hyperlink" Target="https://upload.wikimedia.org/wikipedia/commons/a/a4/Hormiga_recolectando_alimento.jpg" TargetMode="External"/><Relationship Id="rId3972" Type="http://schemas.openxmlformats.org/officeDocument/2006/relationships/hyperlink" Target="https://upload.wikimedia.org/wikipedia/commons/6/60/Panor%C3%A1mica_desde_Santa_Marta.jpg" TargetMode="External"/><Relationship Id="rId1301" Type="http://schemas.openxmlformats.org/officeDocument/2006/relationships/hyperlink" Target="https://maps.google.com/?q=4.893333,-75.090288" TargetMode="External"/><Relationship Id="rId2632" Type="http://schemas.openxmlformats.org/officeDocument/2006/relationships/hyperlink" Target="https://commons.wikimedia.org/wiki/File:Honguito_de_luz.jpg" TargetMode="External"/><Relationship Id="rId3964" Type="http://schemas.openxmlformats.org/officeDocument/2006/relationships/hyperlink" Target="https://upload.wikimedia.org/wikipedia/commons/b/b7/Panor%C3%A1mica_desde_el_embalse_El_Pe%C3%B1ol_-_Guatap%C3%A9.jpg" TargetMode="External"/><Relationship Id="rId1302" Type="http://schemas.openxmlformats.org/officeDocument/2006/relationships/hyperlink" Target="https://upload.wikimedia.org/wikipedia/commons/7/71/Colibr%C3%AD_rutilante_%2845487%29.jpg" TargetMode="External"/><Relationship Id="rId2633" Type="http://schemas.openxmlformats.org/officeDocument/2006/relationships/hyperlink" Target="https://upload.wikimedia.org/wikipedia/commons/9/96/Honguito_del_camino.jpg" TargetMode="External"/><Relationship Id="rId3963" Type="http://schemas.openxmlformats.org/officeDocument/2006/relationships/hyperlink" Target="https://commons.wikimedia.org/wiki/File:Panor%C3%A1mica_del_rio_magdalena.jpg" TargetMode="External"/><Relationship Id="rId1303" Type="http://schemas.openxmlformats.org/officeDocument/2006/relationships/hyperlink" Target="https://commons.wikimedia.org/wiki/File:Colibr%C3%AD_rutilante_(45487).jpg" TargetMode="External"/><Relationship Id="rId2634" Type="http://schemas.openxmlformats.org/officeDocument/2006/relationships/hyperlink" Target="https://commons.wikimedia.org/wiki/File:Honguito_del_camino.jpg" TargetMode="External"/><Relationship Id="rId3966" Type="http://schemas.openxmlformats.org/officeDocument/2006/relationships/hyperlink" Target="https://upload.wikimedia.org/wikipedia/commons/9/9e/Panor%C3%A1mica_desde_los_cerros_orientales_de_Bogot%C3%A1_01.jpg" TargetMode="External"/><Relationship Id="rId1304" Type="http://schemas.openxmlformats.org/officeDocument/2006/relationships/hyperlink" Target="https://maps.google.com/?q=4.953006,-74.894930" TargetMode="External"/><Relationship Id="rId2635" Type="http://schemas.openxmlformats.org/officeDocument/2006/relationships/hyperlink" Target="https://upload.wikimedia.org/wikipedia/commons/b/b7/Hora_dorada_en_Tecate%2C_Baja_California%2C_M%C3%A9xico.jpg" TargetMode="External"/><Relationship Id="rId3965" Type="http://schemas.openxmlformats.org/officeDocument/2006/relationships/hyperlink" Target="https://commons.wikimedia.org/wiki/File:Panor%C3%A1mica_desde_el_embalse_El_Pe%C3%B1ol_-_Guatap%C3%A9.jpg" TargetMode="External"/><Relationship Id="rId1305" Type="http://schemas.openxmlformats.org/officeDocument/2006/relationships/hyperlink" Target="https://upload.wikimedia.org/wikipedia/commons/0/0a/Colibr%C3%AD_rutilante_%2892699%29.jpg" TargetMode="External"/><Relationship Id="rId2636" Type="http://schemas.openxmlformats.org/officeDocument/2006/relationships/hyperlink" Target="https://commons.wikimedia.org/wiki/File:Hora_dorada_en_Tecate,_Baja_California,_M%C3%A9xico.jpg" TargetMode="External"/><Relationship Id="rId3968" Type="http://schemas.openxmlformats.org/officeDocument/2006/relationships/hyperlink" Target="https://upload.wikimedia.org/wikipedia/commons/4/41/PANTANO_ULTIMO_DIA.jpg" TargetMode="External"/><Relationship Id="rId1306" Type="http://schemas.openxmlformats.org/officeDocument/2006/relationships/hyperlink" Target="https://commons.wikimedia.org/wiki/File:Colibr%C3%AD_rutilante_(92699).jpg" TargetMode="External"/><Relationship Id="rId2637" Type="http://schemas.openxmlformats.org/officeDocument/2006/relationships/hyperlink" Target="https://maps.google.com/?q=8.076089,-74.782950" TargetMode="External"/><Relationship Id="rId3967" Type="http://schemas.openxmlformats.org/officeDocument/2006/relationships/hyperlink" Target="https://commons.wikimedia.org/wiki/File:Panor%C3%A1mica_desde_los_cerros_orientales_de_Bogot%C3%A1_01.jpg" TargetMode="External"/><Relationship Id="rId1307" Type="http://schemas.openxmlformats.org/officeDocument/2006/relationships/hyperlink" Target="https://upload.wikimedia.org/wikipedia/commons/3/34/Colibr%C3%AD_urbano.jpg" TargetMode="External"/><Relationship Id="rId2638" Type="http://schemas.openxmlformats.org/officeDocument/2006/relationships/hyperlink" Target="https://upload.wikimedia.org/wikipedia/commons/c/c7/Horizonte_en_Nech%C3%AD.jpg" TargetMode="External"/><Relationship Id="rId1308" Type="http://schemas.openxmlformats.org/officeDocument/2006/relationships/hyperlink" Target="https://commons.wikimedia.org/wiki/File:Colibr%C3%AD_urbano.jpg" TargetMode="External"/><Relationship Id="rId2639" Type="http://schemas.openxmlformats.org/officeDocument/2006/relationships/hyperlink" Target="https://commons.wikimedia.org/wiki/File:Horizonte_en_Nech%C3%AD.jpg" TargetMode="External"/><Relationship Id="rId3969" Type="http://schemas.openxmlformats.org/officeDocument/2006/relationships/hyperlink" Target="https://commons.wikimedia.org/wiki/File:PANTANO_ULTIMO_DIA.jpg" TargetMode="External"/><Relationship Id="rId1309" Type="http://schemas.openxmlformats.org/officeDocument/2006/relationships/hyperlink" Target="https://maps.google.com/?q=5.070000,-75.440000" TargetMode="External"/><Relationship Id="rId719" Type="http://schemas.openxmlformats.org/officeDocument/2006/relationships/hyperlink" Target="https://upload.wikimedia.org/wikipedia/commons/5/5d/Botumbo_%28Rosaceae%29.jpg" TargetMode="External"/><Relationship Id="rId718" Type="http://schemas.openxmlformats.org/officeDocument/2006/relationships/hyperlink" Target="https://commons.wikimedia.org/wiki/File:Bosques_florecidos_-_PNN_Chingaza.jpg" TargetMode="External"/><Relationship Id="rId717" Type="http://schemas.openxmlformats.org/officeDocument/2006/relationships/hyperlink" Target="https://upload.wikimedia.org/wikipedia/commons/0/00/Bosques_florecidos_-_PNN_Chingaza.jpg" TargetMode="External"/><Relationship Id="rId712" Type="http://schemas.openxmlformats.org/officeDocument/2006/relationships/hyperlink" Target="https://commons.wikimedia.org/wiki/File:Bosques_de_Robles_-_PNN_Cueva_de_los_Guacharos.jpg" TargetMode="External"/><Relationship Id="rId711" Type="http://schemas.openxmlformats.org/officeDocument/2006/relationships/hyperlink" Target="https://upload.wikimedia.org/wikipedia/commons/1/12/Bosques_de_Robles_-_PNN_Cueva_de_los_Guacharos.jpg" TargetMode="External"/><Relationship Id="rId710" Type="http://schemas.openxmlformats.org/officeDocument/2006/relationships/hyperlink" Target="https://commons.wikimedia.org/wiki/File:Bosques_de_Robles.jpg" TargetMode="External"/><Relationship Id="rId716" Type="http://schemas.openxmlformats.org/officeDocument/2006/relationships/hyperlink" Target="https://commons.wikimedia.org/wiki/File:Bosques_de_niebla_en_el_PNN_Tam%C3%A1.jpg" TargetMode="External"/><Relationship Id="rId715" Type="http://schemas.openxmlformats.org/officeDocument/2006/relationships/hyperlink" Target="https://upload.wikimedia.org/wikipedia/commons/9/99/Bosques_de_niebla_en_el_PNN_Tam%C3%A1.jpg" TargetMode="External"/><Relationship Id="rId714" Type="http://schemas.openxmlformats.org/officeDocument/2006/relationships/hyperlink" Target="https://commons.wikimedia.org/wiki/File:Bosques_de_niebla_en_el_PNN_Tam%C3%A1,_parte_Colombiana.jpg" TargetMode="External"/><Relationship Id="rId713" Type="http://schemas.openxmlformats.org/officeDocument/2006/relationships/hyperlink" Target="https://upload.wikimedia.org/wikipedia/commons/6/67/Bosques_de_niebla_en_el_PNN_Tam%C3%A1%2C_parte_Colombiana.jpg" TargetMode="External"/><Relationship Id="rId3960" Type="http://schemas.openxmlformats.org/officeDocument/2006/relationships/hyperlink" Target="https://upload.wikimedia.org/wikipedia/commons/e/e1/Panor%C3%A1mica_de_la_transici%C3%B3n_geogr%C3%A1fica_en_la_Tatacoa.jpg" TargetMode="External"/><Relationship Id="rId2630" Type="http://schemas.openxmlformats.org/officeDocument/2006/relationships/hyperlink" Target="https://commons.wikimedia.org/wiki/File:Hongos_sobre_tronco_en_descomposici%C3%B3n.jpg" TargetMode="External"/><Relationship Id="rId3962" Type="http://schemas.openxmlformats.org/officeDocument/2006/relationships/hyperlink" Target="https://upload.wikimedia.org/wikipedia/commons/5/57/Panor%C3%A1mica_del_rio_magdalena.jpg" TargetMode="External"/><Relationship Id="rId1300" Type="http://schemas.openxmlformats.org/officeDocument/2006/relationships/hyperlink" Target="https://commons.wikimedia.org/wiki/File:Colibr%C3%AD_pardo.jpg" TargetMode="External"/><Relationship Id="rId2631" Type="http://schemas.openxmlformats.org/officeDocument/2006/relationships/hyperlink" Target="https://upload.wikimedia.org/wikipedia/commons/8/8d/Honguito_de_luz.jpg" TargetMode="External"/><Relationship Id="rId3961" Type="http://schemas.openxmlformats.org/officeDocument/2006/relationships/hyperlink" Target="https://commons.wikimedia.org/wiki/File:Panor%C3%A1mica_de_la_transici%C3%B3n_geogr%C3%A1fica_en_la_Tatacoa.jpg" TargetMode="External"/><Relationship Id="rId3117" Type="http://schemas.openxmlformats.org/officeDocument/2006/relationships/hyperlink" Target="https://upload.wikimedia.org/wikipedia/commons/a/a8/Lima_Granulada_en_Venecia.jpg" TargetMode="External"/><Relationship Id="rId4448" Type="http://schemas.openxmlformats.org/officeDocument/2006/relationships/hyperlink" Target="https://maps.google.com/?q=4.257092,-75.928643" TargetMode="External"/><Relationship Id="rId3116" Type="http://schemas.openxmlformats.org/officeDocument/2006/relationships/hyperlink" Target="https://commons.wikimedia.org/wiki/File:Lib%C3%A9lula_en_el_Bajo_Cauca.jpg" TargetMode="External"/><Relationship Id="rId4447" Type="http://schemas.openxmlformats.org/officeDocument/2006/relationships/hyperlink" Target="https://commons.wikimedia.org/wiki/File:Rana_albina.jpg" TargetMode="External"/><Relationship Id="rId3119" Type="http://schemas.openxmlformats.org/officeDocument/2006/relationships/hyperlink" Target="https://maps.google.com/?q=4.867725,-74.375931" TargetMode="External"/><Relationship Id="rId3118" Type="http://schemas.openxmlformats.org/officeDocument/2006/relationships/hyperlink" Target="https://commons.wikimedia.org/wiki/File:Lima_Granulada_en_Venecia.jpg" TargetMode="External"/><Relationship Id="rId4449" Type="http://schemas.openxmlformats.org/officeDocument/2006/relationships/hyperlink" Target="https://upload.wikimedia.org/wikipedia/commons/b/bf/Rana_Rub%C3%AD.jpg" TargetMode="External"/><Relationship Id="rId4440" Type="http://schemas.openxmlformats.org/officeDocument/2006/relationships/hyperlink" Target="https://commons.wikimedia.org/wiki/File:Rainbow_2026-06-23.jpg" TargetMode="External"/><Relationship Id="rId3111" Type="http://schemas.openxmlformats.org/officeDocument/2006/relationships/hyperlink" Target="https://upload.wikimedia.org/wikipedia/commons/e/e4/Let%27s_go_fishing.jpg" TargetMode="External"/><Relationship Id="rId4442" Type="http://schemas.openxmlformats.org/officeDocument/2006/relationships/hyperlink" Target="https://commons.wikimedia.org/wiki/File:Rama_de_Eucalipto.jpg" TargetMode="External"/><Relationship Id="rId3110" Type="http://schemas.openxmlformats.org/officeDocument/2006/relationships/hyperlink" Target="https://maps.google.com/?q=3.959697,-77.377861" TargetMode="External"/><Relationship Id="rId4441" Type="http://schemas.openxmlformats.org/officeDocument/2006/relationships/hyperlink" Target="https://upload.wikimedia.org/wikipedia/commons/8/8c/Rama_de_Eucalipto.jpg" TargetMode="External"/><Relationship Id="rId3113" Type="http://schemas.openxmlformats.org/officeDocument/2006/relationships/hyperlink" Target="https://upload.wikimedia.org/wikipedia/commons/6/68/Leucauge_de_Cachipay.jpg" TargetMode="External"/><Relationship Id="rId4444" Type="http://schemas.openxmlformats.org/officeDocument/2006/relationships/hyperlink" Target="https://upload.wikimedia.org/wikipedia/commons/2/2c/Ramphastos_vitellinus_2026.jpg" TargetMode="External"/><Relationship Id="rId3112" Type="http://schemas.openxmlformats.org/officeDocument/2006/relationships/hyperlink" Target="https://commons.wikimedia.org/wiki/File:Let%27s_go_fishing.jpg" TargetMode="External"/><Relationship Id="rId4443" Type="http://schemas.openxmlformats.org/officeDocument/2006/relationships/hyperlink" Target="https://maps.google.com/?q=5.862240,-74.870470" TargetMode="External"/><Relationship Id="rId3115" Type="http://schemas.openxmlformats.org/officeDocument/2006/relationships/hyperlink" Target="https://upload.wikimedia.org/wikipedia/commons/3/33/Lib%C3%A9lula_en_el_Bajo_Cauca.jpg" TargetMode="External"/><Relationship Id="rId4446" Type="http://schemas.openxmlformats.org/officeDocument/2006/relationships/hyperlink" Target="https://upload.wikimedia.org/wikipedia/commons/c/c4/Rana_albina.jpg" TargetMode="External"/><Relationship Id="rId3114" Type="http://schemas.openxmlformats.org/officeDocument/2006/relationships/hyperlink" Target="https://commons.wikimedia.org/wiki/File:Leucauge_de_Cachipay.jpg" TargetMode="External"/><Relationship Id="rId4445" Type="http://schemas.openxmlformats.org/officeDocument/2006/relationships/hyperlink" Target="https://commons.wikimedia.org/wiki/File:Ramphastos_vitellinus_2026.jpg" TargetMode="External"/><Relationship Id="rId3106" Type="http://schemas.openxmlformats.org/officeDocument/2006/relationships/hyperlink" Target="https://commons.wikimedia.org/wiki/File:Lepidoptera_-_Piedecuesta,_Santander,_Colombia_-_8_Jun_2026_-_Diferoch.jpg" TargetMode="External"/><Relationship Id="rId4437" Type="http://schemas.openxmlformats.org/officeDocument/2006/relationships/hyperlink" Target="https://upload.wikimedia.org/wikipedia/commons/a/a9/Rabo_de_gallo_%28Lauraceae%29.jpg" TargetMode="External"/><Relationship Id="rId3105" Type="http://schemas.openxmlformats.org/officeDocument/2006/relationships/hyperlink" Target="https://upload.wikimedia.org/wikipedia/commons/c/c4/Lepidoptera_-_Piedecuesta%2C_Santander%2C_Colombia_-_8_Jun_2026_-_Diferoch.jpg" TargetMode="External"/><Relationship Id="rId4436" Type="http://schemas.openxmlformats.org/officeDocument/2006/relationships/hyperlink" Target="https://commons.wikimedia.org/wiki/File:Quiscalus_mexicanus_peruvianus_-_Santa_Marta,_Magdalena,_Colombia_-_22_Jun_2025_-_Diferoch_-_3.jpg" TargetMode="External"/><Relationship Id="rId3108" Type="http://schemas.openxmlformats.org/officeDocument/2006/relationships/hyperlink" Target="https://upload.wikimedia.org/wikipedia/commons/1/11/Leptophis_-_Cimitarra%2C_Santander%2C_Colombia_-_2_Oct_2025_-_Diferoch.jpg" TargetMode="External"/><Relationship Id="rId4439" Type="http://schemas.openxmlformats.org/officeDocument/2006/relationships/hyperlink" Target="https://upload.wikimedia.org/wikipedia/commons/d/da/Rainbow_2026-06-23.jpg" TargetMode="External"/><Relationship Id="rId3107" Type="http://schemas.openxmlformats.org/officeDocument/2006/relationships/hyperlink" Target="https://maps.google.com/?q=6.717311,-74.134927" TargetMode="External"/><Relationship Id="rId4438" Type="http://schemas.openxmlformats.org/officeDocument/2006/relationships/hyperlink" Target="https://commons.wikimedia.org/wiki/File:Rabo_de_gallo_(Lauraceae).jpg" TargetMode="External"/><Relationship Id="rId3109" Type="http://schemas.openxmlformats.org/officeDocument/2006/relationships/hyperlink" Target="https://commons.wikimedia.org/wiki/File:Leptophis_-_Cimitarra,_Santander,_Colombia_-_2_Oct_2025_-_Diferoch.jpg" TargetMode="External"/><Relationship Id="rId3100" Type="http://schemas.openxmlformats.org/officeDocument/2006/relationships/hyperlink" Target="https://commons.wikimedia.org/wiki/File:Lepidoptera_-_Barrancabermeja,_Santander,_Colombia_-_18_Jun_2025_-_Diferoch.jpg" TargetMode="External"/><Relationship Id="rId4431" Type="http://schemas.openxmlformats.org/officeDocument/2006/relationships/hyperlink" Target="https://maps.google.com/?q=11.141678,-74.226280" TargetMode="External"/><Relationship Id="rId4430" Type="http://schemas.openxmlformats.org/officeDocument/2006/relationships/hyperlink" Target="https://commons.wikimedia.org/wiki/File:Quiscalus_mexicanus_peruvianus_-_Santa_Marta,_Magdalena,_Colombia_-_22_Jun_2025_-_Diferoch_-_1.jpg" TargetMode="External"/><Relationship Id="rId3102" Type="http://schemas.openxmlformats.org/officeDocument/2006/relationships/hyperlink" Target="https://upload.wikimedia.org/wikipedia/commons/9/94/Lepidoptera_-_Barrancabermeja%2C_Santander%2C_Colombia_-_4_Jun_2026_-_Diferoch.jpg" TargetMode="External"/><Relationship Id="rId4433" Type="http://schemas.openxmlformats.org/officeDocument/2006/relationships/hyperlink" Target="https://commons.wikimedia.org/wiki/File:Quiscalus_mexicanus_peruvianus_-_Santa_Marta,_Magdalena,_Colombia_-_22_Jun_2025_-_Diferoch_-_2.jpg" TargetMode="External"/><Relationship Id="rId3101" Type="http://schemas.openxmlformats.org/officeDocument/2006/relationships/hyperlink" Target="https://maps.google.com/?q=7.084785,-73.863868" TargetMode="External"/><Relationship Id="rId4432" Type="http://schemas.openxmlformats.org/officeDocument/2006/relationships/hyperlink" Target="https://upload.wikimedia.org/wikipedia/commons/8/86/Quiscalus_mexicanus_peruvianus_-_Santa_Marta%2C_Magdalena%2C_Colombia_-_22_Jun_2025_-_Diferoch_-_2.jpg" TargetMode="External"/><Relationship Id="rId3104" Type="http://schemas.openxmlformats.org/officeDocument/2006/relationships/hyperlink" Target="https://maps.google.com/?q=6.914278,-73.031532" TargetMode="External"/><Relationship Id="rId4435" Type="http://schemas.openxmlformats.org/officeDocument/2006/relationships/hyperlink" Target="https://upload.wikimedia.org/wikipedia/commons/4/47/Quiscalus_mexicanus_peruvianus_-_Santa_Marta%2C_Magdalena%2C_Colombia_-_22_Jun_2025_-_Diferoch_-_3.jpg" TargetMode="External"/><Relationship Id="rId3103" Type="http://schemas.openxmlformats.org/officeDocument/2006/relationships/hyperlink" Target="https://commons.wikimedia.org/wiki/File:Lepidoptera_-_Barrancabermeja,_Santander,_Colombia_-_4_Jun_2026_-_Diferoch.jpg" TargetMode="External"/><Relationship Id="rId4434" Type="http://schemas.openxmlformats.org/officeDocument/2006/relationships/hyperlink" Target="https://maps.google.com/?q=11.141678,-74.226280" TargetMode="External"/><Relationship Id="rId3139" Type="http://schemas.openxmlformats.org/officeDocument/2006/relationships/hyperlink" Target="https://commons.wikimedia.org/wiki/File:Liquen_puente_Aranda.jpg" TargetMode="External"/><Relationship Id="rId3138" Type="http://schemas.openxmlformats.org/officeDocument/2006/relationships/hyperlink" Target="https://upload.wikimedia.org/wikipedia/commons/3/32/Liquen_puente_Aranda.jpg" TargetMode="External"/><Relationship Id="rId4469" Type="http://schemas.openxmlformats.org/officeDocument/2006/relationships/hyperlink" Target="https://maps.google.com/?q=4.277292,-75.949380" TargetMode="External"/><Relationship Id="rId4460" Type="http://schemas.openxmlformats.org/officeDocument/2006/relationships/hyperlink" Target="https://maps.google.com/?q=4.263937,-75.958368" TargetMode="External"/><Relationship Id="rId3131" Type="http://schemas.openxmlformats.org/officeDocument/2006/relationships/hyperlink" Target="https://commons.wikimedia.org/wiki/File:Liquen_en_Guasca.jpg" TargetMode="External"/><Relationship Id="rId4462" Type="http://schemas.openxmlformats.org/officeDocument/2006/relationships/hyperlink" Target="https://commons.wikimedia.org/wiki/File:Rana_Rub%C3%AD_(34016).jpg" TargetMode="External"/><Relationship Id="rId3130" Type="http://schemas.openxmlformats.org/officeDocument/2006/relationships/hyperlink" Target="https://upload.wikimedia.org/wikipedia/commons/b/b9/Liquen_en_Guasca.jpg" TargetMode="External"/><Relationship Id="rId4461" Type="http://schemas.openxmlformats.org/officeDocument/2006/relationships/hyperlink" Target="https://upload.wikimedia.org/wikipedia/commons/6/62/Rana_Rub%C3%AD_%2834016%29.jpg" TargetMode="External"/><Relationship Id="rId3133" Type="http://schemas.openxmlformats.org/officeDocument/2006/relationships/hyperlink" Target="https://upload.wikimedia.org/wikipedia/commons/7/75/Liquen_en_un_bosque_de_Guasca.jpg" TargetMode="External"/><Relationship Id="rId4464" Type="http://schemas.openxmlformats.org/officeDocument/2006/relationships/hyperlink" Target="https://upload.wikimedia.org/wikipedia/commons/9/9e/Rana_Rub%C3%AD_%2841626%29.jpg" TargetMode="External"/><Relationship Id="rId3132" Type="http://schemas.openxmlformats.org/officeDocument/2006/relationships/hyperlink" Target="https://maps.google.com/?q=4.842005,-73.834176" TargetMode="External"/><Relationship Id="rId4463" Type="http://schemas.openxmlformats.org/officeDocument/2006/relationships/hyperlink" Target="https://maps.google.com/?q=4.259998,-75.947994" TargetMode="External"/><Relationship Id="rId3135" Type="http://schemas.openxmlformats.org/officeDocument/2006/relationships/hyperlink" Target="https://maps.google.com/?q=4.885303,-74.421989" TargetMode="External"/><Relationship Id="rId4466" Type="http://schemas.openxmlformats.org/officeDocument/2006/relationships/hyperlink" Target="https://maps.google.com/?q=4.268976,-75.940237" TargetMode="External"/><Relationship Id="rId3134" Type="http://schemas.openxmlformats.org/officeDocument/2006/relationships/hyperlink" Target="https://commons.wikimedia.org/wiki/File:Liquen_en_un_bosque_de_Guasca.jpg" TargetMode="External"/><Relationship Id="rId4465" Type="http://schemas.openxmlformats.org/officeDocument/2006/relationships/hyperlink" Target="https://commons.wikimedia.org/wiki/File:Rana_Rub%C3%AD_(41626).jpg" TargetMode="External"/><Relationship Id="rId3137" Type="http://schemas.openxmlformats.org/officeDocument/2006/relationships/hyperlink" Target="https://commons.wikimedia.org/wiki/File:Liquen_gelatinoso_fertil.jpg" TargetMode="External"/><Relationship Id="rId4468" Type="http://schemas.openxmlformats.org/officeDocument/2006/relationships/hyperlink" Target="https://commons.wikimedia.org/wiki/File:Rana_Rub%C3%AD_(44273).jpg" TargetMode="External"/><Relationship Id="rId3136" Type="http://schemas.openxmlformats.org/officeDocument/2006/relationships/hyperlink" Target="https://upload.wikimedia.org/wikipedia/commons/f/f6/Liquen_gelatinoso_fertil.jpg" TargetMode="External"/><Relationship Id="rId4467" Type="http://schemas.openxmlformats.org/officeDocument/2006/relationships/hyperlink" Target="https://upload.wikimedia.org/wikipedia/commons/2/24/Rana_Rub%C3%AD_%2844273%29.jpg" TargetMode="External"/><Relationship Id="rId3128" Type="http://schemas.openxmlformats.org/officeDocument/2006/relationships/hyperlink" Target="https://upload.wikimedia.org/wikipedia/commons/e/e7/Liquen_de_sol.jpg" TargetMode="External"/><Relationship Id="rId4459" Type="http://schemas.openxmlformats.org/officeDocument/2006/relationships/hyperlink" Target="https://commons.wikimedia.org/wiki/File:Rana_Rub%C3%AD_(28931).jpg" TargetMode="External"/><Relationship Id="rId3127" Type="http://schemas.openxmlformats.org/officeDocument/2006/relationships/hyperlink" Target="https://maps.google.com/?q=4.868622,-74.345467" TargetMode="External"/><Relationship Id="rId4458" Type="http://schemas.openxmlformats.org/officeDocument/2006/relationships/hyperlink" Target="https://upload.wikimedia.org/wikipedia/commons/c/ca/Rana_Rub%C3%AD_%2828931%29.jpg" TargetMode="External"/><Relationship Id="rId3129" Type="http://schemas.openxmlformats.org/officeDocument/2006/relationships/hyperlink" Target="https://commons.wikimedia.org/wiki/File:Liquen_de_sol.jpg" TargetMode="External"/><Relationship Id="rId3120" Type="http://schemas.openxmlformats.org/officeDocument/2006/relationships/hyperlink" Target="https://upload.wikimedia.org/wikipedia/commons/d/d6/Limoncillo.jpg" TargetMode="External"/><Relationship Id="rId4451" Type="http://schemas.openxmlformats.org/officeDocument/2006/relationships/hyperlink" Target="https://maps.google.com/?q=4.261861,-75.922112" TargetMode="External"/><Relationship Id="rId4450" Type="http://schemas.openxmlformats.org/officeDocument/2006/relationships/hyperlink" Target="https://commons.wikimedia.org/wiki/File:Rana_Rub%C3%AD.jpg" TargetMode="External"/><Relationship Id="rId3122" Type="http://schemas.openxmlformats.org/officeDocument/2006/relationships/hyperlink" Target="https://upload.wikimedia.org/wikipedia/commons/e/e8/Lindo_amanecer.jpg" TargetMode="External"/><Relationship Id="rId4453" Type="http://schemas.openxmlformats.org/officeDocument/2006/relationships/hyperlink" Target="https://commons.wikimedia.org/wiki/File:Rana_Rub%C3%AD_(24588).jpg" TargetMode="External"/><Relationship Id="rId3121" Type="http://schemas.openxmlformats.org/officeDocument/2006/relationships/hyperlink" Target="https://commons.wikimedia.org/wiki/File:Limoncillo.jpg" TargetMode="External"/><Relationship Id="rId4452" Type="http://schemas.openxmlformats.org/officeDocument/2006/relationships/hyperlink" Target="https://upload.wikimedia.org/wikipedia/commons/4/4a/Rana_Rub%C3%AD_%2824588%29.jpg" TargetMode="External"/><Relationship Id="rId3124" Type="http://schemas.openxmlformats.org/officeDocument/2006/relationships/hyperlink" Target="https://maps.google.com/?q=4.868142,-74.344650" TargetMode="External"/><Relationship Id="rId4455" Type="http://schemas.openxmlformats.org/officeDocument/2006/relationships/hyperlink" Target="https://upload.wikimedia.org/wikipedia/commons/a/a8/Rana_Rub%C3%AD_%2826812%29.jpg" TargetMode="External"/><Relationship Id="rId3123" Type="http://schemas.openxmlformats.org/officeDocument/2006/relationships/hyperlink" Target="https://commons.wikimedia.org/wiki/File:Lindo_amanecer.jpg" TargetMode="External"/><Relationship Id="rId4454" Type="http://schemas.openxmlformats.org/officeDocument/2006/relationships/hyperlink" Target="https://maps.google.com/?q=4.273815,-75.961996" TargetMode="External"/><Relationship Id="rId3126" Type="http://schemas.openxmlformats.org/officeDocument/2006/relationships/hyperlink" Target="https://commons.wikimedia.org/wiki/File:Liquen_amarillo.jpg" TargetMode="External"/><Relationship Id="rId4457" Type="http://schemas.openxmlformats.org/officeDocument/2006/relationships/hyperlink" Target="https://maps.google.com/?q=4.258829,-75.969690" TargetMode="External"/><Relationship Id="rId3125" Type="http://schemas.openxmlformats.org/officeDocument/2006/relationships/hyperlink" Target="https://upload.wikimedia.org/wikipedia/commons/f/f7/Liquen_amarillo.jpg" TargetMode="External"/><Relationship Id="rId4456" Type="http://schemas.openxmlformats.org/officeDocument/2006/relationships/hyperlink" Target="https://commons.wikimedia.org/wiki/File:Rana_Rub%C3%AD_(26812).jpg" TargetMode="External"/><Relationship Id="rId1378" Type="http://schemas.openxmlformats.org/officeDocument/2006/relationships/hyperlink" Target="https://maps.google.com/?q=5.624992,-77.420840" TargetMode="External"/><Relationship Id="rId4404" Type="http://schemas.openxmlformats.org/officeDocument/2006/relationships/hyperlink" Target="https://upload.wikimedia.org/wikipedia/commons/5/50/P%C3%A1ramo_sierra_nevada_del_Cocuy_y_Guican.jpg" TargetMode="External"/><Relationship Id="rId1379" Type="http://schemas.openxmlformats.org/officeDocument/2006/relationships/hyperlink" Target="https://upload.wikimedia.org/wikipedia/commons/f/f3/Coragyps_atratus_brasiliensis_-_Nuqu%C3%AD%2C_Choc%C3%B3%2C_Colombia_-_21_Oct_2025_-_Diferoch_-_2.jpg" TargetMode="External"/><Relationship Id="rId4403" Type="http://schemas.openxmlformats.org/officeDocument/2006/relationships/hyperlink" Target="https://commons.wikimedia.org/wiki/File:P%C3%A1ramo_La_Cortadora_Siachoque_Boyac%C3%A1.jpg" TargetMode="External"/><Relationship Id="rId4406" Type="http://schemas.openxmlformats.org/officeDocument/2006/relationships/hyperlink" Target="https://upload.wikimedia.org/wikipedia/commons/d/d8/P%C3%A1ramo_sierra_nevada_del_Cocuy_y_G%C3%BCic%C3%A1n_2019.jpg" TargetMode="External"/><Relationship Id="rId4405" Type="http://schemas.openxmlformats.org/officeDocument/2006/relationships/hyperlink" Target="https://commons.wikimedia.org/wiki/File:P%C3%A1ramo_sierra_nevada_del_Cocuy_y_Guican.jpg" TargetMode="External"/><Relationship Id="rId4408" Type="http://schemas.openxmlformats.org/officeDocument/2006/relationships/hyperlink" Target="https://maps.google.com/?q=11.138283,-74.227403" TargetMode="External"/><Relationship Id="rId4407" Type="http://schemas.openxmlformats.org/officeDocument/2006/relationships/hyperlink" Target="https://commons.wikimedia.org/wiki/File:P%C3%A1ramo_sierra_nevada_del_Cocuy_y_G%C3%BCic%C3%A1n_2019.jpg" TargetMode="External"/><Relationship Id="rId4409" Type="http://schemas.openxmlformats.org/officeDocument/2006/relationships/hyperlink" Target="https://upload.wikimedia.org/wikipedia/commons/3/36/P%C3%A9guela_amiga.jpg" TargetMode="External"/><Relationship Id="rId789" Type="http://schemas.openxmlformats.org/officeDocument/2006/relationships/hyperlink" Target="https://upload.wikimedia.org/wikipedia/commons/d/d6/Bumblebees_%28Bombus_sp.%29_on_a_Dahlia_flower_in_Paipa%2C_Boyac%C3%A1%2C_Colombia.jpg" TargetMode="External"/><Relationship Id="rId788" Type="http://schemas.openxmlformats.org/officeDocument/2006/relationships/hyperlink" Target="https://commons.wikimedia.org/wiki/File:Buffet_natural.jpg" TargetMode="External"/><Relationship Id="rId787" Type="http://schemas.openxmlformats.org/officeDocument/2006/relationships/hyperlink" Target="https://upload.wikimedia.org/wikipedia/commons/3/30/Buffet_natural.jpg" TargetMode="External"/><Relationship Id="rId786" Type="http://schemas.openxmlformats.org/officeDocument/2006/relationships/hyperlink" Target="https://commons.wikimedia.org/wiki/File:Brown_Pelican_and_two_Snowy_Egrets_in_Santa_Marta_Port,_Colombia.jpg" TargetMode="External"/><Relationship Id="rId781" Type="http://schemas.openxmlformats.org/officeDocument/2006/relationships/hyperlink" Target="https://commons.wikimedia.org/wiki/File:Brotes_de_arbol_de_magnolia_grandiflora.jpg" TargetMode="External"/><Relationship Id="rId1370" Type="http://schemas.openxmlformats.org/officeDocument/2006/relationships/hyperlink" Target="https://upload.wikimedia.org/wikipedia/commons/6/64/Copet%C3%B3n_20260529_103759.jpg" TargetMode="External"/><Relationship Id="rId780" Type="http://schemas.openxmlformats.org/officeDocument/2006/relationships/hyperlink" Target="https://upload.wikimedia.org/wikipedia/commons/3/32/Brotes_de_arbol_de_magnolia_grandiflora.jpg" TargetMode="External"/><Relationship Id="rId1371" Type="http://schemas.openxmlformats.org/officeDocument/2006/relationships/hyperlink" Target="https://commons.wikimedia.org/wiki/File:Copet%C3%B3n_20260529_103759.jpg" TargetMode="External"/><Relationship Id="rId1372" Type="http://schemas.openxmlformats.org/officeDocument/2006/relationships/hyperlink" Target="https://maps.google.com/?q=4.527990,-73.752840" TargetMode="External"/><Relationship Id="rId1373" Type="http://schemas.openxmlformats.org/officeDocument/2006/relationships/hyperlink" Target="https://upload.wikimedia.org/wikipedia/commons/6/69/Cora_Pavonia-Hygrophoraceae.jpg" TargetMode="External"/><Relationship Id="rId785" Type="http://schemas.openxmlformats.org/officeDocument/2006/relationships/hyperlink" Target="https://upload.wikimedia.org/wikipedia/commons/8/8c/Brown_Pelican_and_two_Snowy_Egrets_in_Santa_Marta_Port%2C_Colombia.jpg" TargetMode="External"/><Relationship Id="rId1374" Type="http://schemas.openxmlformats.org/officeDocument/2006/relationships/hyperlink" Target="https://commons.wikimedia.org/wiki/File:Cora_Pavonia-Hygrophoraceae.jpg" TargetMode="External"/><Relationship Id="rId4400" Type="http://schemas.openxmlformats.org/officeDocument/2006/relationships/hyperlink" Target="https://upload.wikimedia.org/wikipedia/commons/a/ae/P%C3%A1ramo_el_tablazo.jpg" TargetMode="External"/><Relationship Id="rId784" Type="http://schemas.openxmlformats.org/officeDocument/2006/relationships/hyperlink" Target="https://commons.wikimedia.org/wiki/File:Brown-banded_antpitta_(Grallaria_milleri)_Caldas_2.jpg" TargetMode="External"/><Relationship Id="rId1375" Type="http://schemas.openxmlformats.org/officeDocument/2006/relationships/hyperlink" Target="https://maps.google.com/?q=5.704153,-77.272468" TargetMode="External"/><Relationship Id="rId783" Type="http://schemas.openxmlformats.org/officeDocument/2006/relationships/hyperlink" Target="https://upload.wikimedia.org/wikipedia/commons/4/44/Brown-banded_antpitta_%28Grallaria_milleri%29_Caldas_2.jpg" TargetMode="External"/><Relationship Id="rId1376" Type="http://schemas.openxmlformats.org/officeDocument/2006/relationships/hyperlink" Target="https://upload.wikimedia.org/wikipedia/commons/9/92/Coragyps_atratus_brasiliensis_-_Nuqu%C3%AD%2C_Choc%C3%B3%2C_Colombia_-_21_Oct_2025_-_Diferoch_-_1.jpg" TargetMode="External"/><Relationship Id="rId4402" Type="http://schemas.openxmlformats.org/officeDocument/2006/relationships/hyperlink" Target="https://upload.wikimedia.org/wikipedia/commons/3/33/P%C3%A1ramo_La_Cortadora_Siachoque_Boyac%C3%A1.jpg" TargetMode="External"/><Relationship Id="rId782" Type="http://schemas.openxmlformats.org/officeDocument/2006/relationships/hyperlink" Target="https://maps.google.com/?q=5.070000,-75.440000" TargetMode="External"/><Relationship Id="rId1377" Type="http://schemas.openxmlformats.org/officeDocument/2006/relationships/hyperlink" Target="https://commons.wikimedia.org/wiki/File:Coragyps_atratus_brasiliensis_-_Nuqu%C3%AD,_Choc%C3%B3,_Colombia_-_21_Oct_2025_-_Diferoch_-_1.jpg" TargetMode="External"/><Relationship Id="rId4401" Type="http://schemas.openxmlformats.org/officeDocument/2006/relationships/hyperlink" Target="https://commons.wikimedia.org/wiki/File:P%C3%A1ramo_el_tablazo.jpg" TargetMode="External"/><Relationship Id="rId1367" Type="http://schemas.openxmlformats.org/officeDocument/2006/relationships/hyperlink" Target="https://maps.google.com/?q=4.854420,-74.575762" TargetMode="External"/><Relationship Id="rId2698" Type="http://schemas.openxmlformats.org/officeDocument/2006/relationships/hyperlink" Target="https://maps.google.com/?q=7.073068,-73.869392" TargetMode="External"/><Relationship Id="rId1368" Type="http://schemas.openxmlformats.org/officeDocument/2006/relationships/hyperlink" Target="https://upload.wikimedia.org/wikipedia/commons/1/13/Copa_verde-azulada_%28Chlorociboria_aeruginascens%29.png" TargetMode="External"/><Relationship Id="rId2699" Type="http://schemas.openxmlformats.org/officeDocument/2006/relationships/hyperlink" Target="https://upload.wikimedia.org/wikipedia/commons/6/61/Iguana_iguana_-_Barrancabermeja%2C_Santander%2C_Colombia_-_13_Jun_2025_-_Diferoch.jpg" TargetMode="External"/><Relationship Id="rId1369" Type="http://schemas.openxmlformats.org/officeDocument/2006/relationships/hyperlink" Target="https://commons.wikimedia.org/wiki/File:Copa_verde-azulada_(Chlorociboria_aeruginascens).png" TargetMode="External"/><Relationship Id="rId778" Type="http://schemas.openxmlformats.org/officeDocument/2006/relationships/hyperlink" Target="https://upload.wikimedia.org/wikipedia/commons/2/25/Brote_en_hoja_simple_-_Genero_Triplaris.jpg" TargetMode="External"/><Relationship Id="rId777" Type="http://schemas.openxmlformats.org/officeDocument/2006/relationships/hyperlink" Target="https://maps.google.com/?q=4.667750,-74.099944" TargetMode="External"/><Relationship Id="rId776" Type="http://schemas.openxmlformats.org/officeDocument/2006/relationships/hyperlink" Target="https://commons.wikimedia.org/wiki/File:Brote_de_planta_con_clorosis_o_variegaci%C3%B3n.jpg" TargetMode="External"/><Relationship Id="rId775" Type="http://schemas.openxmlformats.org/officeDocument/2006/relationships/hyperlink" Target="https://upload.wikimedia.org/wikipedia/commons/c/ce/Brote_de_planta_con_clorosis_o_variegaci%C3%B3n.jpg" TargetMode="External"/><Relationship Id="rId779" Type="http://schemas.openxmlformats.org/officeDocument/2006/relationships/hyperlink" Target="https://commons.wikimedia.org/wiki/File:Brote_en_hoja_simple_-_Genero_Triplaris.jpg" TargetMode="External"/><Relationship Id="rId770" Type="http://schemas.openxmlformats.org/officeDocument/2006/relationships/hyperlink" Target="https://upload.wikimedia.org/wikipedia/commons/d/d3/Bromelias_epifitas.jpg" TargetMode="External"/><Relationship Id="rId2690" Type="http://schemas.openxmlformats.org/officeDocument/2006/relationships/hyperlink" Target="https://commons.wikimedia.org/wiki/File:Iguana_Barrancabermeja.jpg" TargetMode="External"/><Relationship Id="rId1360" Type="http://schemas.openxmlformats.org/officeDocument/2006/relationships/hyperlink" Target="https://upload.wikimedia.org/wikipedia/commons/5/59/Contacto_con_una_Planta.jpg" TargetMode="External"/><Relationship Id="rId2691" Type="http://schemas.openxmlformats.org/officeDocument/2006/relationships/hyperlink" Target="https://upload.wikimedia.org/wikipedia/commons/e/ef/Iguana_Leg.jpg" TargetMode="External"/><Relationship Id="rId1361" Type="http://schemas.openxmlformats.org/officeDocument/2006/relationships/hyperlink" Target="https://commons.wikimedia.org/wiki/File:Contacto_con_una_Planta.jpg" TargetMode="External"/><Relationship Id="rId2692" Type="http://schemas.openxmlformats.org/officeDocument/2006/relationships/hyperlink" Target="https://commons.wikimedia.org/wiki/File:Iguana_Leg.jpg" TargetMode="External"/><Relationship Id="rId1362" Type="http://schemas.openxmlformats.org/officeDocument/2006/relationships/hyperlink" Target="https://maps.google.com/?q=6.243749,-75.553864" TargetMode="External"/><Relationship Id="rId2693" Type="http://schemas.openxmlformats.org/officeDocument/2006/relationships/hyperlink" Target="https://upload.wikimedia.org/wikipedia/commons/9/9b/Iguana_Talons.jpg" TargetMode="External"/><Relationship Id="rId774" Type="http://schemas.openxmlformats.org/officeDocument/2006/relationships/hyperlink" Target="https://maps.google.com/?q=7.883198,-72.531270" TargetMode="External"/><Relationship Id="rId1363" Type="http://schemas.openxmlformats.org/officeDocument/2006/relationships/hyperlink" Target="https://upload.wikimedia.org/wikipedia/commons/0/04/Contaminaci%C3%B3n_acu%C3%A1tica.jpg" TargetMode="External"/><Relationship Id="rId2694" Type="http://schemas.openxmlformats.org/officeDocument/2006/relationships/hyperlink" Target="https://commons.wikimedia.org/wiki/File:Iguana_Talons.jpg" TargetMode="External"/><Relationship Id="rId773" Type="http://schemas.openxmlformats.org/officeDocument/2006/relationships/hyperlink" Target="https://commons.wikimedia.org/wiki/File:Bromelias_ep%C3%ADfitas_en_Bojac%C3%A1.jpg" TargetMode="External"/><Relationship Id="rId1364" Type="http://schemas.openxmlformats.org/officeDocument/2006/relationships/hyperlink" Target="https://commons.wikimedia.org/wiki/File:Contaminaci%C3%B3n_acu%C3%A1tica.jpg" TargetMode="External"/><Relationship Id="rId2695" Type="http://schemas.openxmlformats.org/officeDocument/2006/relationships/hyperlink" Target="https://maps.google.com/?q=7.084820,-73.864007" TargetMode="External"/><Relationship Id="rId772" Type="http://schemas.openxmlformats.org/officeDocument/2006/relationships/hyperlink" Target="https://upload.wikimedia.org/wikipedia/commons/e/ee/Bromelias_ep%C3%ADfitas_en_Bojac%C3%A1.jpg" TargetMode="External"/><Relationship Id="rId1365" Type="http://schemas.openxmlformats.org/officeDocument/2006/relationships/hyperlink" Target="https://upload.wikimedia.org/wikipedia/commons/c/c9/Contraste_habitado.jpg" TargetMode="External"/><Relationship Id="rId2696" Type="http://schemas.openxmlformats.org/officeDocument/2006/relationships/hyperlink" Target="https://upload.wikimedia.org/wikipedia/commons/7/79/Iguana_iguana_-_Barrancabermeja%2C_Santander%2C_Colombia_-_08_Jul_2026_-_Diferoch.jpg" TargetMode="External"/><Relationship Id="rId771" Type="http://schemas.openxmlformats.org/officeDocument/2006/relationships/hyperlink" Target="https://commons.wikimedia.org/wiki/File:Bromelias_epifitas.jpg" TargetMode="External"/><Relationship Id="rId1366" Type="http://schemas.openxmlformats.org/officeDocument/2006/relationships/hyperlink" Target="https://commons.wikimedia.org/wiki/File:Contraste_habitado.jpg" TargetMode="External"/><Relationship Id="rId2697" Type="http://schemas.openxmlformats.org/officeDocument/2006/relationships/hyperlink" Target="https://commons.wikimedia.org/wiki/File:Iguana_iguana_-_Barrancabermeja,_Santander,_Colombia_-_08_Jul_2026_-_Diferoch.jpg" TargetMode="External"/><Relationship Id="rId4426" Type="http://schemas.openxmlformats.org/officeDocument/2006/relationships/hyperlink" Target="https://upload.wikimedia.org/wikipedia/commons/5/50/Quinoa_florecida.jpg" TargetMode="External"/><Relationship Id="rId4425" Type="http://schemas.openxmlformats.org/officeDocument/2006/relationships/hyperlink" Target="https://maps.google.com/?q=4.172187,-74.146794" TargetMode="External"/><Relationship Id="rId4428" Type="http://schemas.openxmlformats.org/officeDocument/2006/relationships/hyperlink" Target="https://maps.google.com/?q=11.141678,-74.226280" TargetMode="External"/><Relationship Id="rId4427" Type="http://schemas.openxmlformats.org/officeDocument/2006/relationships/hyperlink" Target="https://commons.wikimedia.org/wiki/File:Quinoa_florecida.jpg" TargetMode="External"/><Relationship Id="rId4429" Type="http://schemas.openxmlformats.org/officeDocument/2006/relationships/hyperlink" Target="https://upload.wikimedia.org/wikipedia/commons/8/84/Quiscalus_mexicanus_peruvianus_-_Santa_Marta%2C_Magdalena%2C_Colombia_-_22_Jun_2025_-_Diferoch_-_1.jpg" TargetMode="External"/><Relationship Id="rId1390" Type="http://schemas.openxmlformats.org/officeDocument/2006/relationships/hyperlink" Target="https://upload.wikimedia.org/wikipedia/commons/d/d7/Coragyps_atratus_en_entorno_urbano_de_disposici%C3%B3n_de_residuos_en_Pasto%2C_Nari%C3%B1o.jpg" TargetMode="External"/><Relationship Id="rId1391" Type="http://schemas.openxmlformats.org/officeDocument/2006/relationships/hyperlink" Target="https://commons.wikimedia.org/wiki/File:Coragyps_atratus_en_entorno_urbano_de_disposici%C3%B3n_de_residuos_en_Pasto,_Nari%C3%B1o.jpg" TargetMode="External"/><Relationship Id="rId1392" Type="http://schemas.openxmlformats.org/officeDocument/2006/relationships/hyperlink" Target="https://upload.wikimedia.org/wikipedia/commons/3/39/Coraz%C3%B3n_de_Luz.png" TargetMode="External"/><Relationship Id="rId1393" Type="http://schemas.openxmlformats.org/officeDocument/2006/relationships/hyperlink" Target="https://commons.wikimedia.org/wiki/File:Coraz%C3%B3n_de_Luz.png" TargetMode="External"/><Relationship Id="rId1394" Type="http://schemas.openxmlformats.org/officeDocument/2006/relationships/hyperlink" Target="https://upload.wikimedia.org/wikipedia/commons/4/4e/Cordillera_Central_Quindio-Tolima.jpg" TargetMode="External"/><Relationship Id="rId4420" Type="http://schemas.openxmlformats.org/officeDocument/2006/relationships/hyperlink" Target="https://commons.wikimedia.org/wiki/File:Quetzal_Colinegro_(Pharomachrus_auriceps)_canta_en_una_rama_de_un_%C3%A1rbol.jpg" TargetMode="External"/><Relationship Id="rId1395" Type="http://schemas.openxmlformats.org/officeDocument/2006/relationships/hyperlink" Target="https://commons.wikimedia.org/wiki/File:Cordillera_Central_Quindio-Tolima.jpg" TargetMode="External"/><Relationship Id="rId1396" Type="http://schemas.openxmlformats.org/officeDocument/2006/relationships/hyperlink" Target="https://upload.wikimedia.org/wikipedia/commons/7/7e/Cordillera_de_sumapaz.jpg" TargetMode="External"/><Relationship Id="rId4422" Type="http://schemas.openxmlformats.org/officeDocument/2006/relationships/hyperlink" Target="https://commons.wikimedia.org/wiki/File:Quetzal_Colinegro_(Pharomachrus_auriceps)_se_percha_en_una_rama.jpg" TargetMode="External"/><Relationship Id="rId1397" Type="http://schemas.openxmlformats.org/officeDocument/2006/relationships/hyperlink" Target="https://commons.wikimedia.org/wiki/File:Cordillera_de_sumapaz.jpg" TargetMode="External"/><Relationship Id="rId4421" Type="http://schemas.openxmlformats.org/officeDocument/2006/relationships/hyperlink" Target="https://upload.wikimedia.org/wikipedia/commons/f/fc/Quetzal_Colinegro_%28Pharomachrus_auriceps%29_se_percha_en_una_rama.jpg" TargetMode="External"/><Relationship Id="rId1398" Type="http://schemas.openxmlformats.org/officeDocument/2006/relationships/hyperlink" Target="https://maps.google.com/?q=5.029400,-74.327600" TargetMode="External"/><Relationship Id="rId4424" Type="http://schemas.openxmlformats.org/officeDocument/2006/relationships/hyperlink" Target="https://commons.wikimedia.org/wiki/File:Quetzal_Colinegro_(Pharomachrus_auriceps)_vuela_hacia_su_nido.jpg" TargetMode="External"/><Relationship Id="rId1399" Type="http://schemas.openxmlformats.org/officeDocument/2006/relationships/hyperlink" Target="https://upload.wikimedia.org/wikipedia/commons/f/f3/Cormor%C3%A1n_Neotropical-_Nannopterum_brasilianum-Laguna_El_Tabacal_La_Vega.jpg" TargetMode="External"/><Relationship Id="rId4423" Type="http://schemas.openxmlformats.org/officeDocument/2006/relationships/hyperlink" Target="https://upload.wikimedia.org/wikipedia/commons/c/c8/Quetzal_Colinegro_%28Pharomachrus_auriceps%29_vuela_hacia_su_nido.jpg" TargetMode="External"/><Relationship Id="rId1389" Type="http://schemas.openxmlformats.org/officeDocument/2006/relationships/hyperlink" Target="https://commons.wikimedia.org/wiki/File:Coragyps_atratus_brasiliensis_-_Nuqu%C3%AD,_Choc%C3%B3,_Colombia_-_23_Oct_2025_-_Diferoch_-_3.jpg" TargetMode="External"/><Relationship Id="rId4415" Type="http://schemas.openxmlformats.org/officeDocument/2006/relationships/hyperlink" Target="https://upload.wikimedia.org/wikipedia/commons/1/14/Quebrada_valencia_santa_marta.jpg" TargetMode="External"/><Relationship Id="rId4414" Type="http://schemas.openxmlformats.org/officeDocument/2006/relationships/hyperlink" Target="https://commons.wikimedia.org/wiki/File:Quebrada_del_Sol_PNN_Cahuinari_AutorJuanAntonioLievanoAlzate_01.jpg" TargetMode="External"/><Relationship Id="rId4417" Type="http://schemas.openxmlformats.org/officeDocument/2006/relationships/hyperlink" Target="https://upload.wikimedia.org/wikipedia/commons/f/f3/Quetzal_Colinegro_%28Pharomachrus_auriceps%29.jpg" TargetMode="External"/><Relationship Id="rId4416" Type="http://schemas.openxmlformats.org/officeDocument/2006/relationships/hyperlink" Target="https://commons.wikimedia.org/wiki/File:Quebrada_valencia_santa_marta.jpg" TargetMode="External"/><Relationship Id="rId4419" Type="http://schemas.openxmlformats.org/officeDocument/2006/relationships/hyperlink" Target="https://upload.wikimedia.org/wikipedia/commons/6/6c/Quetzal_Colinegro_%28Pharomachrus_auriceps%29_canta_en_una_rama_de_un_%C3%A1rbol.jpg" TargetMode="External"/><Relationship Id="rId4418" Type="http://schemas.openxmlformats.org/officeDocument/2006/relationships/hyperlink" Target="https://commons.wikimedia.org/wiki/File:Quetzal_Colinegro_(Pharomachrus_auriceps).jpg" TargetMode="External"/><Relationship Id="rId799" Type="http://schemas.openxmlformats.org/officeDocument/2006/relationships/hyperlink" Target="https://commons.wikimedia.org/wiki/File:B%C3%B3veda_celeste_profunda_en_el_desierto_de_la_Tatacoa.jpg" TargetMode="External"/><Relationship Id="rId798" Type="http://schemas.openxmlformats.org/officeDocument/2006/relationships/hyperlink" Target="https://upload.wikimedia.org/wikipedia/commons/9/99/B%C3%B3veda_celeste_profunda_en_el_desierto_de_la_Tatacoa.jpg" TargetMode="External"/><Relationship Id="rId797" Type="http://schemas.openxmlformats.org/officeDocument/2006/relationships/hyperlink" Target="https://commons.wikimedia.org/wiki/File:Bye-chat-nutella.gif" TargetMode="External"/><Relationship Id="rId1380" Type="http://schemas.openxmlformats.org/officeDocument/2006/relationships/hyperlink" Target="https://commons.wikimedia.org/wiki/File:Coragyps_atratus_brasiliensis_-_Nuqu%C3%AD,_Choc%C3%B3,_Colombia_-_21_Oct_2025_-_Diferoch_-_2.jpg" TargetMode="External"/><Relationship Id="rId792" Type="http://schemas.openxmlformats.org/officeDocument/2006/relationships/hyperlink" Target="https://commons.wikimedia.org/wiki/File:Burro_Colombiano.jpg" TargetMode="External"/><Relationship Id="rId1381" Type="http://schemas.openxmlformats.org/officeDocument/2006/relationships/hyperlink" Target="https://maps.google.com/?q=5.624478,-77.421250" TargetMode="External"/><Relationship Id="rId791" Type="http://schemas.openxmlformats.org/officeDocument/2006/relationships/hyperlink" Target="https://upload.wikimedia.org/wikipedia/commons/0/08/Burro_Colombiano.jpg" TargetMode="External"/><Relationship Id="rId1382" Type="http://schemas.openxmlformats.org/officeDocument/2006/relationships/hyperlink" Target="https://upload.wikimedia.org/wikipedia/commons/9/9f/Coragyps_atratus_brasiliensis_-_Nuqu%C3%AD%2C_Choc%C3%B3%2C_Colombia_-_23_Oct_2025_-_Diferoch_-_1.jpg" TargetMode="External"/><Relationship Id="rId790" Type="http://schemas.openxmlformats.org/officeDocument/2006/relationships/hyperlink" Target="https://commons.wikimedia.org/wiki/File:Bumblebees_(Bombus_sp.)_on_a_Dahlia_flower_in_Paipa,_Boyac%C3%A1,_Colombia.jpg" TargetMode="External"/><Relationship Id="rId1383" Type="http://schemas.openxmlformats.org/officeDocument/2006/relationships/hyperlink" Target="https://commons.wikimedia.org/wiki/File:Coragyps_atratus_brasiliensis_-_Nuqu%C3%AD,_Choc%C3%B3,_Colombia_-_23_Oct_2025_-_Diferoch_-_1.jpg" TargetMode="External"/><Relationship Id="rId1384" Type="http://schemas.openxmlformats.org/officeDocument/2006/relationships/hyperlink" Target="https://maps.google.com/?q=5.624992,-77.420840" TargetMode="External"/><Relationship Id="rId796" Type="http://schemas.openxmlformats.org/officeDocument/2006/relationships/hyperlink" Target="https://upload.wikimedia.org/wikipedia/commons/6/6d/Bye-chat-nutella.gif" TargetMode="External"/><Relationship Id="rId1385" Type="http://schemas.openxmlformats.org/officeDocument/2006/relationships/hyperlink" Target="https://upload.wikimedia.org/wikipedia/commons/c/cb/Coragyps_atratus_brasiliensis_-_Nuqu%C3%AD%2C_Choc%C3%B3%2C_Colombia_-_23_Oct_2025_-_Diferoch_-_2.jpg" TargetMode="External"/><Relationship Id="rId4411" Type="http://schemas.openxmlformats.org/officeDocument/2006/relationships/hyperlink" Target="https://upload.wikimedia.org/wikipedia/commons/3/3d/Quebadas_el_tambo.jpg" TargetMode="External"/><Relationship Id="rId795" Type="http://schemas.openxmlformats.org/officeDocument/2006/relationships/hyperlink" Target="https://commons.wikimedia.org/wiki/File:Buscando_amor_-_PNN_Cueva_de_los_Guacharos_(PRIMER_PLANO).jpg" TargetMode="External"/><Relationship Id="rId1386" Type="http://schemas.openxmlformats.org/officeDocument/2006/relationships/hyperlink" Target="https://commons.wikimedia.org/wiki/File:Coragyps_atratus_brasiliensis_-_Nuqu%C3%AD,_Choc%C3%B3,_Colombia_-_23_Oct_2025_-_Diferoch_-_2.jpg" TargetMode="External"/><Relationship Id="rId4410" Type="http://schemas.openxmlformats.org/officeDocument/2006/relationships/hyperlink" Target="https://commons.wikimedia.org/wiki/File:P%C3%A9guela_amiga.jpg" TargetMode="External"/><Relationship Id="rId794" Type="http://schemas.openxmlformats.org/officeDocument/2006/relationships/hyperlink" Target="https://upload.wikimedia.org/wikipedia/commons/9/96/Buscando_amor_-_PNN_Cueva_de_los_Guacharos_%28PRIMER_PLANO%29.jpg" TargetMode="External"/><Relationship Id="rId1387" Type="http://schemas.openxmlformats.org/officeDocument/2006/relationships/hyperlink" Target="https://maps.google.com/?q=5.624992,-77.420840" TargetMode="External"/><Relationship Id="rId4413" Type="http://schemas.openxmlformats.org/officeDocument/2006/relationships/hyperlink" Target="https://upload.wikimedia.org/wikipedia/commons/1/16/Quebrada_del_Sol_PNN_Cahuinari_AutorJuanAntonioLievanoAlzate_01.jpg" TargetMode="External"/><Relationship Id="rId793" Type="http://schemas.openxmlformats.org/officeDocument/2006/relationships/hyperlink" Target="https://maps.google.com/?q=1.615202,-76.102569" TargetMode="External"/><Relationship Id="rId1388" Type="http://schemas.openxmlformats.org/officeDocument/2006/relationships/hyperlink" Target="https://upload.wikimedia.org/wikipedia/commons/8/83/Coragyps_atratus_brasiliensis_-_Nuqu%C3%AD%2C_Choc%C3%B3%2C_Colombia_-_23_Oct_2025_-_Diferoch_-_3.jpg" TargetMode="External"/><Relationship Id="rId4412" Type="http://schemas.openxmlformats.org/officeDocument/2006/relationships/hyperlink" Target="https://commons.wikimedia.org/wiki/File:Quebadas_el_tambo.jpg" TargetMode="External"/><Relationship Id="rId3191" Type="http://schemas.openxmlformats.org/officeDocument/2006/relationships/hyperlink" Target="https://commons.wikimedia.org/wiki/File:MAGDALENAJT20260208_0092.jpg" TargetMode="External"/><Relationship Id="rId3190" Type="http://schemas.openxmlformats.org/officeDocument/2006/relationships/hyperlink" Target="https://upload.wikimedia.org/wikipedia/commons/3/31/MAGDALENAJT20260208_0092.jpg" TargetMode="External"/><Relationship Id="rId3193" Type="http://schemas.openxmlformats.org/officeDocument/2006/relationships/hyperlink" Target="https://commons.wikimedia.org/wiki/File:Macarenia_Clavigera-Parque_Nacional_Natural_Sierra_de_la_Macarena-Colombia-1.jpg" TargetMode="External"/><Relationship Id="rId3192" Type="http://schemas.openxmlformats.org/officeDocument/2006/relationships/hyperlink" Target="https://upload.wikimedia.org/wikipedia/commons/4/4e/Macarenia_Clavigera-Parque_Nacional_Natural_Sierra_de_la_Macarena-Colombia-1.jpg" TargetMode="External"/><Relationship Id="rId3195" Type="http://schemas.openxmlformats.org/officeDocument/2006/relationships/hyperlink" Target="https://commons.wikimedia.org/wiki/File:Macarenia_Clavigera-Parque_Nacional_Natural_Sierra_de_la_Macarena-Colombia-2.jpg" TargetMode="External"/><Relationship Id="rId3194" Type="http://schemas.openxmlformats.org/officeDocument/2006/relationships/hyperlink" Target="https://upload.wikimedia.org/wikipedia/commons/d/d2/Macarenia_Clavigera-Parque_Nacional_Natural_Sierra_de_la_Macarena-Colombia-2.jpg" TargetMode="External"/><Relationship Id="rId3197" Type="http://schemas.openxmlformats.org/officeDocument/2006/relationships/hyperlink" Target="https://commons.wikimedia.org/wiki/File:Macarenia_Clavigera-Parque_Nacional_Natural_Sierra_de_la_Macarena-Colombia-3.jpg" TargetMode="External"/><Relationship Id="rId3196" Type="http://schemas.openxmlformats.org/officeDocument/2006/relationships/hyperlink" Target="https://upload.wikimedia.org/wikipedia/commons/3/3d/Macarenia_Clavigera-Parque_Nacional_Natural_Sierra_de_la_Macarena-Colombia-3.jpg" TargetMode="External"/><Relationship Id="rId3199" Type="http://schemas.openxmlformats.org/officeDocument/2006/relationships/hyperlink" Target="https://commons.wikimedia.org/wiki/File:Macarenia_Clavigera-Parque_Nacional_Natural_Sierra_de_la_Macarena-Colombia-4.jpg" TargetMode="External"/><Relationship Id="rId3198" Type="http://schemas.openxmlformats.org/officeDocument/2006/relationships/hyperlink" Target="https://upload.wikimedia.org/wikipedia/commons/2/23/Macarenia_Clavigera-Parque_Nacional_Natural_Sierra_de_la_Macarena-Colombia-4.jpg" TargetMode="External"/><Relationship Id="rId3180" Type="http://schemas.openxmlformats.org/officeDocument/2006/relationships/hyperlink" Target="https://upload.wikimedia.org/wikipedia/commons/9/9c/Los_pintos.jpg" TargetMode="External"/><Relationship Id="rId3182" Type="http://schemas.openxmlformats.org/officeDocument/2006/relationships/hyperlink" Target="https://upload.wikimedia.org/wikipedia/commons/e/e6/Los_sabanales%2C_C%C3%B3rdoba_y_Sucre.jpg" TargetMode="External"/><Relationship Id="rId3181" Type="http://schemas.openxmlformats.org/officeDocument/2006/relationships/hyperlink" Target="https://commons.wikimedia.org/wiki/File:Los_pintos.jpg" TargetMode="External"/><Relationship Id="rId3184" Type="http://schemas.openxmlformats.org/officeDocument/2006/relationships/hyperlink" Target="https://upload.wikimedia.org/wikipedia/commons/d/d3/Los_%C3%A1rboles_son_vida.jpg" TargetMode="External"/><Relationship Id="rId3183" Type="http://schemas.openxmlformats.org/officeDocument/2006/relationships/hyperlink" Target="https://commons.wikimedia.org/wiki/File:Los_sabanales,_C%C3%B3rdoba_y_Sucre.jpg" TargetMode="External"/><Relationship Id="rId3186" Type="http://schemas.openxmlformats.org/officeDocument/2006/relationships/hyperlink" Target="https://upload.wikimedia.org/wikipedia/commons/2/22/Luzhuila_16.jpg" TargetMode="External"/><Relationship Id="rId3185" Type="http://schemas.openxmlformats.org/officeDocument/2006/relationships/hyperlink" Target="https://commons.wikimedia.org/wiki/File:Los_%C3%A1rboles_son_vida.jpg" TargetMode="External"/><Relationship Id="rId3188" Type="http://schemas.openxmlformats.org/officeDocument/2006/relationships/hyperlink" Target="https://upload.wikimedia.org/wikipedia/commons/c/c2/L%C3%ADquenes_20260529_103817.jpg" TargetMode="External"/><Relationship Id="rId3187" Type="http://schemas.openxmlformats.org/officeDocument/2006/relationships/hyperlink" Target="https://commons.wikimedia.org/wiki/File:Luzhuila_16.jpg" TargetMode="External"/><Relationship Id="rId3189" Type="http://schemas.openxmlformats.org/officeDocument/2006/relationships/hyperlink" Target="https://commons.wikimedia.org/wiki/File:L%C3%ADquenes_20260529_103817.jpg" TargetMode="External"/><Relationship Id="rId4480" Type="http://schemas.openxmlformats.org/officeDocument/2006/relationships/hyperlink" Target="https://commons.wikimedia.org/wiki/File:Rana_Rub%C3%AD_(64246).jpg" TargetMode="External"/><Relationship Id="rId3151" Type="http://schemas.openxmlformats.org/officeDocument/2006/relationships/hyperlink" Target="https://upload.wikimedia.org/wikipedia/commons/4/4e/Lizard_on_Island.jpg" TargetMode="External"/><Relationship Id="rId4482" Type="http://schemas.openxmlformats.org/officeDocument/2006/relationships/hyperlink" Target="https://commons.wikimedia.org/wiki/File:Rana_Sabanera_sobre_helechos_2026.jpg" TargetMode="External"/><Relationship Id="rId3150" Type="http://schemas.openxmlformats.org/officeDocument/2006/relationships/hyperlink" Target="https://commons.wikimedia.org/wiki/File:Liriope_(Liriope_muscari).jpg" TargetMode="External"/><Relationship Id="rId4481" Type="http://schemas.openxmlformats.org/officeDocument/2006/relationships/hyperlink" Target="https://upload.wikimedia.org/wikipedia/commons/c/c6/Rana_Sabanera_sobre_helechos_2026.jpg" TargetMode="External"/><Relationship Id="rId3153" Type="http://schemas.openxmlformats.org/officeDocument/2006/relationships/hyperlink" Target="https://upload.wikimedia.org/wikipedia/commons/b/be/Llanos_Orientales_-_Arroz.jpg" TargetMode="External"/><Relationship Id="rId4484" Type="http://schemas.openxmlformats.org/officeDocument/2006/relationships/hyperlink" Target="https://upload.wikimedia.org/wikipedia/commons/e/ee/Rana_arboricola_Scinax.jpg" TargetMode="External"/><Relationship Id="rId3152" Type="http://schemas.openxmlformats.org/officeDocument/2006/relationships/hyperlink" Target="https://commons.wikimedia.org/wiki/File:Lizard_on_Island.jpg" TargetMode="External"/><Relationship Id="rId4483" Type="http://schemas.openxmlformats.org/officeDocument/2006/relationships/hyperlink" Target="https://maps.google.com/?q=4.563949,-74.526271" TargetMode="External"/><Relationship Id="rId3155" Type="http://schemas.openxmlformats.org/officeDocument/2006/relationships/hyperlink" Target="https://maps.google.com/?q=6.242735,-75.550751" TargetMode="External"/><Relationship Id="rId4486" Type="http://schemas.openxmlformats.org/officeDocument/2006/relationships/hyperlink" Target="https://upload.wikimedia.org/wikipedia/commons/6/68/Rana_blanca.jpg" TargetMode="External"/><Relationship Id="rId3154" Type="http://schemas.openxmlformats.org/officeDocument/2006/relationships/hyperlink" Target="https://commons.wikimedia.org/wiki/File:Llanos_Orientales_-_Arroz.jpg" TargetMode="External"/><Relationship Id="rId4485" Type="http://schemas.openxmlformats.org/officeDocument/2006/relationships/hyperlink" Target="https://commons.wikimedia.org/wiki/File:Rana_arboricola_Scinax.jpg" TargetMode="External"/><Relationship Id="rId3157" Type="http://schemas.openxmlformats.org/officeDocument/2006/relationships/hyperlink" Target="https://commons.wikimedia.org/wiki/File:Llevando_los_desechos1.jpg" TargetMode="External"/><Relationship Id="rId4488" Type="http://schemas.openxmlformats.org/officeDocument/2006/relationships/hyperlink" Target="https://upload.wikimedia.org/wikipedia/commons/e/e9/Rana_boana_Pandi.jpg" TargetMode="External"/><Relationship Id="rId3156" Type="http://schemas.openxmlformats.org/officeDocument/2006/relationships/hyperlink" Target="https://upload.wikimedia.org/wikipedia/commons/3/34/Llevando_los_desechos1.jpg" TargetMode="External"/><Relationship Id="rId4487" Type="http://schemas.openxmlformats.org/officeDocument/2006/relationships/hyperlink" Target="https://commons.wikimedia.org/wiki/File:Rana_blanca.jpg" TargetMode="External"/><Relationship Id="rId3159" Type="http://schemas.openxmlformats.org/officeDocument/2006/relationships/hyperlink" Target="https://commons.wikimedia.org/wiki/File:Lluvia_sobre_el_Jard%C3%ADn_Bot%C3%A1nico.jpg" TargetMode="External"/><Relationship Id="rId3158" Type="http://schemas.openxmlformats.org/officeDocument/2006/relationships/hyperlink" Target="https://upload.wikimedia.org/wikipedia/commons/f/f3/Lluvia_sobre_el_Jard%C3%ADn_Bot%C3%A1nico.jpg" TargetMode="External"/><Relationship Id="rId4489" Type="http://schemas.openxmlformats.org/officeDocument/2006/relationships/hyperlink" Target="https://commons.wikimedia.org/wiki/File:Rana_boana_Pandi.jpg" TargetMode="External"/><Relationship Id="rId3149" Type="http://schemas.openxmlformats.org/officeDocument/2006/relationships/hyperlink" Target="https://upload.wikimedia.org/wikipedia/commons/4/4b/Liriope_%28Liriope_muscari%29.jpg" TargetMode="External"/><Relationship Id="rId3140" Type="http://schemas.openxmlformats.org/officeDocument/2006/relationships/hyperlink" Target="https://upload.wikimedia.org/wikipedia/commons/1/17/Liquenes_en_una_rama.jpg" TargetMode="External"/><Relationship Id="rId4471" Type="http://schemas.openxmlformats.org/officeDocument/2006/relationships/hyperlink" Target="https://commons.wikimedia.org/wiki/File:Rana_Rub%C3%AD_(54775).jpg" TargetMode="External"/><Relationship Id="rId4470" Type="http://schemas.openxmlformats.org/officeDocument/2006/relationships/hyperlink" Target="https://upload.wikimedia.org/wikipedia/commons/5/57/Rana_Rub%C3%AD_%2854775%29.jpg" TargetMode="External"/><Relationship Id="rId3142" Type="http://schemas.openxmlformats.org/officeDocument/2006/relationships/hyperlink" Target="https://maps.google.com/?q=4.172187,-74.146794" TargetMode="External"/><Relationship Id="rId4473" Type="http://schemas.openxmlformats.org/officeDocument/2006/relationships/hyperlink" Target="https://upload.wikimedia.org/wikipedia/commons/b/b1/Rana_Rub%C3%AD_%2855608%29.jpg" TargetMode="External"/><Relationship Id="rId3141" Type="http://schemas.openxmlformats.org/officeDocument/2006/relationships/hyperlink" Target="https://commons.wikimedia.org/wiki/File:Liquenes_en_una_rama.jpg" TargetMode="External"/><Relationship Id="rId4472" Type="http://schemas.openxmlformats.org/officeDocument/2006/relationships/hyperlink" Target="https://maps.google.com/?q=4.253054,-75.961495" TargetMode="External"/><Relationship Id="rId3144" Type="http://schemas.openxmlformats.org/officeDocument/2006/relationships/hyperlink" Target="https://commons.wikimedia.org/wiki/File:Liqu%C3%A9n_de_p%C3%A1ramo.jpg" TargetMode="External"/><Relationship Id="rId4475" Type="http://schemas.openxmlformats.org/officeDocument/2006/relationships/hyperlink" Target="https://maps.google.com/?q=4.261136,-75.949435" TargetMode="External"/><Relationship Id="rId3143" Type="http://schemas.openxmlformats.org/officeDocument/2006/relationships/hyperlink" Target="https://upload.wikimedia.org/wikipedia/commons/8/82/Liqu%C3%A9n_de_p%C3%A1ramo.jpg" TargetMode="External"/><Relationship Id="rId4474" Type="http://schemas.openxmlformats.org/officeDocument/2006/relationships/hyperlink" Target="https://commons.wikimedia.org/wiki/File:Rana_Rub%C3%AD_(55608).jpg" TargetMode="External"/><Relationship Id="rId3146" Type="http://schemas.openxmlformats.org/officeDocument/2006/relationships/hyperlink" Target="https://commons.wikimedia.org/wiki/File:Lirio_caminante.jpg" TargetMode="External"/><Relationship Id="rId4477" Type="http://schemas.openxmlformats.org/officeDocument/2006/relationships/hyperlink" Target="https://commons.wikimedia.org/wiki/File:Rana_Rub%C3%AD_(58777).jpg" TargetMode="External"/><Relationship Id="rId3145" Type="http://schemas.openxmlformats.org/officeDocument/2006/relationships/hyperlink" Target="https://upload.wikimedia.org/wikipedia/commons/8/8c/Lirio_caminante.jpg" TargetMode="External"/><Relationship Id="rId4476" Type="http://schemas.openxmlformats.org/officeDocument/2006/relationships/hyperlink" Target="https://upload.wikimedia.org/wikipedia/commons/a/a0/Rana_Rub%C3%AD_%2858777%29.jpg" TargetMode="External"/><Relationship Id="rId3148" Type="http://schemas.openxmlformats.org/officeDocument/2006/relationships/hyperlink" Target="https://commons.wikimedia.org/wiki/File:Lirio_de_quince_d%C3%ADas_(Dietes_bicolor).jpg" TargetMode="External"/><Relationship Id="rId4479" Type="http://schemas.openxmlformats.org/officeDocument/2006/relationships/hyperlink" Target="https://upload.wikimedia.org/wikipedia/commons/c/c5/Rana_Rub%C3%AD_%2864246%29.jpg" TargetMode="External"/><Relationship Id="rId3147" Type="http://schemas.openxmlformats.org/officeDocument/2006/relationships/hyperlink" Target="https://upload.wikimedia.org/wikipedia/commons/e/e0/Lirio_de_quince_d%C3%ADas_%28Dietes_bicolor%29.jpg" TargetMode="External"/><Relationship Id="rId4478" Type="http://schemas.openxmlformats.org/officeDocument/2006/relationships/hyperlink" Target="https://maps.google.com/?q=4.251154,-75.951812" TargetMode="External"/><Relationship Id="rId3171" Type="http://schemas.openxmlformats.org/officeDocument/2006/relationships/hyperlink" Target="https://commons.wikimedia.org/wiki/File:Loro_amazonico.jpg" TargetMode="External"/><Relationship Id="rId3170" Type="http://schemas.openxmlformats.org/officeDocument/2006/relationships/hyperlink" Target="https://upload.wikimedia.org/wikipedia/commons/a/a9/Loro_amazonico.jpg" TargetMode="External"/><Relationship Id="rId3173" Type="http://schemas.openxmlformats.org/officeDocument/2006/relationships/hyperlink" Target="https://upload.wikimedia.org/wikipedia/commons/1/18/Los_colores_del_PNN_Gorgona.jpg" TargetMode="External"/><Relationship Id="rId3172" Type="http://schemas.openxmlformats.org/officeDocument/2006/relationships/hyperlink" Target="https://maps.google.com/?q=2.938807,-78.207212" TargetMode="External"/><Relationship Id="rId3175" Type="http://schemas.openxmlformats.org/officeDocument/2006/relationships/hyperlink" Target="https://upload.wikimedia.org/wikipedia/commons/9/95/Los_lagos_de_Villa_de_Leyva_%28Boyac%C3%A1%29.jpg" TargetMode="External"/><Relationship Id="rId3174" Type="http://schemas.openxmlformats.org/officeDocument/2006/relationships/hyperlink" Target="https://commons.wikimedia.org/wiki/File:Los_colores_del_PNN_Gorgona.jpg" TargetMode="External"/><Relationship Id="rId3177" Type="http://schemas.openxmlformats.org/officeDocument/2006/relationships/hyperlink" Target="https://upload.wikimedia.org/wikipedia/commons/d/d9/Los_pescadores.jpg" TargetMode="External"/><Relationship Id="rId3176" Type="http://schemas.openxmlformats.org/officeDocument/2006/relationships/hyperlink" Target="https://commons.wikimedia.org/wiki/File:Los_lagos_de_Villa_de_Leyva_(Boyac%C3%A1).jpg" TargetMode="External"/><Relationship Id="rId3179" Type="http://schemas.openxmlformats.org/officeDocument/2006/relationships/hyperlink" Target="https://maps.google.com/?q=4.172187,-74.146794" TargetMode="External"/><Relationship Id="rId3178" Type="http://schemas.openxmlformats.org/officeDocument/2006/relationships/hyperlink" Target="https://commons.wikimedia.org/wiki/File:Los_pescadores.jpg" TargetMode="External"/><Relationship Id="rId3160" Type="http://schemas.openxmlformats.org/officeDocument/2006/relationships/hyperlink" Target="https://maps.google.com/?q=10.396081,-75.559639" TargetMode="External"/><Relationship Id="rId4491" Type="http://schemas.openxmlformats.org/officeDocument/2006/relationships/hyperlink" Target="https://upload.wikimedia.org/wikipedia/commons/a/ab/Rana_de_torrente_de_Palmer.jpg" TargetMode="External"/><Relationship Id="rId4490" Type="http://schemas.openxmlformats.org/officeDocument/2006/relationships/hyperlink" Target="https://maps.google.com/?q=5.862240,-74.870470" TargetMode="External"/><Relationship Id="rId3162" Type="http://schemas.openxmlformats.org/officeDocument/2006/relationships/hyperlink" Target="https://commons.wikimedia.org/wiki/File:Lo_que_nos_quedar%C3%A1.jpg" TargetMode="External"/><Relationship Id="rId4493" Type="http://schemas.openxmlformats.org/officeDocument/2006/relationships/hyperlink" Target="https://upload.wikimedia.org/wikipedia/commons/a/af/Rana_hormiguera_rayada_%28Lithodytes_lineatus%29_en_Puerto_L%C3%B3pez%2C_Meta%2C_Colombia.jpg" TargetMode="External"/><Relationship Id="rId3161" Type="http://schemas.openxmlformats.org/officeDocument/2006/relationships/hyperlink" Target="https://upload.wikimedia.org/wikipedia/commons/2/26/Lo_que_nos_quedar%C3%A1.jpg" TargetMode="External"/><Relationship Id="rId4492" Type="http://schemas.openxmlformats.org/officeDocument/2006/relationships/hyperlink" Target="https://commons.wikimedia.org/wiki/File:Rana_de_torrente_de_Palmer.jpg" TargetMode="External"/><Relationship Id="rId3164" Type="http://schemas.openxmlformats.org/officeDocument/2006/relationships/hyperlink" Target="https://commons.wikimedia.org/wiki/File:Localidad_de_sumapaz.jpg" TargetMode="External"/><Relationship Id="rId4495" Type="http://schemas.openxmlformats.org/officeDocument/2006/relationships/hyperlink" Target="https://upload.wikimedia.org/wikipedia/commons/2/2d/Rana_platanera_%28Boana_platanera%29_en_Casanare%2C_Colombia.jpg" TargetMode="External"/><Relationship Id="rId3163" Type="http://schemas.openxmlformats.org/officeDocument/2006/relationships/hyperlink" Target="https://upload.wikimedia.org/wikipedia/commons/1/1d/Localidad_de_sumapaz.jpg" TargetMode="External"/><Relationship Id="rId4494" Type="http://schemas.openxmlformats.org/officeDocument/2006/relationships/hyperlink" Target="https://commons.wikimedia.org/wiki/File:Rana_hormiguera_rayada_(Lithodytes_lineatus)_en_Puerto_L%C3%B3pez,_Meta,_Colombia.jpg" TargetMode="External"/><Relationship Id="rId3166" Type="http://schemas.openxmlformats.org/officeDocument/2006/relationships/hyperlink" Target="https://upload.wikimedia.org/wikipedia/commons/9/93/Long-tailed_sylph_%28Aglaiocercus_kingii_kingii%29_male_Caldas_3.jpg" TargetMode="External"/><Relationship Id="rId4497" Type="http://schemas.openxmlformats.org/officeDocument/2006/relationships/hyperlink" Target="https://maps.google.com/?q=4.272512,-75.934309" TargetMode="External"/><Relationship Id="rId3165" Type="http://schemas.openxmlformats.org/officeDocument/2006/relationships/hyperlink" Target="https://maps.google.com/?q=5.070000,-75.440000" TargetMode="External"/><Relationship Id="rId4496" Type="http://schemas.openxmlformats.org/officeDocument/2006/relationships/hyperlink" Target="https://commons.wikimedia.org/wiki/File:Rana_platanera_(Boana_platanera)_en_Casanare,_Colombia.jpg" TargetMode="External"/><Relationship Id="rId3168" Type="http://schemas.openxmlformats.org/officeDocument/2006/relationships/hyperlink" Target="https://upload.wikimedia.org/wikipedia/commons/1/1a/Lopezii.jpg" TargetMode="External"/><Relationship Id="rId4499" Type="http://schemas.openxmlformats.org/officeDocument/2006/relationships/hyperlink" Target="https://commons.wikimedia.org/wiki/File:Rana_rub%C3%AD_(34374).jpg" TargetMode="External"/><Relationship Id="rId3167" Type="http://schemas.openxmlformats.org/officeDocument/2006/relationships/hyperlink" Target="https://commons.wikimedia.org/wiki/File:Long-tailed_sylph_(Aglaiocercus_kingii_kingii)_male_Caldas_3.jpg" TargetMode="External"/><Relationship Id="rId4498" Type="http://schemas.openxmlformats.org/officeDocument/2006/relationships/hyperlink" Target="https://upload.wikimedia.org/wikipedia/commons/d/dc/Rana_rub%C3%AD_%2834374%29.jpg" TargetMode="External"/><Relationship Id="rId3169" Type="http://schemas.openxmlformats.org/officeDocument/2006/relationships/hyperlink" Target="https://commons.wikimedia.org/wiki/File:Lopezii.jpg" TargetMode="External"/><Relationship Id="rId2700" Type="http://schemas.openxmlformats.org/officeDocument/2006/relationships/hyperlink" Target="https://commons.wikimedia.org/wiki/File:Iguana_iguana_-_Barrancabermeja,_Santander,_Colombia_-_13_Jun_2025_-_Diferoch.jpg" TargetMode="External"/><Relationship Id="rId2701" Type="http://schemas.openxmlformats.org/officeDocument/2006/relationships/hyperlink" Target="https://maps.google.com/?q=7.084927,-73.864098" TargetMode="External"/><Relationship Id="rId2702" Type="http://schemas.openxmlformats.org/officeDocument/2006/relationships/hyperlink" Target="https://upload.wikimedia.org/wikipedia/commons/9/9e/Iguana_iguana_-_Barrancabermeja%2C_Santander%2C_Colombia_-_31_Dec_2025_-_Diferoch.jpg" TargetMode="External"/><Relationship Id="rId2703" Type="http://schemas.openxmlformats.org/officeDocument/2006/relationships/hyperlink" Target="https://commons.wikimedia.org/wiki/File:Iguana_iguana_-_Barrancabermeja,_Santander,_Colombia_-_31_Dec_2025_-_Diferoch.jpg" TargetMode="External"/><Relationship Id="rId2704" Type="http://schemas.openxmlformats.org/officeDocument/2006/relationships/hyperlink" Target="https://maps.google.com/?q=5.625004,-77.420867" TargetMode="External"/><Relationship Id="rId2705" Type="http://schemas.openxmlformats.org/officeDocument/2006/relationships/hyperlink" Target="https://upload.wikimedia.org/wikipedia/commons/9/96/Iguana_iguana_-_Nuqu%C3%AD%2C_Choc%C3%B3%2C_Colombia_-_22_Oct_2025_-_Diferoch.jpg" TargetMode="External"/><Relationship Id="rId2706" Type="http://schemas.openxmlformats.org/officeDocument/2006/relationships/hyperlink" Target="https://commons.wikimedia.org/wiki/File:Iguana_iguana_-_Nuqu%C3%AD,_Choc%C3%B3,_Colombia_-_22_Oct_2025_-_Diferoch.jpg" TargetMode="External"/><Relationship Id="rId2707" Type="http://schemas.openxmlformats.org/officeDocument/2006/relationships/hyperlink" Target="https://maps.google.com/?q=11.141683,-74.226281" TargetMode="External"/><Relationship Id="rId2708" Type="http://schemas.openxmlformats.org/officeDocument/2006/relationships/hyperlink" Target="https://upload.wikimedia.org/wikipedia/commons/1/17/Iguana_iguana_-_Santa_Marta%2C_Magdalena%2C_Colombia_-_26_Jun_2025_-_Diferoch.jpg" TargetMode="External"/><Relationship Id="rId2709" Type="http://schemas.openxmlformats.org/officeDocument/2006/relationships/hyperlink" Target="https://commons.wikimedia.org/wiki/File:Iguana_iguana_-_Santa_Marta,_Magdalena,_Colombia_-_26_Jun_2025_-_Diferoch.jpg" TargetMode="External"/><Relationship Id="rId2720" Type="http://schemas.openxmlformats.org/officeDocument/2006/relationships/hyperlink" Target="https://commons.wikimedia.org/wiki/File:Iguana_verde_buscando_alimentos_a_la_orilla_de_la_Quebrada.jpg" TargetMode="External"/><Relationship Id="rId2721" Type="http://schemas.openxmlformats.org/officeDocument/2006/relationships/hyperlink" Target="https://upload.wikimedia.org/wikipedia/commons/9/94/Iguana_verde_juvenil_%28Iguana_iguana%29_en_palmas_en_Villeta%2C_Cundinamarca.jpg" TargetMode="External"/><Relationship Id="rId2722" Type="http://schemas.openxmlformats.org/officeDocument/2006/relationships/hyperlink" Target="https://commons.wikimedia.org/wiki/File:Iguana_verde_juvenil_(Iguana_iguana)_en_palmas_en_Villeta,_Cundinamarca.jpg" TargetMode="External"/><Relationship Id="rId2723" Type="http://schemas.openxmlformats.org/officeDocument/2006/relationships/hyperlink" Target="https://maps.google.com/?q=4.574527,-74.293887" TargetMode="External"/><Relationship Id="rId2724" Type="http://schemas.openxmlformats.org/officeDocument/2006/relationships/hyperlink" Target="https://upload.wikimedia.org/wikipedia/commons/0/01/Impacto_hidrol%C3%B3gico_y_ambiental_en_el_Salto_del_Tequendama.jpg" TargetMode="External"/><Relationship Id="rId2725" Type="http://schemas.openxmlformats.org/officeDocument/2006/relationships/hyperlink" Target="https://commons.wikimedia.org/wiki/File:Impacto_hidrol%C3%B3gico_y_ambiental_en_el_Salto_del_Tequendama.jpg" TargetMode="External"/><Relationship Id="rId2726" Type="http://schemas.openxmlformats.org/officeDocument/2006/relationships/hyperlink" Target="https://maps.google.com/?q=4.669437,-74.097702" TargetMode="External"/><Relationship Id="rId2727" Type="http://schemas.openxmlformats.org/officeDocument/2006/relationships/hyperlink" Target="https://upload.wikimedia.org/wikipedia/commons/e/e0/Impatiens_marianae_-_Familia_Balsaminaceae.jpg" TargetMode="External"/><Relationship Id="rId2728" Type="http://schemas.openxmlformats.org/officeDocument/2006/relationships/hyperlink" Target="https://commons.wikimedia.org/wiki/File:Impatiens_marianae_-_Familia_Balsaminaceae.jpg" TargetMode="External"/><Relationship Id="rId2729" Type="http://schemas.openxmlformats.org/officeDocument/2006/relationships/hyperlink" Target="https://maps.google.com/?q=4.667750,-74.099944" TargetMode="External"/><Relationship Id="rId2710" Type="http://schemas.openxmlformats.org/officeDocument/2006/relationships/hyperlink" Target="https://upload.wikimedia.org/wikipedia/commons/9/9b/Iguana_on_Cannon_1.jpg" TargetMode="External"/><Relationship Id="rId2711" Type="http://schemas.openxmlformats.org/officeDocument/2006/relationships/hyperlink" Target="https://commons.wikimedia.org/wiki/File:Iguana_on_Cannon_1.jpg" TargetMode="External"/><Relationship Id="rId2712" Type="http://schemas.openxmlformats.org/officeDocument/2006/relationships/hyperlink" Target="https://upload.wikimedia.org/wikipedia/commons/9/96/Iguana_on_Cannon_2.jpg" TargetMode="External"/><Relationship Id="rId2713" Type="http://schemas.openxmlformats.org/officeDocument/2006/relationships/hyperlink" Target="https://commons.wikimedia.org/wiki/File:Iguana_on_Cannon_2.jpg" TargetMode="External"/><Relationship Id="rId2714" Type="http://schemas.openxmlformats.org/officeDocument/2006/relationships/hyperlink" Target="https://upload.wikimedia.org/wikipedia/commons/7/7b/Iguana_on_Cannon_3.jpg" TargetMode="External"/><Relationship Id="rId2715" Type="http://schemas.openxmlformats.org/officeDocument/2006/relationships/hyperlink" Target="https://commons.wikimedia.org/wiki/File:Iguana_on_Cannon_3.jpg" TargetMode="External"/><Relationship Id="rId2716" Type="http://schemas.openxmlformats.org/officeDocument/2006/relationships/hyperlink" Target="https://maps.google.com/?q=5.862240,-74.870470" TargetMode="External"/><Relationship Id="rId2717" Type="http://schemas.openxmlformats.org/officeDocument/2006/relationships/hyperlink" Target="https://upload.wikimedia.org/wikipedia/commons/a/a8/Iguana_verde_2026.jpg" TargetMode="External"/><Relationship Id="rId2718" Type="http://schemas.openxmlformats.org/officeDocument/2006/relationships/hyperlink" Target="https://commons.wikimedia.org/wiki/File:Iguana_verde_2026.jpg" TargetMode="External"/><Relationship Id="rId2719" Type="http://schemas.openxmlformats.org/officeDocument/2006/relationships/hyperlink" Target="https://upload.wikimedia.org/wikipedia/commons/f/fe/Iguana_verde_buscando_alimentos_a_la_orilla_de_la_Quebrada.jpg" TargetMode="External"/><Relationship Id="rId1455" Type="http://schemas.openxmlformats.org/officeDocument/2006/relationships/hyperlink" Target="https://commons.wikimedia.org/wiki/File:Cuando_la_cordillera_se_une_con_el_azul_de_la_bandera.jpg" TargetMode="External"/><Relationship Id="rId2786" Type="http://schemas.openxmlformats.org/officeDocument/2006/relationships/hyperlink" Target="https://commons.wikimedia.org/wiki/File:Invitaci%C3%B3n_a_la_Natuarleza.jpg" TargetMode="External"/><Relationship Id="rId1456" Type="http://schemas.openxmlformats.org/officeDocument/2006/relationships/hyperlink" Target="https://upload.wikimedia.org/wikipedia/commons/2/2e/Cucharo_%28Primulaceae%29.jpg" TargetMode="External"/><Relationship Id="rId2787" Type="http://schemas.openxmlformats.org/officeDocument/2006/relationships/hyperlink" Target="https://upload.wikimedia.org/wikipedia/commons/7/7e/Iris_africano_%28Dietes_bicolor%29.jpg" TargetMode="External"/><Relationship Id="rId1457" Type="http://schemas.openxmlformats.org/officeDocument/2006/relationships/hyperlink" Target="https://commons.wikimedia.org/wiki/File:Cucharo_(Primulaceae).jpg" TargetMode="External"/><Relationship Id="rId2788" Type="http://schemas.openxmlformats.org/officeDocument/2006/relationships/hyperlink" Target="https://commons.wikimedia.org/wiki/File:Iris_africano_(Dietes_bicolor).jpg" TargetMode="External"/><Relationship Id="rId1458" Type="http://schemas.openxmlformats.org/officeDocument/2006/relationships/hyperlink" Target="https://upload.wikimedia.org/wikipedia/commons/9/96/Cuchilla_de_San_Lorenzo%2C_Sierra_Nevada_de_Santa_Marta%2C_Magdalena%2C_Colombia.jpg" TargetMode="External"/><Relationship Id="rId2789" Type="http://schemas.openxmlformats.org/officeDocument/2006/relationships/hyperlink" Target="https://maps.google.com/?q=4.965657,-75.263083" TargetMode="External"/><Relationship Id="rId1459" Type="http://schemas.openxmlformats.org/officeDocument/2006/relationships/hyperlink" Target="https://commons.wikimedia.org/wiki/File:Cuchilla_de_San_Lorenzo,_Sierra_Nevada_de_Santa_Marta,_Magdalena,_Colombia.jpg" TargetMode="External"/><Relationship Id="rId629" Type="http://schemas.openxmlformats.org/officeDocument/2006/relationships/hyperlink" Target="https://upload.wikimedia.org/wikipedia/commons/3/39/Boa_constrictor_aliada_en_el_equilibrio_ecosistemico.jpg" TargetMode="External"/><Relationship Id="rId624" Type="http://schemas.openxmlformats.org/officeDocument/2006/relationships/hyperlink" Target="https://upload.wikimedia.org/wikipedia/commons/b/b4/Blood_on_the_snow.jpg" TargetMode="External"/><Relationship Id="rId623" Type="http://schemas.openxmlformats.org/officeDocument/2006/relationships/hyperlink" Target="https://maps.google.com/?q=7.016228,-73.107620" TargetMode="External"/><Relationship Id="rId622" Type="http://schemas.openxmlformats.org/officeDocument/2006/relationships/hyperlink" Target="https://commons.wikimedia.org/wiki/File:Blancaslunarhuila_09.jpg" TargetMode="External"/><Relationship Id="rId621" Type="http://schemas.openxmlformats.org/officeDocument/2006/relationships/hyperlink" Target="https://upload.wikimedia.org/wikipedia/commons/0/09/Blancaslunarhuila_09.jpg" TargetMode="External"/><Relationship Id="rId628" Type="http://schemas.openxmlformats.org/officeDocument/2006/relationships/hyperlink" Target="https://maps.google.com/?q=4.091467,-73.502273" TargetMode="External"/><Relationship Id="rId627" Type="http://schemas.openxmlformats.org/officeDocument/2006/relationships/hyperlink" Target="https://commons.wikimedia.org/wiki/File:Blue_damselfly_(Zygoptera)_on_dry_leave.jpg" TargetMode="External"/><Relationship Id="rId626" Type="http://schemas.openxmlformats.org/officeDocument/2006/relationships/hyperlink" Target="https://upload.wikimedia.org/wikipedia/commons/8/80/Blue_damselfly_%28Zygoptera%29_on_dry_leave.jpg" TargetMode="External"/><Relationship Id="rId625" Type="http://schemas.openxmlformats.org/officeDocument/2006/relationships/hyperlink" Target="https://commons.wikimedia.org/wiki/File:Blood_on_the_snow.jpg" TargetMode="External"/><Relationship Id="rId2780" Type="http://schemas.openxmlformats.org/officeDocument/2006/relationships/hyperlink" Target="https://commons.wikimedia.org/wiki/File:Insecto_posado_en_una_hoja.jpg" TargetMode="External"/><Relationship Id="rId1450" Type="http://schemas.openxmlformats.org/officeDocument/2006/relationships/hyperlink" Target="https://maps.google.com/?q=4.690000,-74.060000" TargetMode="External"/><Relationship Id="rId2781" Type="http://schemas.openxmlformats.org/officeDocument/2006/relationships/hyperlink" Target="https://upload.wikimedia.org/wikipedia/commons/c/c9/Interacci%C3%B3n_alimentaria_entre_individuos_de_Aulacorhynchus_albivitta_en_h%C3%A1bitat_boscoso.jpg" TargetMode="External"/><Relationship Id="rId620" Type="http://schemas.openxmlformats.org/officeDocument/2006/relationships/hyperlink" Target="https://commons.wikimedia.org/wiki/File:Blancashuila_01.jpg" TargetMode="External"/><Relationship Id="rId1451" Type="http://schemas.openxmlformats.org/officeDocument/2006/relationships/hyperlink" Target="https://upload.wikimedia.org/wikipedia/commons/8/80/Cr%C3%ADas_de_Colibr%C3%AD_coruscans_-_Colibr%C3%AD_chill%C3%B3n%2C_Bogot%C3%A1%2C_Colombia.jpg" TargetMode="External"/><Relationship Id="rId2782" Type="http://schemas.openxmlformats.org/officeDocument/2006/relationships/hyperlink" Target="https://commons.wikimedia.org/wiki/File:Interacci%C3%B3n_alimentaria_entre_individuos_de_Aulacorhynchus_albivitta_en_h%C3%A1bitat_boscoso.jpg" TargetMode="External"/><Relationship Id="rId1452" Type="http://schemas.openxmlformats.org/officeDocument/2006/relationships/hyperlink" Target="https://commons.wikimedia.org/wiki/File:Cr%C3%ADas_de_Colibr%C3%AD_coruscans_-_Colibr%C3%AD_chill%C3%B3n,_Bogot%C3%A1,_Colombia.jpg" TargetMode="External"/><Relationship Id="rId2783" Type="http://schemas.openxmlformats.org/officeDocument/2006/relationships/hyperlink" Target="https://upload.wikimedia.org/wikipedia/commons/e/ec/Inundaci%C3%B3n_Rio_Sin%C3%BA.jpg" TargetMode="External"/><Relationship Id="rId1453" Type="http://schemas.openxmlformats.org/officeDocument/2006/relationships/hyperlink" Target="https://maps.google.com/?q=2.936613,-78.205967" TargetMode="External"/><Relationship Id="rId2784" Type="http://schemas.openxmlformats.org/officeDocument/2006/relationships/hyperlink" Target="https://commons.wikimedia.org/wiki/File:Inundaci%C3%B3n_Rio_Sin%C3%BA.jpg" TargetMode="External"/><Relationship Id="rId1454" Type="http://schemas.openxmlformats.org/officeDocument/2006/relationships/hyperlink" Target="https://upload.wikimedia.org/wikipedia/commons/9/97/Cuando_la_cordillera_se_une_con_el_azul_de_la_bandera.jpg" TargetMode="External"/><Relationship Id="rId2785" Type="http://schemas.openxmlformats.org/officeDocument/2006/relationships/hyperlink" Target="https://upload.wikimedia.org/wikipedia/commons/3/3a/Invitaci%C3%B3n_a_la_Natuarleza.jpg" TargetMode="External"/><Relationship Id="rId1444" Type="http://schemas.openxmlformats.org/officeDocument/2006/relationships/hyperlink" Target="https://upload.wikimedia.org/wikipedia/commons/2/23/Cr%C3%A1ter_de_erupci%C3%B3n_de_Armero.jpg" TargetMode="External"/><Relationship Id="rId2775" Type="http://schemas.openxmlformats.org/officeDocument/2006/relationships/hyperlink" Target="https://upload.wikimedia.org/wikipedia/commons/0/04/Insecto_posado_en_un_helecho.jpg" TargetMode="External"/><Relationship Id="rId1445" Type="http://schemas.openxmlformats.org/officeDocument/2006/relationships/hyperlink" Target="https://commons.wikimedia.org/wiki/File:Cr%C3%A1ter_de_erupci%C3%B3n_de_Armero.jpg" TargetMode="External"/><Relationship Id="rId2776" Type="http://schemas.openxmlformats.org/officeDocument/2006/relationships/hyperlink" Target="https://commons.wikimedia.org/wiki/File:Insecto_posado_en_un_helecho.jpg" TargetMode="External"/><Relationship Id="rId1446" Type="http://schemas.openxmlformats.org/officeDocument/2006/relationships/hyperlink" Target="https://upload.wikimedia.org/wikipedia/commons/b/b2/Cr%C3%A1ter_del_Volc%C3%A1n_Purac%C3%A9.jpg" TargetMode="External"/><Relationship Id="rId2777" Type="http://schemas.openxmlformats.org/officeDocument/2006/relationships/hyperlink" Target="https://upload.wikimedia.org/wikipedia/commons/3/3f/Insecto_posado_en_una_flor.jpg" TargetMode="External"/><Relationship Id="rId1447" Type="http://schemas.openxmlformats.org/officeDocument/2006/relationships/hyperlink" Target="https://commons.wikimedia.org/wiki/File:Cr%C3%A1ter_del_Volc%C3%A1n_Purac%C3%A9.jpg" TargetMode="External"/><Relationship Id="rId2778" Type="http://schemas.openxmlformats.org/officeDocument/2006/relationships/hyperlink" Target="https://commons.wikimedia.org/wiki/File:Insecto_posado_en_una_flor.jpg" TargetMode="External"/><Relationship Id="rId1448" Type="http://schemas.openxmlformats.org/officeDocument/2006/relationships/hyperlink" Target="https://upload.wikimedia.org/wikipedia/commons/8/84/Cr%C3%ADa_de_pato_paramuno_%28Anas_andium%29_en_el_Parque_Nacional_Natural_Chingaza%2C_Colombia.jpg" TargetMode="External"/><Relationship Id="rId2779" Type="http://schemas.openxmlformats.org/officeDocument/2006/relationships/hyperlink" Target="https://upload.wikimedia.org/wikipedia/commons/e/e3/Insecto_posado_en_una_hoja.jpg" TargetMode="External"/><Relationship Id="rId1449" Type="http://schemas.openxmlformats.org/officeDocument/2006/relationships/hyperlink" Target="https://commons.wikimedia.org/wiki/File:Cr%C3%ADa_de_pato_paramuno_(Anas_andium)_en_el_Parque_Nacional_Natural_Chingaza,_Colombia.jpg" TargetMode="External"/><Relationship Id="rId619" Type="http://schemas.openxmlformats.org/officeDocument/2006/relationships/hyperlink" Target="https://upload.wikimedia.org/wikipedia/commons/8/80/Blancashuila_01.jpg" TargetMode="External"/><Relationship Id="rId618" Type="http://schemas.openxmlformats.org/officeDocument/2006/relationships/hyperlink" Target="https://commons.wikimedia.org/wiki/File:Blancahuila_08.jpg" TargetMode="External"/><Relationship Id="rId613" Type="http://schemas.openxmlformats.org/officeDocument/2006/relationships/hyperlink" Target="https://commons.wikimedia.org/wiki/File:Bird_Yellow.jpg" TargetMode="External"/><Relationship Id="rId612" Type="http://schemas.openxmlformats.org/officeDocument/2006/relationships/hyperlink" Target="https://upload.wikimedia.org/wikipedia/commons/4/4d/Bird_Yellow.jpg" TargetMode="External"/><Relationship Id="rId611" Type="http://schemas.openxmlformats.org/officeDocument/2006/relationships/hyperlink" Target="https://commons.wikimedia.org/wiki/File:Bienteveo.jpg" TargetMode="External"/><Relationship Id="rId610" Type="http://schemas.openxmlformats.org/officeDocument/2006/relationships/hyperlink" Target="https://upload.wikimedia.org/wikipedia/commons/4/49/Bienteveo.jpg" TargetMode="External"/><Relationship Id="rId617" Type="http://schemas.openxmlformats.org/officeDocument/2006/relationships/hyperlink" Target="https://upload.wikimedia.org/wikipedia/commons/3/3d/Blancahuila_08.jpg" TargetMode="External"/><Relationship Id="rId616" Type="http://schemas.openxmlformats.org/officeDocument/2006/relationships/hyperlink" Target="https://commons.wikimedia.org/wiki/File:Black-bellied_Whistling-Ducks-Pisingos.jpg" TargetMode="External"/><Relationship Id="rId615" Type="http://schemas.openxmlformats.org/officeDocument/2006/relationships/hyperlink" Target="https://upload.wikimedia.org/wikipedia/commons/8/8d/Black-bellied_Whistling-Ducks-Pisingos.jpg" TargetMode="External"/><Relationship Id="rId614" Type="http://schemas.openxmlformats.org/officeDocument/2006/relationships/hyperlink" Target="https://maps.google.com/?q=4.513160,-74.537920" TargetMode="External"/><Relationship Id="rId2770" Type="http://schemas.openxmlformats.org/officeDocument/2006/relationships/hyperlink" Target="https://commons.wikimedia.org/wiki/File:Insecto_en_una_hoja.jpg" TargetMode="External"/><Relationship Id="rId1440" Type="http://schemas.openxmlformats.org/officeDocument/2006/relationships/hyperlink" Target="https://upload.wikimedia.org/wikipedia/commons/2/23/Crisopa_verde_reposando_en_una_rama.jpg" TargetMode="External"/><Relationship Id="rId2771" Type="http://schemas.openxmlformats.org/officeDocument/2006/relationships/hyperlink" Target="https://upload.wikimedia.org/wikipedia/commons/c/c5/Insecto_posado.jpg" TargetMode="External"/><Relationship Id="rId1441" Type="http://schemas.openxmlformats.org/officeDocument/2006/relationships/hyperlink" Target="https://commons.wikimedia.org/wiki/File:Crisopa_verde_reposando_en_una_rama.jpg" TargetMode="External"/><Relationship Id="rId2772" Type="http://schemas.openxmlformats.org/officeDocument/2006/relationships/hyperlink" Target="https://commons.wikimedia.org/wiki/File:Insecto_posado.jpg" TargetMode="External"/><Relationship Id="rId1442" Type="http://schemas.openxmlformats.org/officeDocument/2006/relationships/hyperlink" Target="https://upload.wikimedia.org/wikipedia/commons/3/36/Crocosmia_20260529_091535.jpg" TargetMode="External"/><Relationship Id="rId2773" Type="http://schemas.openxmlformats.org/officeDocument/2006/relationships/hyperlink" Target="https://upload.wikimedia.org/wikipedia/commons/a/aa/Insecto_posado_en_hoja.jpg" TargetMode="External"/><Relationship Id="rId1443" Type="http://schemas.openxmlformats.org/officeDocument/2006/relationships/hyperlink" Target="https://commons.wikimedia.org/wiki/File:Crocosmia_20260529_091535.jpg" TargetMode="External"/><Relationship Id="rId2774" Type="http://schemas.openxmlformats.org/officeDocument/2006/relationships/hyperlink" Target="https://commons.wikimedia.org/wiki/File:Insecto_posado_en_hoja.jpg" TargetMode="External"/><Relationship Id="rId1477" Type="http://schemas.openxmlformats.org/officeDocument/2006/relationships/hyperlink" Target="https://upload.wikimedia.org/wikipedia/commons/1/10/Cuenca_Media_del_R%C3%ADo_In%C3%ADrida%2C_Guain%C3%ADa.jpg_05.jpg" TargetMode="External"/><Relationship Id="rId4503" Type="http://schemas.openxmlformats.org/officeDocument/2006/relationships/hyperlink" Target="https://commons.wikimedia.org/wiki/File:RANA_VENENOSA_VERDE_Y_NEGRA_EN_LA_SELVA_DEL_TAPON_DEL_DARIEN.jpg" TargetMode="External"/><Relationship Id="rId1478" Type="http://schemas.openxmlformats.org/officeDocument/2006/relationships/hyperlink" Target="https://commons.wikimedia.org/wiki/File:Cuenca_Media_del_R%C3%ADo_In%C3%ADrida,_Guain%C3%ADa.jpg_05.jpg" TargetMode="External"/><Relationship Id="rId4502" Type="http://schemas.openxmlformats.org/officeDocument/2006/relationships/hyperlink" Target="https://upload.wikimedia.org/wikipedia/commons/8/8f/RANA_VENENOSA_VERDE_Y_NEGRA_EN_LA_SELVA_DEL_TAPON_DEL_DARIEN.jpg" TargetMode="External"/><Relationship Id="rId1479" Type="http://schemas.openxmlformats.org/officeDocument/2006/relationships/hyperlink" Target="https://upload.wikimedia.org/wikipedia/commons/a/ac/Cuenca_Media_del_R%C3%ADo_In%C3%ADrida%2C_Guain%C3%ADa.jpg_06.jpg" TargetMode="External"/><Relationship Id="rId4505" Type="http://schemas.openxmlformats.org/officeDocument/2006/relationships/hyperlink" Target="https://commons.wikimedia.org/wiki/File:Rana_venenosa_de_Ruthven_(Colostethus_ruthveni)_camuflada_en_la_hojarasca_de_Minca,_Santa_Marta,_Colombia.jpg" TargetMode="External"/><Relationship Id="rId4504" Type="http://schemas.openxmlformats.org/officeDocument/2006/relationships/hyperlink" Target="https://upload.wikimedia.org/wikipedia/commons/8/82/Rana_venenosa_de_Ruthven_%28Colostethus_ruthveni%29_camuflada_en_la_hojarasca_de_Minca%2C_Santa_Marta%2C_Colombia.jpg" TargetMode="External"/><Relationship Id="rId4507" Type="http://schemas.openxmlformats.org/officeDocument/2006/relationships/hyperlink" Target="https://commons.wikimedia.org/wiki/File:Rana_venenosa_de_Ruthven_(Colostethus_ruthveni)_en_Minca,_Santa_Marta,_Colombia.jpg" TargetMode="External"/><Relationship Id="rId4506" Type="http://schemas.openxmlformats.org/officeDocument/2006/relationships/hyperlink" Target="https://upload.wikimedia.org/wikipedia/commons/1/10/Rana_venenosa_de_Ruthven_%28Colostethus_ruthveni%29_en_Minca%2C_Santa_Marta%2C_Colombia.jpg" TargetMode="External"/><Relationship Id="rId4509" Type="http://schemas.openxmlformats.org/officeDocument/2006/relationships/hyperlink" Target="https://commons.wikimedia.org/wiki/File:Ra%C3%ADz_monstera.jpg" TargetMode="External"/><Relationship Id="rId4508" Type="http://schemas.openxmlformats.org/officeDocument/2006/relationships/hyperlink" Target="https://upload.wikimedia.org/wikipedia/commons/8/8a/Ra%C3%ADz_monstera.jpg" TargetMode="External"/><Relationship Id="rId646" Type="http://schemas.openxmlformats.org/officeDocument/2006/relationships/hyperlink" Target="https://commons.wikimedia.org/wiki/File:Bolitoglossa_lozanoi_2026.jpg" TargetMode="External"/><Relationship Id="rId645" Type="http://schemas.openxmlformats.org/officeDocument/2006/relationships/hyperlink" Target="https://upload.wikimedia.org/wikipedia/commons/b/ba/Bolitoglossa_lozanoi_2026.jpg" TargetMode="External"/><Relationship Id="rId644" Type="http://schemas.openxmlformats.org/officeDocument/2006/relationships/hyperlink" Target="https://maps.google.com/?q=5.862240,-74.870470" TargetMode="External"/><Relationship Id="rId643" Type="http://schemas.openxmlformats.org/officeDocument/2006/relationships/hyperlink" Target="https://commons.wikimedia.org/wiki/File:Bolitoglossa_lozanoi_2026-2.jpg" TargetMode="External"/><Relationship Id="rId649" Type="http://schemas.openxmlformats.org/officeDocument/2006/relationships/hyperlink" Target="https://commons.wikimedia.org/wiki/File:Bombus_-_Bogot%C3%A1_D._C.,_Colombia_-_23_Aug_2025_-_Diferoch_-_1.jpg" TargetMode="External"/><Relationship Id="rId648" Type="http://schemas.openxmlformats.org/officeDocument/2006/relationships/hyperlink" Target="https://upload.wikimedia.org/wikipedia/commons/7/74/Bombus_-_Bogot%C3%A1_D._C.%2C_Colombia_-_23_Aug_2025_-_Diferoch_-_1.jpg" TargetMode="External"/><Relationship Id="rId647" Type="http://schemas.openxmlformats.org/officeDocument/2006/relationships/hyperlink" Target="https://maps.google.com/?q=4.599830,-74.063447" TargetMode="External"/><Relationship Id="rId1470" Type="http://schemas.openxmlformats.org/officeDocument/2006/relationships/hyperlink" Target="https://commons.wikimedia.org/wiki/File:Cuenca_Alta_y_Media_del_R%C3%ADo_In%C3%ADrida,_Guain%C3%ADa.jpg_01.jpg" TargetMode="External"/><Relationship Id="rId1471" Type="http://schemas.openxmlformats.org/officeDocument/2006/relationships/hyperlink" Target="https://upload.wikimedia.org/wikipedia/commons/c/c0/Cuenca_Media_del_R%C3%ADo_In%C3%ADrida%2C_Guain%C3%ADa.jpg_02.jpg" TargetMode="External"/><Relationship Id="rId1472" Type="http://schemas.openxmlformats.org/officeDocument/2006/relationships/hyperlink" Target="https://commons.wikimedia.org/wiki/File:Cuenca_Media_del_R%C3%ADo_In%C3%ADrida,_Guain%C3%ADa.jpg_02.jpg" TargetMode="External"/><Relationship Id="rId642" Type="http://schemas.openxmlformats.org/officeDocument/2006/relationships/hyperlink" Target="https://upload.wikimedia.org/wikipedia/commons/3/30/Bolitoglossa_lozanoi_2026-2.jpg" TargetMode="External"/><Relationship Id="rId1473" Type="http://schemas.openxmlformats.org/officeDocument/2006/relationships/hyperlink" Target="https://upload.wikimedia.org/wikipedia/commons/5/58/Cuenca_Media_del_R%C3%ADo_In%C3%ADrida%2C_Guain%C3%ADa.jpg_03.jpg" TargetMode="External"/><Relationship Id="rId641" Type="http://schemas.openxmlformats.org/officeDocument/2006/relationships/hyperlink" Target="https://maps.google.com/?q=5.862240,-74.870470" TargetMode="External"/><Relationship Id="rId1474" Type="http://schemas.openxmlformats.org/officeDocument/2006/relationships/hyperlink" Target="https://commons.wikimedia.org/wiki/File:Cuenca_Media_del_R%C3%ADo_In%C3%ADrida,_Guain%C3%ADa.jpg_03.jpg" TargetMode="External"/><Relationship Id="rId640" Type="http://schemas.openxmlformats.org/officeDocument/2006/relationships/hyperlink" Target="https://commons.wikimedia.org/wiki/File:Bogot%C3%A1_al_caer_la_tarde.jpg" TargetMode="External"/><Relationship Id="rId1475" Type="http://schemas.openxmlformats.org/officeDocument/2006/relationships/hyperlink" Target="https://upload.wikimedia.org/wikipedia/commons/5/51/Cuenca_Media_del_R%C3%ADo_In%C3%ADrida%2C_Guain%C3%ADa.jpg_04.jpg" TargetMode="External"/><Relationship Id="rId4501" Type="http://schemas.openxmlformats.org/officeDocument/2006/relationships/hyperlink" Target="https://commons.wikimedia.org/wiki/File:Rana_sabanera_(Dendropsophus_molitor)_sobre_un_residuo_pl%C3%A1stico_en_la_Reserva_Biol%C3%B3gica_Encenillo,_Colombia.jpg" TargetMode="External"/><Relationship Id="rId1476" Type="http://schemas.openxmlformats.org/officeDocument/2006/relationships/hyperlink" Target="https://commons.wikimedia.org/wiki/File:Cuenca_Media_del_R%C3%ADo_In%C3%ADrida,_Guain%C3%ADa.jpg_04.jpg" TargetMode="External"/><Relationship Id="rId4500" Type="http://schemas.openxmlformats.org/officeDocument/2006/relationships/hyperlink" Target="https://upload.wikimedia.org/wikipedia/commons/0/05/Rana_sabanera_%28Dendropsophus_molitor%29_sobre_un_residuo_pl%C3%A1stico_en_la_Reserva_Biol%C3%B3gica_Encenillo%2C_Colombia.jpg" TargetMode="External"/><Relationship Id="rId1466" Type="http://schemas.openxmlformats.org/officeDocument/2006/relationships/hyperlink" Target="https://upload.wikimedia.org/wikipedia/commons/7/77/Cuc%C3%BA_ardilla_se_posa_en_un_%C3%A1rbol.jpg" TargetMode="External"/><Relationship Id="rId2797" Type="http://schemas.openxmlformats.org/officeDocument/2006/relationships/hyperlink" Target="https://commons.wikimedia.org/wiki/File:Isla_pelicano_santa_marta.png" TargetMode="External"/><Relationship Id="rId1467" Type="http://schemas.openxmlformats.org/officeDocument/2006/relationships/hyperlink" Target="https://commons.wikimedia.org/wiki/File:Cuc%C3%BA_ardilla_se_posa_en_un_%C3%A1rbol.jpg" TargetMode="External"/><Relationship Id="rId2798" Type="http://schemas.openxmlformats.org/officeDocument/2006/relationships/hyperlink" Target="https://upload.wikimedia.org/wikipedia/commons/b/b1/Jacaranda_mimosifolia_Cachipay.jpg" TargetMode="External"/><Relationship Id="rId1468" Type="http://schemas.openxmlformats.org/officeDocument/2006/relationships/hyperlink" Target="https://maps.google.com/?q=2.263333,-69.918611" TargetMode="External"/><Relationship Id="rId2799" Type="http://schemas.openxmlformats.org/officeDocument/2006/relationships/hyperlink" Target="https://commons.wikimedia.org/wiki/File:Jacaranda_mimosifolia_Cachipay.jpg" TargetMode="External"/><Relationship Id="rId1469" Type="http://schemas.openxmlformats.org/officeDocument/2006/relationships/hyperlink" Target="https://upload.wikimedia.org/wikipedia/commons/7/70/Cuenca_Alta_y_Media_del_R%C3%ADo_In%C3%ADrida%2C_Guain%C3%ADa.jpg_01.jpg" TargetMode="External"/><Relationship Id="rId635" Type="http://schemas.openxmlformats.org/officeDocument/2006/relationships/hyperlink" Target="https://upload.wikimedia.org/wikipedia/commons/7/72/Boana_boans_2026.jpg" TargetMode="External"/><Relationship Id="rId634" Type="http://schemas.openxmlformats.org/officeDocument/2006/relationships/hyperlink" Target="https://maps.google.com/?q=5.862240,-74.870470" TargetMode="External"/><Relationship Id="rId633" Type="http://schemas.openxmlformats.org/officeDocument/2006/relationships/hyperlink" Target="https://commons.wikimedia.org/wiki/File:Boa_constrictor_de_la_Orinoquia.jpg" TargetMode="External"/><Relationship Id="rId632" Type="http://schemas.openxmlformats.org/officeDocument/2006/relationships/hyperlink" Target="https://upload.wikimedia.org/wikipedia/commons/4/46/Boa_constrictor_de_la_Orinoquia.jpg" TargetMode="External"/><Relationship Id="rId639" Type="http://schemas.openxmlformats.org/officeDocument/2006/relationships/hyperlink" Target="https://upload.wikimedia.org/wikipedia/commons/9/9e/Bogot%C3%A1_al_caer_la_tarde.jpg" TargetMode="External"/><Relationship Id="rId638" Type="http://schemas.openxmlformats.org/officeDocument/2006/relationships/hyperlink" Target="https://commons.wikimedia.org/wiki/File:Boats_in_Playaca.jpg" TargetMode="External"/><Relationship Id="rId637" Type="http://schemas.openxmlformats.org/officeDocument/2006/relationships/hyperlink" Target="https://upload.wikimedia.org/wikipedia/commons/6/69/Boats_in_Playaca.jpg" TargetMode="External"/><Relationship Id="rId636" Type="http://schemas.openxmlformats.org/officeDocument/2006/relationships/hyperlink" Target="https://commons.wikimedia.org/wiki/File:Boana_boans_2026.jpg" TargetMode="External"/><Relationship Id="rId2790" Type="http://schemas.openxmlformats.org/officeDocument/2006/relationships/hyperlink" Target="https://upload.wikimedia.org/wikipedia/commons/1/18/Iris_caminante.jpg" TargetMode="External"/><Relationship Id="rId1460" Type="http://schemas.openxmlformats.org/officeDocument/2006/relationships/hyperlink" Target="https://upload.wikimedia.org/wikipedia/commons/d/d9/Cuchillas_de_la_Oriental.jpg" TargetMode="External"/><Relationship Id="rId2791" Type="http://schemas.openxmlformats.org/officeDocument/2006/relationships/hyperlink" Target="https://commons.wikimedia.org/wiki/File:Iris_caminante.jpg" TargetMode="External"/><Relationship Id="rId1461" Type="http://schemas.openxmlformats.org/officeDocument/2006/relationships/hyperlink" Target="https://commons.wikimedia.org/wiki/File:Cuchillas_de_la_Oriental.jpg" TargetMode="External"/><Relationship Id="rId2792" Type="http://schemas.openxmlformats.org/officeDocument/2006/relationships/hyperlink" Target="https://maps.google.com/?q=4.864712,-74.040156" TargetMode="External"/><Relationship Id="rId631" Type="http://schemas.openxmlformats.org/officeDocument/2006/relationships/hyperlink" Target="https://maps.google.com/?q=4.091467,-73.502273" TargetMode="External"/><Relationship Id="rId1462" Type="http://schemas.openxmlformats.org/officeDocument/2006/relationships/hyperlink" Target="https://maps.google.com/?q=4.984594,-74.264242" TargetMode="External"/><Relationship Id="rId2793" Type="http://schemas.openxmlformats.org/officeDocument/2006/relationships/hyperlink" Target="https://upload.wikimedia.org/wikipedia/commons/e/ee/Iris_caminante_blanco.jpg" TargetMode="External"/><Relationship Id="rId630" Type="http://schemas.openxmlformats.org/officeDocument/2006/relationships/hyperlink" Target="https://commons.wikimedia.org/wiki/File:Boa_constrictor_aliada_en_el_equilibrio_ecosistemico.jpg" TargetMode="External"/><Relationship Id="rId1463" Type="http://schemas.openxmlformats.org/officeDocument/2006/relationships/hyperlink" Target="https://upload.wikimedia.org/wikipedia/commons/5/53/Cuc%C3%BA_ardilla.jpg" TargetMode="External"/><Relationship Id="rId2794" Type="http://schemas.openxmlformats.org/officeDocument/2006/relationships/hyperlink" Target="https://commons.wikimedia.org/wiki/File:Iris_caminante_blanco.jpg" TargetMode="External"/><Relationship Id="rId1464" Type="http://schemas.openxmlformats.org/officeDocument/2006/relationships/hyperlink" Target="https://commons.wikimedia.org/wiki/File:Cuc%C3%BA_ardilla.jpg" TargetMode="External"/><Relationship Id="rId2795" Type="http://schemas.openxmlformats.org/officeDocument/2006/relationships/hyperlink" Target="https://maps.google.com/?q=11.209034,-74.239731" TargetMode="External"/><Relationship Id="rId1465" Type="http://schemas.openxmlformats.org/officeDocument/2006/relationships/hyperlink" Target="https://maps.google.com/?q=4.984627,-74.264040" TargetMode="External"/><Relationship Id="rId2796" Type="http://schemas.openxmlformats.org/officeDocument/2006/relationships/hyperlink" Target="https://upload.wikimedia.org/wikipedia/commons/4/4a/Isla_pelicano_santa_marta.png" TargetMode="External"/><Relationship Id="rId1411" Type="http://schemas.openxmlformats.org/officeDocument/2006/relationships/hyperlink" Target="https://commons.wikimedia.org/wiki/File:Corona_de_nieblas.jpg" TargetMode="External"/><Relationship Id="rId2742" Type="http://schemas.openxmlformats.org/officeDocument/2006/relationships/hyperlink" Target="https://commons.wikimedia.org/wiki/File:Individuo_de_Contopus_sordidulus_posado_en_estructura_antropog%C3%A9nica_en_entorno_forestal.jpg" TargetMode="External"/><Relationship Id="rId1412" Type="http://schemas.openxmlformats.org/officeDocument/2006/relationships/hyperlink" Target="https://upload.wikimedia.org/wikipedia/commons/b/b0/Corono_%28Salicaceae%29.jpg" TargetMode="External"/><Relationship Id="rId2743" Type="http://schemas.openxmlformats.org/officeDocument/2006/relationships/hyperlink" Target="https://upload.wikimedia.org/wikipedia/commons/5/58/Individuo_de_Elanus_leucurus_en_percha_antropog%C3%A9nica_en_entorno_abierto.jpg" TargetMode="External"/><Relationship Id="rId1413" Type="http://schemas.openxmlformats.org/officeDocument/2006/relationships/hyperlink" Target="https://commons.wikimedia.org/wiki/File:Corono_(Salicaceae).jpg" TargetMode="External"/><Relationship Id="rId2744" Type="http://schemas.openxmlformats.org/officeDocument/2006/relationships/hyperlink" Target="https://commons.wikimedia.org/wiki/File:Individuo_de_Elanus_leucurus_en_percha_antropog%C3%A9nica_en_entorno_abierto.jpg" TargetMode="External"/><Relationship Id="rId1414" Type="http://schemas.openxmlformats.org/officeDocument/2006/relationships/hyperlink" Target="https://upload.wikimedia.org/wikipedia/commons/c/c6/Corono_%28Xylosma_spiculifera%29.jpg" TargetMode="External"/><Relationship Id="rId2745" Type="http://schemas.openxmlformats.org/officeDocument/2006/relationships/hyperlink" Target="https://upload.wikimedia.org/wikipedia/commons/8/83/Individuo_de_Metallura_tyrianthina_en_comportamiento_de_alimentaci%C3%B3n_en_h%C3%A1bitat_boscoso.jpg" TargetMode="External"/><Relationship Id="rId1415" Type="http://schemas.openxmlformats.org/officeDocument/2006/relationships/hyperlink" Target="https://commons.wikimedia.org/wiki/File:Corono_(Xylosma_spiculifera).jpg" TargetMode="External"/><Relationship Id="rId2746" Type="http://schemas.openxmlformats.org/officeDocument/2006/relationships/hyperlink" Target="https://commons.wikimedia.org/wiki/File:Individuo_de_Metallura_tyrianthina_en_comportamiento_de_alimentaci%C3%B3n_en_h%C3%A1bitat_boscoso.jpg" TargetMode="External"/><Relationship Id="rId1416" Type="http://schemas.openxmlformats.org/officeDocument/2006/relationships/hyperlink" Target="https://upload.wikimedia.org/wikipedia/commons/4/49/Corpinopsis_sp-_Julian_Barrera.jpg" TargetMode="External"/><Relationship Id="rId2747" Type="http://schemas.openxmlformats.org/officeDocument/2006/relationships/hyperlink" Target="https://upload.wikimedia.org/wikipedia/commons/4/43/Individuo_de_Pheucticus_aureoventris_en_h%C3%A1bitat_boscoso.jpg" TargetMode="External"/><Relationship Id="rId1417" Type="http://schemas.openxmlformats.org/officeDocument/2006/relationships/hyperlink" Target="https://commons.wikimedia.org/wiki/File:Corpinopsis_sp-_Julian_Barrera.jpg" TargetMode="External"/><Relationship Id="rId2748" Type="http://schemas.openxmlformats.org/officeDocument/2006/relationships/hyperlink" Target="https://commons.wikimedia.org/wiki/File:Individuo_de_Pheucticus_aureoventris_en_h%C3%A1bitat_boscoso.jpg" TargetMode="External"/><Relationship Id="rId1418" Type="http://schemas.openxmlformats.org/officeDocument/2006/relationships/hyperlink" Target="https://upload.wikimedia.org/wikipedia/commons/5/5e/Corpinopsis_spp_Julian_Barrera.jpg" TargetMode="External"/><Relationship Id="rId2749" Type="http://schemas.openxmlformats.org/officeDocument/2006/relationships/hyperlink" Target="https://upload.wikimedia.org/wikipedia/commons/d/d0/Individuo_de_Piaya_cayana_posado_en_vegetaci%C3%B3n_de_entorno_boscoso.jpg" TargetMode="External"/><Relationship Id="rId1419" Type="http://schemas.openxmlformats.org/officeDocument/2006/relationships/hyperlink" Target="https://commons.wikimedia.org/wiki/File:Corpinopsis_spp_Julian_Barrera.jpg" TargetMode="External"/><Relationship Id="rId2740" Type="http://schemas.openxmlformats.org/officeDocument/2006/relationships/hyperlink" Target="https://commons.wikimedia.org/wiki/File:Incredible_coastal_views.jpg" TargetMode="External"/><Relationship Id="rId1410" Type="http://schemas.openxmlformats.org/officeDocument/2006/relationships/hyperlink" Target="https://upload.wikimedia.org/wikipedia/commons/2/25/Corona_de_nieblas.jpg" TargetMode="External"/><Relationship Id="rId2741" Type="http://schemas.openxmlformats.org/officeDocument/2006/relationships/hyperlink" Target="https://upload.wikimedia.org/wikipedia/commons/4/4e/Individuo_de_Contopus_sordidulus_posado_en_estructura_antropog%C3%A9nica_en_entorno_forestal.jpg" TargetMode="External"/><Relationship Id="rId1400" Type="http://schemas.openxmlformats.org/officeDocument/2006/relationships/hyperlink" Target="https://commons.wikimedia.org/wiki/File:Cormor%C3%A1n_Neotropical-_Nannopterum_brasilianum-Laguna_El_Tabacal_La_Vega.jpg" TargetMode="External"/><Relationship Id="rId2731" Type="http://schemas.openxmlformats.org/officeDocument/2006/relationships/hyperlink" Target="https://commons.wikimedia.org/wiki/File:Impatiens_marianae_mayo_de_2026.jpg" TargetMode="External"/><Relationship Id="rId1401" Type="http://schemas.openxmlformats.org/officeDocument/2006/relationships/hyperlink" Target="https://upload.wikimedia.org/wikipedia/commons/9/97/Corona_de_Cristo._Euphorbia_milii.jpg" TargetMode="External"/><Relationship Id="rId2732" Type="http://schemas.openxmlformats.org/officeDocument/2006/relationships/hyperlink" Target="https://maps.google.com/?q=10.425000,-75.540278" TargetMode="External"/><Relationship Id="rId1402" Type="http://schemas.openxmlformats.org/officeDocument/2006/relationships/hyperlink" Target="https://commons.wikimedia.org/wiki/File:Corona_de_Cristo._Euphorbia_milii.jpg" TargetMode="External"/><Relationship Id="rId2733" Type="http://schemas.openxmlformats.org/officeDocument/2006/relationships/hyperlink" Target="https://upload.wikimedia.org/wikipedia/commons/e/e6/Imponente_Ceiba_del_FIRE.jpg" TargetMode="External"/><Relationship Id="rId1403" Type="http://schemas.openxmlformats.org/officeDocument/2006/relationships/hyperlink" Target="https://maps.google.com/?q=4.594490,-74.070340" TargetMode="External"/><Relationship Id="rId2734" Type="http://schemas.openxmlformats.org/officeDocument/2006/relationships/hyperlink" Target="https://commons.wikimedia.org/wiki/File:Imponente_Ceiba_del_FIRE.jpg" TargetMode="External"/><Relationship Id="rId1404" Type="http://schemas.openxmlformats.org/officeDocument/2006/relationships/hyperlink" Target="https://upload.wikimedia.org/wikipedia/commons/f/f4/Corona_de_Fuegos_Artificiales.jpg" TargetMode="External"/><Relationship Id="rId2735" Type="http://schemas.openxmlformats.org/officeDocument/2006/relationships/hyperlink" Target="https://upload.wikimedia.org/wikipedia/commons/e/e4/Inbound5989755932990352473.jpg" TargetMode="External"/><Relationship Id="rId1405" Type="http://schemas.openxmlformats.org/officeDocument/2006/relationships/hyperlink" Target="https://commons.wikimedia.org/wiki/File:Corona_de_Fuegos_Artificiales.jpg" TargetMode="External"/><Relationship Id="rId2736" Type="http://schemas.openxmlformats.org/officeDocument/2006/relationships/hyperlink" Target="https://commons.wikimedia.org/wiki/File:Inbound5989755932990352473.jpg" TargetMode="External"/><Relationship Id="rId1406" Type="http://schemas.openxmlformats.org/officeDocument/2006/relationships/hyperlink" Target="https://maps.google.com/?q=4.980914,-75.335031" TargetMode="External"/><Relationship Id="rId2737" Type="http://schemas.openxmlformats.org/officeDocument/2006/relationships/hyperlink" Target="https://upload.wikimedia.org/wikipedia/commons/a/a6/Inca_Inca_Beach.jpg" TargetMode="External"/><Relationship Id="rId1407" Type="http://schemas.openxmlformats.org/officeDocument/2006/relationships/hyperlink" Target="https://upload.wikimedia.org/wikipedia/commons/5/5e/Corona_de_flores.jpg" TargetMode="External"/><Relationship Id="rId2738" Type="http://schemas.openxmlformats.org/officeDocument/2006/relationships/hyperlink" Target="https://commons.wikimedia.org/wiki/File:Inca_Inca_Beach.jpg" TargetMode="External"/><Relationship Id="rId1408" Type="http://schemas.openxmlformats.org/officeDocument/2006/relationships/hyperlink" Target="https://commons.wikimedia.org/wiki/File:Corona_de_flores.jpg" TargetMode="External"/><Relationship Id="rId2739" Type="http://schemas.openxmlformats.org/officeDocument/2006/relationships/hyperlink" Target="https://upload.wikimedia.org/wikipedia/commons/b/b5/Incredible_coastal_views.jpg" TargetMode="External"/><Relationship Id="rId1409" Type="http://schemas.openxmlformats.org/officeDocument/2006/relationships/hyperlink" Target="https://maps.google.com/?q=4.980656,-75.335258" TargetMode="External"/><Relationship Id="rId2730" Type="http://schemas.openxmlformats.org/officeDocument/2006/relationships/hyperlink" Target="https://upload.wikimedia.org/wikipedia/commons/d/d0/Impatiens_marianae_mayo_de_2026.jpg" TargetMode="External"/><Relationship Id="rId1433" Type="http://schemas.openxmlformats.org/officeDocument/2006/relationships/hyperlink" Target="https://maps.google.com/?q=5.070000,-75.440000" TargetMode="External"/><Relationship Id="rId2764" Type="http://schemas.openxmlformats.org/officeDocument/2006/relationships/hyperlink" Target="https://maps.google.com/?q=4.560439,-74.003639" TargetMode="External"/><Relationship Id="rId1434" Type="http://schemas.openxmlformats.org/officeDocument/2006/relationships/hyperlink" Target="https://upload.wikimedia.org/wikipedia/commons/9/9a/Crescent-faced_antpitta_%28Grallaricula_lineifrons%29_Caldas_2.jpg" TargetMode="External"/><Relationship Id="rId2765" Type="http://schemas.openxmlformats.org/officeDocument/2006/relationships/hyperlink" Target="https://upload.wikimedia.org/wikipedia/commons/c/ca/Insecto_colombia_escarabajo_ajedreazado.jpg" TargetMode="External"/><Relationship Id="rId1435" Type="http://schemas.openxmlformats.org/officeDocument/2006/relationships/hyperlink" Target="https://commons.wikimedia.org/wiki/File:Crescent-faced_antpitta_(Grallaricula_lineifrons)_Caldas_2.jpg" TargetMode="External"/><Relationship Id="rId2766" Type="http://schemas.openxmlformats.org/officeDocument/2006/relationships/hyperlink" Target="https://commons.wikimedia.org/wiki/File:Insecto_colombia_escarabajo_ajedreazado.jpg" TargetMode="External"/><Relationship Id="rId1436" Type="http://schemas.openxmlformats.org/officeDocument/2006/relationships/hyperlink" Target="https://maps.google.com/?q=4.581600,-7.417210" TargetMode="External"/><Relationship Id="rId2767" Type="http://schemas.openxmlformats.org/officeDocument/2006/relationships/hyperlink" Target="https://upload.wikimedia.org/wikipedia/commons/2/24/Insecto_dragon_verde.png" TargetMode="External"/><Relationship Id="rId1437" Type="http://schemas.openxmlformats.org/officeDocument/2006/relationships/hyperlink" Target="https://upload.wikimedia.org/wikipedia/commons/6/61/Crimson-backed_Tanager.jpg" TargetMode="External"/><Relationship Id="rId2768" Type="http://schemas.openxmlformats.org/officeDocument/2006/relationships/hyperlink" Target="https://commons.wikimedia.org/wiki/File:Insecto_dragon_verde.png" TargetMode="External"/><Relationship Id="rId1438" Type="http://schemas.openxmlformats.org/officeDocument/2006/relationships/hyperlink" Target="https://commons.wikimedia.org/wiki/File:Crimson-backed_Tanager.jpg" TargetMode="External"/><Relationship Id="rId2769" Type="http://schemas.openxmlformats.org/officeDocument/2006/relationships/hyperlink" Target="https://upload.wikimedia.org/wikipedia/commons/0/01/Insecto_en_una_hoja.jpg" TargetMode="External"/><Relationship Id="rId1439" Type="http://schemas.openxmlformats.org/officeDocument/2006/relationships/hyperlink" Target="https://maps.google.com/?q=4.873370,-74.082910" TargetMode="External"/><Relationship Id="rId609" Type="http://schemas.openxmlformats.org/officeDocument/2006/relationships/hyperlink" Target="https://commons.wikimedia.org/wiki/File:Bienparado_Com%C3%BAn_(Nyctibius_griseus)_en_su_nido.jpg" TargetMode="External"/><Relationship Id="rId608" Type="http://schemas.openxmlformats.org/officeDocument/2006/relationships/hyperlink" Target="https://upload.wikimedia.org/wikipedia/commons/1/1a/Bienparado_Com%C3%BAn_%28Nyctibius_griseus%29_en_su_nido.jpg" TargetMode="External"/><Relationship Id="rId607" Type="http://schemas.openxmlformats.org/officeDocument/2006/relationships/hyperlink" Target="https://commons.wikimedia.org/wiki/File:Bienparado_Com%C3%BAn_(Nyctibius_griseus)_en_los_bosques_de_colombiano.jpg" TargetMode="External"/><Relationship Id="rId602" Type="http://schemas.openxmlformats.org/officeDocument/2006/relationships/hyperlink" Target="https://upload.wikimedia.org/wikipedia/commons/3/34/Bienparado_Com%C3%BAn.jpg" TargetMode="External"/><Relationship Id="rId601" Type="http://schemas.openxmlformats.org/officeDocument/2006/relationships/hyperlink" Target="https://commons.wikimedia.org/wiki/File:Bienparado-Parque_Nacional_Natural_Sierra_de_la_Macarena-Colombia-8.jpg" TargetMode="External"/><Relationship Id="rId600" Type="http://schemas.openxmlformats.org/officeDocument/2006/relationships/hyperlink" Target="https://upload.wikimedia.org/wikipedia/commons/7/79/Bienparado-Parque_Nacional_Natural_Sierra_de_la_Macarena-Colombia-8.jpg" TargetMode="External"/><Relationship Id="rId606" Type="http://schemas.openxmlformats.org/officeDocument/2006/relationships/hyperlink" Target="https://upload.wikimedia.org/wikipedia/commons/1/18/Bienparado_Com%C3%BAn_%28Nyctibius_griseus%29_en_los_bosques_de_colombiano.jpg" TargetMode="External"/><Relationship Id="rId605" Type="http://schemas.openxmlformats.org/officeDocument/2006/relationships/hyperlink" Target="https://commons.wikimedia.org/wiki/File:Bienparado_Com%C3%BAn_(Nyctibius_griseus)_en_bosque_colombiano.jpg" TargetMode="External"/><Relationship Id="rId604" Type="http://schemas.openxmlformats.org/officeDocument/2006/relationships/hyperlink" Target="https://upload.wikimedia.org/wikipedia/commons/f/f7/Bienparado_Com%C3%BAn_%28Nyctibius_griseus%29_en_bosque_colombiano.jpg" TargetMode="External"/><Relationship Id="rId603" Type="http://schemas.openxmlformats.org/officeDocument/2006/relationships/hyperlink" Target="https://commons.wikimedia.org/wiki/File:Bienparado_Com%C3%BAn.jpg" TargetMode="External"/><Relationship Id="rId2760" Type="http://schemas.openxmlformats.org/officeDocument/2006/relationships/hyperlink" Target="https://commons.wikimedia.org/wiki/File:Iniciando_la_cosecha_02.jpg" TargetMode="External"/><Relationship Id="rId1430" Type="http://schemas.openxmlformats.org/officeDocument/2006/relationships/hyperlink" Target="https://commons.wikimedia.org/wiki/File:Crepuscular_rays_2026-06-26.jpg" TargetMode="External"/><Relationship Id="rId2761" Type="http://schemas.openxmlformats.org/officeDocument/2006/relationships/hyperlink" Target="https://maps.google.com/?q=8.072069,-74.786211" TargetMode="External"/><Relationship Id="rId1431" Type="http://schemas.openxmlformats.org/officeDocument/2006/relationships/hyperlink" Target="https://upload.wikimedia.org/wikipedia/commons/1/13/Crep%C3%BAsculo_entre_cordilleras.jpg" TargetMode="External"/><Relationship Id="rId2762" Type="http://schemas.openxmlformats.org/officeDocument/2006/relationships/hyperlink" Target="https://upload.wikimedia.org/wikipedia/commons/6/62/Iniciando_la_cosecha_03.jpg" TargetMode="External"/><Relationship Id="rId1432" Type="http://schemas.openxmlformats.org/officeDocument/2006/relationships/hyperlink" Target="https://commons.wikimedia.org/wiki/File:Crep%C3%BAsculo_entre_cordilleras.jpg" TargetMode="External"/><Relationship Id="rId2763" Type="http://schemas.openxmlformats.org/officeDocument/2006/relationships/hyperlink" Target="https://commons.wikimedia.org/wiki/File:Iniciando_la_cosecha_03.jpg" TargetMode="External"/><Relationship Id="rId1422" Type="http://schemas.openxmlformats.org/officeDocument/2006/relationships/hyperlink" Target="https://upload.wikimedia.org/wikipedia/commons/7/7c/Covarach%C3%ADa%2C_Boyac%C3%A1_%2C_2025.jpg" TargetMode="External"/><Relationship Id="rId2753" Type="http://schemas.openxmlformats.org/officeDocument/2006/relationships/hyperlink" Target="https://upload.wikimedia.org/wikipedia/commons/0/0e/Infraestructura_ambiental_y_v%C3%ADas_de_acceso_en_el_Parque_Natural_Sumapaz.jpg" TargetMode="External"/><Relationship Id="rId1423" Type="http://schemas.openxmlformats.org/officeDocument/2006/relationships/hyperlink" Target="https://commons.wikimedia.org/wiki/File:Covarach%C3%ADa,_Boyac%C3%A1_,_2025.jpg" TargetMode="External"/><Relationship Id="rId2754" Type="http://schemas.openxmlformats.org/officeDocument/2006/relationships/hyperlink" Target="https://commons.wikimedia.org/wiki/File:Infraestructura_ambiental_y_v%C3%ADas_de_acceso_en_el_Parque_Natural_Sumapaz.jpg" TargetMode="External"/><Relationship Id="rId1424" Type="http://schemas.openxmlformats.org/officeDocument/2006/relationships/hyperlink" Target="https://maps.google.com/?q=4.668211,-74.100198" TargetMode="External"/><Relationship Id="rId2755" Type="http://schemas.openxmlformats.org/officeDocument/2006/relationships/hyperlink" Target="https://maps.google.com/?q=8.078439,-74.781000" TargetMode="External"/><Relationship Id="rId1425" Type="http://schemas.openxmlformats.org/officeDocument/2006/relationships/hyperlink" Target="https://upload.wikimedia.org/wikipedia/commons/9/9f/Crab_claw%2C_hanging_lobster-claws%2C_hanging_parrot%E2%80%99s_beak%2C_lobster_claw%2C_parrot%E2%80%99s_beak_heliconia.jpg" TargetMode="External"/><Relationship Id="rId2756" Type="http://schemas.openxmlformats.org/officeDocument/2006/relationships/hyperlink" Target="https://upload.wikimedia.org/wikipedia/commons/2/2b/Iniciando_la_cosecha.jpg" TargetMode="External"/><Relationship Id="rId1426" Type="http://schemas.openxmlformats.org/officeDocument/2006/relationships/hyperlink" Target="https://commons.wikimedia.org/wiki/File:Crab_claw,_hanging_lobster-claws,_hanging_parrot%E2%80%99s_beak,_lobster_claw,_parrot%E2%80%99s_beak_heliconia.jpg" TargetMode="External"/><Relationship Id="rId2757" Type="http://schemas.openxmlformats.org/officeDocument/2006/relationships/hyperlink" Target="https://commons.wikimedia.org/wiki/File:Iniciando_la_cosecha.jpg" TargetMode="External"/><Relationship Id="rId1427" Type="http://schemas.openxmlformats.org/officeDocument/2006/relationships/hyperlink" Target="https://upload.wikimedia.org/wikipedia/commons/4/49/Cracker_butterfly_2026-05-23.jpg" TargetMode="External"/><Relationship Id="rId2758" Type="http://schemas.openxmlformats.org/officeDocument/2006/relationships/hyperlink" Target="https://maps.google.com/?q=8.072097,-74.786150" TargetMode="External"/><Relationship Id="rId1428" Type="http://schemas.openxmlformats.org/officeDocument/2006/relationships/hyperlink" Target="https://commons.wikimedia.org/wiki/File:Cracker_butterfly_2026-05-23.jpg" TargetMode="External"/><Relationship Id="rId2759" Type="http://schemas.openxmlformats.org/officeDocument/2006/relationships/hyperlink" Target="https://upload.wikimedia.org/wikipedia/commons/3/39/Iniciando_la_cosecha_02.jpg" TargetMode="External"/><Relationship Id="rId1429" Type="http://schemas.openxmlformats.org/officeDocument/2006/relationships/hyperlink" Target="https://upload.wikimedia.org/wikipedia/commons/9/92/Crepuscular_rays_2026-06-26.jpg" TargetMode="External"/><Relationship Id="rId2750" Type="http://schemas.openxmlformats.org/officeDocument/2006/relationships/hyperlink" Target="https://commons.wikimedia.org/wiki/File:Individuo_de_Piaya_cayana_posado_en_vegetaci%C3%B3n_de_entorno_boscoso.jpg" TargetMode="External"/><Relationship Id="rId1420" Type="http://schemas.openxmlformats.org/officeDocument/2006/relationships/hyperlink" Target="https://upload.wikimedia.org/wikipedia/commons/1/1c/Covarach%C3%ADa%2C_Boyac%C3%A1.jpg" TargetMode="External"/><Relationship Id="rId2751" Type="http://schemas.openxmlformats.org/officeDocument/2006/relationships/hyperlink" Target="https://upload.wikimedia.org/wikipedia/commons/b/b0/Inflorescencia_t%C3%ADpica_de_la_familia_Araceae.jpg" TargetMode="External"/><Relationship Id="rId1421" Type="http://schemas.openxmlformats.org/officeDocument/2006/relationships/hyperlink" Target="https://commons.wikimedia.org/wiki/File:Covarach%C3%ADa,_Boyac%C3%A1.jpg" TargetMode="External"/><Relationship Id="rId2752" Type="http://schemas.openxmlformats.org/officeDocument/2006/relationships/hyperlink" Target="https://commons.wikimedia.org/wiki/File:Inflorescencia_t%C3%ADpica_de_la_familia_Araceae.jpg" TargetMode="External"/><Relationship Id="rId3238" Type="http://schemas.openxmlformats.org/officeDocument/2006/relationships/hyperlink" Target="https://upload.wikimedia.org/wikipedia/commons/0/05/Mantis_Religiosa_oja_seca.jpg" TargetMode="External"/><Relationship Id="rId4569" Type="http://schemas.openxmlformats.org/officeDocument/2006/relationships/hyperlink" Target="https://commons.wikimedia.org/wiki/File:Reserva_natural_Santuario_de_los_flamencos_-_Guajira_-_Platalea_ajaja_(Espatula_rosada).jpg" TargetMode="External"/><Relationship Id="rId3237" Type="http://schemas.openxmlformats.org/officeDocument/2006/relationships/hyperlink" Target="https://commons.wikimedia.org/wiki/File:Mano_de_oso_(Oreopanax_bogotensis).jpg" TargetMode="External"/><Relationship Id="rId4568" Type="http://schemas.openxmlformats.org/officeDocument/2006/relationships/hyperlink" Target="https://upload.wikimedia.org/wikipedia/commons/8/89/Reserva_natural_Santuario_de_los_flamencos_-_Guajira_-_Platalea_ajaja_%28Espatula_rosada%29.jpg" TargetMode="External"/><Relationship Id="rId3239" Type="http://schemas.openxmlformats.org/officeDocument/2006/relationships/hyperlink" Target="https://commons.wikimedia.org/wiki/File:Mantis_Religiosa_oja_seca.jpg" TargetMode="External"/><Relationship Id="rId3230" Type="http://schemas.openxmlformats.org/officeDocument/2006/relationships/hyperlink" Target="https://commons.wikimedia.org/wiki/File:Mango_pechinegro-colibri.jpg" TargetMode="External"/><Relationship Id="rId4561" Type="http://schemas.openxmlformats.org/officeDocument/2006/relationships/hyperlink" Target="https://commons.wikimedia.org/wiki/File:Reserva_natural_Santuario_de_los_flamencos_-_Guajira_-.jpg" TargetMode="External"/><Relationship Id="rId4560" Type="http://schemas.openxmlformats.org/officeDocument/2006/relationships/hyperlink" Target="https://upload.wikimedia.org/wikipedia/commons/0/0e/Reserva_natural_Santuario_de_los_flamencos_-_Guajira_-.jpg" TargetMode="External"/><Relationship Id="rId3232" Type="http://schemas.openxmlformats.org/officeDocument/2006/relationships/hyperlink" Target="https://commons.wikimedia.org/wiki/File:Mangroves_(Rhizophora),_Pacific_region_near_La_Barra,_2025.jpg" TargetMode="External"/><Relationship Id="rId4563" Type="http://schemas.openxmlformats.org/officeDocument/2006/relationships/hyperlink" Target="https://commons.wikimedia.org/wiki/File:Reserva_natural_Santuario_de_los_flamencos_-_Guajira_-_Flamencos.jpg" TargetMode="External"/><Relationship Id="rId3231" Type="http://schemas.openxmlformats.org/officeDocument/2006/relationships/hyperlink" Target="https://upload.wikimedia.org/wikipedia/commons/0/0e/Mangroves_%28Rhizophora%29%2C_Pacific_region_near_La_Barra%2C_2025.jpg" TargetMode="External"/><Relationship Id="rId4562" Type="http://schemas.openxmlformats.org/officeDocument/2006/relationships/hyperlink" Target="https://upload.wikimedia.org/wikipedia/commons/c/c7/Reserva_natural_Santuario_de_los_flamencos_-_Guajira_-_Flamencos.jpg" TargetMode="External"/><Relationship Id="rId3234" Type="http://schemas.openxmlformats.org/officeDocument/2006/relationships/hyperlink" Target="https://upload.wikimedia.org/wikipedia/commons/c/cd/Manizales_fog.jpg" TargetMode="External"/><Relationship Id="rId4565" Type="http://schemas.openxmlformats.org/officeDocument/2006/relationships/hyperlink" Target="https://commons.wikimedia.org/wiki/File:Reserva_natural_Santuario_de_los_flamencos_-_Guajira_-_Garza.jpg" TargetMode="External"/><Relationship Id="rId3233" Type="http://schemas.openxmlformats.org/officeDocument/2006/relationships/hyperlink" Target="https://maps.google.com/?q=5.071303,-75.287767" TargetMode="External"/><Relationship Id="rId4564" Type="http://schemas.openxmlformats.org/officeDocument/2006/relationships/hyperlink" Target="https://upload.wikimedia.org/wikipedia/commons/1/1d/Reserva_natural_Santuario_de_los_flamencos_-_Guajira_-_Garza.jpg" TargetMode="External"/><Relationship Id="rId3236" Type="http://schemas.openxmlformats.org/officeDocument/2006/relationships/hyperlink" Target="https://upload.wikimedia.org/wikipedia/commons/e/ec/Mano_de_oso_%28Oreopanax_bogotensis%29.jpg" TargetMode="External"/><Relationship Id="rId4567" Type="http://schemas.openxmlformats.org/officeDocument/2006/relationships/hyperlink" Target="https://commons.wikimedia.org/wiki/File:Reserva_natural_Santuario_de_los_flamencos_-_Guajira_-_Garzas.jpg" TargetMode="External"/><Relationship Id="rId3235" Type="http://schemas.openxmlformats.org/officeDocument/2006/relationships/hyperlink" Target="https://commons.wikimedia.org/wiki/File:Manizales_fog.jpg" TargetMode="External"/><Relationship Id="rId4566" Type="http://schemas.openxmlformats.org/officeDocument/2006/relationships/hyperlink" Target="https://upload.wikimedia.org/wikipedia/commons/8/87/Reserva_natural_Santuario_de_los_flamencos_-_Guajira_-_Garzas.jpg" TargetMode="External"/><Relationship Id="rId3227" Type="http://schemas.openxmlformats.org/officeDocument/2006/relationships/hyperlink" Target="https://commons.wikimedia.org/wiki/File:Manglar_ladrilleros_(2).jpg" TargetMode="External"/><Relationship Id="rId4558" Type="http://schemas.openxmlformats.org/officeDocument/2006/relationships/hyperlink" Target="https://upload.wikimedia.org/wikipedia/commons/7/74/Reserva_natural_Parque_Chicaque_-_Ep%C3%ADfita_musgo.jpg" TargetMode="External"/><Relationship Id="rId3226" Type="http://schemas.openxmlformats.org/officeDocument/2006/relationships/hyperlink" Target="https://upload.wikimedia.org/wikipedia/commons/4/4b/Manglar_ladrilleros_%282%29.jpg" TargetMode="External"/><Relationship Id="rId4557" Type="http://schemas.openxmlformats.org/officeDocument/2006/relationships/hyperlink" Target="https://commons.wikimedia.org/wiki/File:Reserva_natural_Parque_Chicaque_-_Claro_en_el_bosque_de_niebla.jpg" TargetMode="External"/><Relationship Id="rId3229" Type="http://schemas.openxmlformats.org/officeDocument/2006/relationships/hyperlink" Target="https://upload.wikimedia.org/wikipedia/commons/f/fa/Mango_pechinegro-colibri.jpg" TargetMode="External"/><Relationship Id="rId3228" Type="http://schemas.openxmlformats.org/officeDocument/2006/relationships/hyperlink" Target="https://maps.google.com/?q=4.581600,-7.417210" TargetMode="External"/><Relationship Id="rId4559" Type="http://schemas.openxmlformats.org/officeDocument/2006/relationships/hyperlink" Target="https://commons.wikimedia.org/wiki/File:Reserva_natural_Parque_Chicaque_-_Ep%C3%ADfita_musgo.jpg" TargetMode="External"/><Relationship Id="rId699" Type="http://schemas.openxmlformats.org/officeDocument/2006/relationships/hyperlink" Target="https://commons.wikimedia.org/wiki/File:Bosque_subandino_mixto_-_PNN_Cueva_de_los_Guacharos.jpg" TargetMode="External"/><Relationship Id="rId698" Type="http://schemas.openxmlformats.org/officeDocument/2006/relationships/hyperlink" Target="https://upload.wikimedia.org/wikipedia/commons/1/17/Bosque_subandino_mixto_-_PNN_Cueva_de_los_Guacharos.jpg" TargetMode="External"/><Relationship Id="rId693" Type="http://schemas.openxmlformats.org/officeDocument/2006/relationships/hyperlink" Target="https://maps.google.com/?q=10.425000,-75.540278" TargetMode="External"/><Relationship Id="rId4550" Type="http://schemas.openxmlformats.org/officeDocument/2006/relationships/hyperlink" Target="https://upload.wikimedia.org/wikipedia/commons/b/b2/Renealmia_thyrsoidea_-_Familia_Zingiberaceae.jpg" TargetMode="External"/><Relationship Id="rId692" Type="http://schemas.openxmlformats.org/officeDocument/2006/relationships/hyperlink" Target="https://commons.wikimedia.org/wiki/File:Bosque_en_el_Jard%C3%ADn_Bot%C3%A1nico.jpg" TargetMode="External"/><Relationship Id="rId691" Type="http://schemas.openxmlformats.org/officeDocument/2006/relationships/hyperlink" Target="https://upload.wikimedia.org/wikipedia/commons/a/a6/Bosque_en_el_Jard%C3%ADn_Bot%C3%A1nico.jpg" TargetMode="External"/><Relationship Id="rId3221" Type="http://schemas.openxmlformats.org/officeDocument/2006/relationships/hyperlink" Target="https://upload.wikimedia.org/wikipedia/commons/2/23/Manchashuila_13.jpg" TargetMode="External"/><Relationship Id="rId4552" Type="http://schemas.openxmlformats.org/officeDocument/2006/relationships/hyperlink" Target="https://upload.wikimedia.org/wikipedia/commons/8/8d/Reserva_de_los_flamencos_-_Guajira_-_Platalea_ajaja.jpg" TargetMode="External"/><Relationship Id="rId690" Type="http://schemas.openxmlformats.org/officeDocument/2006/relationships/hyperlink" Target="https://commons.wikimedia.org/wiki/File:Bosque_denso_de_frailejones_en_el_Parque_Nacional_Natural_Sumapaz.jpg" TargetMode="External"/><Relationship Id="rId3220" Type="http://schemas.openxmlformats.org/officeDocument/2006/relationships/hyperlink" Target="https://commons.wikimedia.org/wiki/File:Manchas_mias.jpg" TargetMode="External"/><Relationship Id="rId4551" Type="http://schemas.openxmlformats.org/officeDocument/2006/relationships/hyperlink" Target="https://commons.wikimedia.org/wiki/File:Renealmia_thyrsoidea_-_Familia_Zingiberaceae.jpg" TargetMode="External"/><Relationship Id="rId697" Type="http://schemas.openxmlformats.org/officeDocument/2006/relationships/hyperlink" Target="https://commons.wikimedia.org/wiki/File:Bosque_seco_tropical_Huila.jpg" TargetMode="External"/><Relationship Id="rId3223" Type="http://schemas.openxmlformats.org/officeDocument/2006/relationships/hyperlink" Target="https://maps.google.com/?q=4.983835,-75.028360" TargetMode="External"/><Relationship Id="rId4554" Type="http://schemas.openxmlformats.org/officeDocument/2006/relationships/hyperlink" Target="https://upload.wikimedia.org/wikipedia/commons/f/f5/Reserva_natural_Parque_Chicaque_-_Bosque_de_niebla.jpg" TargetMode="External"/><Relationship Id="rId696" Type="http://schemas.openxmlformats.org/officeDocument/2006/relationships/hyperlink" Target="https://upload.wikimedia.org/wikipedia/commons/b/bd/Bosque_seco_tropical_Huila.jpg" TargetMode="External"/><Relationship Id="rId3222" Type="http://schemas.openxmlformats.org/officeDocument/2006/relationships/hyperlink" Target="https://commons.wikimedia.org/wiki/File:Manchashuila_13.jpg" TargetMode="External"/><Relationship Id="rId4553" Type="http://schemas.openxmlformats.org/officeDocument/2006/relationships/hyperlink" Target="https://commons.wikimedia.org/wiki/File:Reserva_de_los_flamencos_-_Guajira_-_Platalea_ajaja.jpg" TargetMode="External"/><Relationship Id="rId695" Type="http://schemas.openxmlformats.org/officeDocument/2006/relationships/hyperlink" Target="https://commons.wikimedia.org/wiki/File:Bosque_encantado_del_FIRE.jpg" TargetMode="External"/><Relationship Id="rId3225" Type="http://schemas.openxmlformats.org/officeDocument/2006/relationships/hyperlink" Target="https://commons.wikimedia.org/wiki/File:Mandevilla_(16986).jpg" TargetMode="External"/><Relationship Id="rId4556" Type="http://schemas.openxmlformats.org/officeDocument/2006/relationships/hyperlink" Target="https://upload.wikimedia.org/wikipedia/commons/1/15/Reserva_natural_Parque_Chicaque_-_Claro_en_el_bosque_de_niebla.jpg" TargetMode="External"/><Relationship Id="rId694" Type="http://schemas.openxmlformats.org/officeDocument/2006/relationships/hyperlink" Target="https://upload.wikimedia.org/wikipedia/commons/e/e1/Bosque_encantado_del_FIRE.jpg" TargetMode="External"/><Relationship Id="rId3224" Type="http://schemas.openxmlformats.org/officeDocument/2006/relationships/hyperlink" Target="https://upload.wikimedia.org/wikipedia/commons/f/fe/Mandevilla_%2816986%29.jpg" TargetMode="External"/><Relationship Id="rId4555" Type="http://schemas.openxmlformats.org/officeDocument/2006/relationships/hyperlink" Target="https://commons.wikimedia.org/wiki/File:Reserva_natural_Parque_Chicaque_-_Bosque_de_niebla.jpg" TargetMode="External"/><Relationship Id="rId3259" Type="http://schemas.openxmlformats.org/officeDocument/2006/relationships/hyperlink" Target="https://commons.wikimedia.org/wiki/File:Marasmo.jpg" TargetMode="External"/><Relationship Id="rId3250" Type="http://schemas.openxmlformats.org/officeDocument/2006/relationships/hyperlink" Target="https://maps.google.com/?q=11.076104,-73.804088" TargetMode="External"/><Relationship Id="rId4581" Type="http://schemas.openxmlformats.org/officeDocument/2006/relationships/hyperlink" Target="https://maps.google.com/?q=5.625025,-77.420837" TargetMode="External"/><Relationship Id="rId4580" Type="http://schemas.openxmlformats.org/officeDocument/2006/relationships/hyperlink" Target="https://commons.wikimedia.org/wiki/File:Rhinella_sp._toad_in_Colombia.jpg" TargetMode="External"/><Relationship Id="rId3252" Type="http://schemas.openxmlformats.org/officeDocument/2006/relationships/hyperlink" Target="https://commons.wikimedia.org/wiki/File:Mar_Caribe_en_Santa_Marta_(60205).jpg" TargetMode="External"/><Relationship Id="rId4583" Type="http://schemas.openxmlformats.org/officeDocument/2006/relationships/hyperlink" Target="https://commons.wikimedia.org/wiki/File:Rhodorhipha_flammans_-_Nuqu%C3%AD,_Choc%C3%B3,_Colombia_-_24_Oct_2025_-_Diferoch.jpg" TargetMode="External"/><Relationship Id="rId3251" Type="http://schemas.openxmlformats.org/officeDocument/2006/relationships/hyperlink" Target="https://upload.wikimedia.org/wikipedia/commons/d/d5/Mar_Caribe_en_Santa_Marta_%2860205%29.jpg" TargetMode="External"/><Relationship Id="rId4582" Type="http://schemas.openxmlformats.org/officeDocument/2006/relationships/hyperlink" Target="https://upload.wikimedia.org/wikipedia/commons/0/01/Rhodorhipha_flammans_-_Nuqu%C3%AD%2C_Choc%C3%B3%2C_Colombia_-_24_Oct_2025_-_Diferoch.jpg" TargetMode="External"/><Relationship Id="rId3254" Type="http://schemas.openxmlformats.org/officeDocument/2006/relationships/hyperlink" Target="https://commons.wikimedia.org/wiki/File:Mar_de_San_Andr%C3%A9s.jpg" TargetMode="External"/><Relationship Id="rId4585" Type="http://schemas.openxmlformats.org/officeDocument/2006/relationships/hyperlink" Target="https://commons.wikimedia.org/wiki/File:Rio_Arauca.jpg" TargetMode="External"/><Relationship Id="rId3253" Type="http://schemas.openxmlformats.org/officeDocument/2006/relationships/hyperlink" Target="https://upload.wikimedia.org/wikipedia/commons/4/46/Mar_de_San_Andr%C3%A9s.jpg" TargetMode="External"/><Relationship Id="rId4584" Type="http://schemas.openxmlformats.org/officeDocument/2006/relationships/hyperlink" Target="https://upload.wikimedia.org/wikipedia/commons/e/e2/Rio_Arauca.jpg" TargetMode="External"/><Relationship Id="rId3256" Type="http://schemas.openxmlformats.org/officeDocument/2006/relationships/hyperlink" Target="https://commons.wikimedia.org/wiki/File:Mar_san_andres.jpg" TargetMode="External"/><Relationship Id="rId4587" Type="http://schemas.openxmlformats.org/officeDocument/2006/relationships/hyperlink" Target="https://commons.wikimedia.org/wiki/File:Rio_Caquet%C3%A1_-_Puerto_Remanso_del_Tigre_PNN_Cahuinari.jpg" TargetMode="External"/><Relationship Id="rId3255" Type="http://schemas.openxmlformats.org/officeDocument/2006/relationships/hyperlink" Target="https://upload.wikimedia.org/wikipedia/commons/d/d6/Mar_san_andres.jpg" TargetMode="External"/><Relationship Id="rId4586" Type="http://schemas.openxmlformats.org/officeDocument/2006/relationships/hyperlink" Target="https://upload.wikimedia.org/wikipedia/commons/4/4e/Rio_Caquet%C3%A1_-_Puerto_Remanso_del_Tigre_PNN_Cahuinari.jpg" TargetMode="External"/><Relationship Id="rId3258" Type="http://schemas.openxmlformats.org/officeDocument/2006/relationships/hyperlink" Target="https://upload.wikimedia.org/wikipedia/commons/d/de/Marasmo.jpg" TargetMode="External"/><Relationship Id="rId4589" Type="http://schemas.openxmlformats.org/officeDocument/2006/relationships/hyperlink" Target="https://commons.wikimedia.org/wiki/File:Rio_Caquet%C3%A1_PNN_Cahuinari.jpg" TargetMode="External"/><Relationship Id="rId3257" Type="http://schemas.openxmlformats.org/officeDocument/2006/relationships/hyperlink" Target="https://maps.google.com/?q=4.990981,-74.237044" TargetMode="External"/><Relationship Id="rId4588" Type="http://schemas.openxmlformats.org/officeDocument/2006/relationships/hyperlink" Target="https://upload.wikimedia.org/wikipedia/commons/e/ed/Rio_Caquet%C3%A1_PNN_Cahuinari.jpg" TargetMode="External"/><Relationship Id="rId3249" Type="http://schemas.openxmlformats.org/officeDocument/2006/relationships/hyperlink" Target="https://commons.wikimedia.org/wiki/File:Mar_Caribe_en_Santa_Marta_(54538).jpg" TargetMode="External"/><Relationship Id="rId3248" Type="http://schemas.openxmlformats.org/officeDocument/2006/relationships/hyperlink" Target="https://upload.wikimedia.org/wikipedia/commons/2/22/Mar_Caribe_en_Santa_Marta_%2854538%29.jpg" TargetMode="External"/><Relationship Id="rId4579" Type="http://schemas.openxmlformats.org/officeDocument/2006/relationships/hyperlink" Target="https://upload.wikimedia.org/wikipedia/commons/2/21/Rhinella_sp._toad_in_Colombia.jpg" TargetMode="External"/><Relationship Id="rId4570" Type="http://schemas.openxmlformats.org/officeDocument/2006/relationships/hyperlink" Target="https://upload.wikimedia.org/wikipedia/commons/f/f2/Resistiendo_la_eterna_sequia.jpg" TargetMode="External"/><Relationship Id="rId3241" Type="http://schemas.openxmlformats.org/officeDocument/2006/relationships/hyperlink" Target="https://commons.wikimedia.org/wiki/File:Mar,_san_Antero.jpg" TargetMode="External"/><Relationship Id="rId4572" Type="http://schemas.openxmlformats.org/officeDocument/2006/relationships/hyperlink" Target="https://maps.google.com/?q=4.884081,-74.281022" TargetMode="External"/><Relationship Id="rId3240" Type="http://schemas.openxmlformats.org/officeDocument/2006/relationships/hyperlink" Target="https://upload.wikimedia.org/wikipedia/commons/b/b2/Mar%2C_san_Antero.jpg" TargetMode="External"/><Relationship Id="rId4571" Type="http://schemas.openxmlformats.org/officeDocument/2006/relationships/hyperlink" Target="https://commons.wikimedia.org/wiki/File:Resistiendo_la_eterna_sequia.jpg" TargetMode="External"/><Relationship Id="rId3243" Type="http://schemas.openxmlformats.org/officeDocument/2006/relationships/hyperlink" Target="https://commons.wikimedia.org/wiki/File:Mar_Caribe_a_la_altura_de_Santa_Marta.jpg" TargetMode="External"/><Relationship Id="rId4574" Type="http://schemas.openxmlformats.org/officeDocument/2006/relationships/hyperlink" Target="https://commons.wikimedia.org/wiki/File:Restrepo_a_reserva_chulajuan.jpg" TargetMode="External"/><Relationship Id="rId3242" Type="http://schemas.openxmlformats.org/officeDocument/2006/relationships/hyperlink" Target="https://upload.wikimedia.org/wikipedia/commons/2/29/Mar_Caribe_a_la_altura_de_Santa_Marta.jpg" TargetMode="External"/><Relationship Id="rId4573" Type="http://schemas.openxmlformats.org/officeDocument/2006/relationships/hyperlink" Target="https://upload.wikimedia.org/wikipedia/commons/0/00/Restrepo_a_reserva_chulajuan.jpg" TargetMode="External"/><Relationship Id="rId3245" Type="http://schemas.openxmlformats.org/officeDocument/2006/relationships/hyperlink" Target="https://upload.wikimedia.org/wikipedia/commons/c/c7/Mar_Caribe_en_Santa_Marta.jpg" TargetMode="External"/><Relationship Id="rId4576" Type="http://schemas.openxmlformats.org/officeDocument/2006/relationships/hyperlink" Target="https://upload.wikimedia.org/wikipedia/commons/f/fe/Rhinella_alata_-_Piedecuesta%2C_Santander%2C_Colombia_-_7_Jun_2026_-_Diferoch.jpg" TargetMode="External"/><Relationship Id="rId3244" Type="http://schemas.openxmlformats.org/officeDocument/2006/relationships/hyperlink" Target="https://maps.google.com/?q=11.103655,-73.448769" TargetMode="External"/><Relationship Id="rId4575" Type="http://schemas.openxmlformats.org/officeDocument/2006/relationships/hyperlink" Target="https://maps.google.com/?q=6.891590,-73.024285" TargetMode="External"/><Relationship Id="rId3247" Type="http://schemas.openxmlformats.org/officeDocument/2006/relationships/hyperlink" Target="https://maps.google.com/?q=11.075204,-73.484968" TargetMode="External"/><Relationship Id="rId4578" Type="http://schemas.openxmlformats.org/officeDocument/2006/relationships/hyperlink" Target="https://maps.google.com/?q=1.5012605,-77.5161304" TargetMode="External"/><Relationship Id="rId3246" Type="http://schemas.openxmlformats.org/officeDocument/2006/relationships/hyperlink" Target="https://commons.wikimedia.org/wiki/File:Mar_Caribe_en_Santa_Marta.jpg" TargetMode="External"/><Relationship Id="rId4577" Type="http://schemas.openxmlformats.org/officeDocument/2006/relationships/hyperlink" Target="https://commons.wikimedia.org/wiki/File:Rhinella_alata_-_Piedecuesta,_Santander,_Colombia_-_7_Jun_2026_-_Diferoch.jpg" TargetMode="External"/><Relationship Id="rId1499" Type="http://schemas.openxmlformats.org/officeDocument/2006/relationships/hyperlink" Target="https://maps.google.com/?q=3.461922,-67.970807" TargetMode="External"/><Relationship Id="rId4525" Type="http://schemas.openxmlformats.org/officeDocument/2006/relationships/hyperlink" Target="https://upload.wikimedia.org/wikipedia/commons/c/c5/Refeljos_de_la_naturaleza%2C_jardin_botanico.jpg" TargetMode="External"/><Relationship Id="rId4524" Type="http://schemas.openxmlformats.org/officeDocument/2006/relationships/hyperlink" Target="https://commons.wikimedia.org/wiki/File:Reduviidae_depredando_una_abeja.jpg" TargetMode="External"/><Relationship Id="rId4527" Type="http://schemas.openxmlformats.org/officeDocument/2006/relationships/hyperlink" Target="https://upload.wikimedia.org/wikipedia/commons/8/81/Reflejo_en_el_lago_-_Villa_de_Leyva_%28Boyac%C3%A1%29.jpg" TargetMode="External"/><Relationship Id="rId4526" Type="http://schemas.openxmlformats.org/officeDocument/2006/relationships/hyperlink" Target="https://commons.wikimedia.org/wiki/File:Refeljos_de_la_naturaleza,_jardin_botanico.jpg" TargetMode="External"/><Relationship Id="rId4529" Type="http://schemas.openxmlformats.org/officeDocument/2006/relationships/hyperlink" Target="https://upload.wikimedia.org/wikipedia/commons/4/46/Reflexionando.jpg" TargetMode="External"/><Relationship Id="rId4528" Type="http://schemas.openxmlformats.org/officeDocument/2006/relationships/hyperlink" Target="https://commons.wikimedia.org/wiki/File:Reflejo_en_el_lago_-_Villa_de_Leyva_(Boyac%C3%A1).jpg" TargetMode="External"/><Relationship Id="rId668" Type="http://schemas.openxmlformats.org/officeDocument/2006/relationships/hyperlink" Target="https://commons.wikimedia.org/wiki/File:Borrachero_(Solanaceae).jpg" TargetMode="External"/><Relationship Id="rId667" Type="http://schemas.openxmlformats.org/officeDocument/2006/relationships/hyperlink" Target="https://upload.wikimedia.org/wikipedia/commons/0/0b/Borrachero_%28Solanaceae%29.jpg" TargetMode="External"/><Relationship Id="rId666" Type="http://schemas.openxmlformats.org/officeDocument/2006/relationships/hyperlink" Target="https://commons.wikimedia.org/wiki/File:Borrachero_(30089).jpg" TargetMode="External"/><Relationship Id="rId665" Type="http://schemas.openxmlformats.org/officeDocument/2006/relationships/hyperlink" Target="https://upload.wikimedia.org/wikipedia/commons/6/66/Borrachero_%2830089%29.jpg" TargetMode="External"/><Relationship Id="rId669" Type="http://schemas.openxmlformats.org/officeDocument/2006/relationships/hyperlink" Target="https://upload.wikimedia.org/wikipedia/commons/d/dc/Borraja_de_flor_blanca_%28Borago_officinalis_alba_o_bianca%29_abeja_mel%C3%ADfera.jpg" TargetMode="External"/><Relationship Id="rId1490" Type="http://schemas.openxmlformats.org/officeDocument/2006/relationships/hyperlink" Target="https://commons.wikimedia.org/wiki/File:Cuenca_Media_del_R%C3%ADo_In%C3%ADrida,_Guain%C3%ADa.jpg_11.jpg" TargetMode="External"/><Relationship Id="rId660" Type="http://schemas.openxmlformats.org/officeDocument/2006/relationships/hyperlink" Target="https://commons.wikimedia.org/wiki/File:Borago_officinalis-medicinal_herb.jpg" TargetMode="External"/><Relationship Id="rId1491" Type="http://schemas.openxmlformats.org/officeDocument/2006/relationships/hyperlink" Target="https://upload.wikimedia.org/wikipedia/commons/6/69/Cuenca_Media_del_R%C3%ADo_In%C3%ADrida%2C_Guain%C3%ADa.jpg_12.jpg" TargetMode="External"/><Relationship Id="rId1492" Type="http://schemas.openxmlformats.org/officeDocument/2006/relationships/hyperlink" Target="https://commons.wikimedia.org/wiki/File:Cuenca_Media_del_R%C3%ADo_In%C3%ADrida,_Guain%C3%ADa.jpg_12.jpg" TargetMode="External"/><Relationship Id="rId1493" Type="http://schemas.openxmlformats.org/officeDocument/2006/relationships/hyperlink" Target="https://maps.google.com/?q=3.645495,-67.936312" TargetMode="External"/><Relationship Id="rId1494" Type="http://schemas.openxmlformats.org/officeDocument/2006/relationships/hyperlink" Target="https://upload.wikimedia.org/wikipedia/commons/c/ce/Cuenca_Media_del_R%C3%ADo_In%C3%ADrida%2C_Guain%C3%ADa.jpg_13.jpg" TargetMode="External"/><Relationship Id="rId664" Type="http://schemas.openxmlformats.org/officeDocument/2006/relationships/hyperlink" Target="https://maps.google.com/?q=4.966373,-74.290475" TargetMode="External"/><Relationship Id="rId1495" Type="http://schemas.openxmlformats.org/officeDocument/2006/relationships/hyperlink" Target="https://commons.wikimedia.org/wiki/File:Cuenca_Media_del_R%C3%ADo_In%C3%ADrida,_Guain%C3%ADa.jpg_13.jpg" TargetMode="External"/><Relationship Id="rId4521" Type="http://schemas.openxmlformats.org/officeDocument/2006/relationships/hyperlink" Target="https://commons.wikimedia.org/wiki/File:Redes_hidrogr%C3%A1ficas_y_f%C3%A1brica_de_agua_del_P%C3%A1ramo_de_Sumapaz.jpg" TargetMode="External"/><Relationship Id="rId663" Type="http://schemas.openxmlformats.org/officeDocument/2006/relationships/hyperlink" Target="https://commons.wikimedia.org/wiki/File:Borrachero.jpg" TargetMode="External"/><Relationship Id="rId1496" Type="http://schemas.openxmlformats.org/officeDocument/2006/relationships/hyperlink" Target="https://maps.google.com/?q=3.461922,-67.970807" TargetMode="External"/><Relationship Id="rId4520" Type="http://schemas.openxmlformats.org/officeDocument/2006/relationships/hyperlink" Target="https://upload.wikimedia.org/wikipedia/commons/a/a1/Redes_hidrogr%C3%A1ficas_y_f%C3%A1brica_de_agua_del_P%C3%A1ramo_de_Sumapaz.jpg" TargetMode="External"/><Relationship Id="rId662" Type="http://schemas.openxmlformats.org/officeDocument/2006/relationships/hyperlink" Target="https://upload.wikimedia.org/wikipedia/commons/6/63/Borrachero.jpg" TargetMode="External"/><Relationship Id="rId1497" Type="http://schemas.openxmlformats.org/officeDocument/2006/relationships/hyperlink" Target="https://upload.wikimedia.org/wikipedia/commons/2/28/Cuenca_Media_del_R%C3%ADo_In%C3%ADrida%2C_Guain%C3%ADa.jpg_14.jpg" TargetMode="External"/><Relationship Id="rId4523" Type="http://schemas.openxmlformats.org/officeDocument/2006/relationships/hyperlink" Target="https://upload.wikimedia.org/wikipedia/commons/6/6c/Reduviidae_depredando_una_abeja.jpg" TargetMode="External"/><Relationship Id="rId661" Type="http://schemas.openxmlformats.org/officeDocument/2006/relationships/hyperlink" Target="https://maps.google.com/?q=4.980291,-74.318442" TargetMode="External"/><Relationship Id="rId1498" Type="http://schemas.openxmlformats.org/officeDocument/2006/relationships/hyperlink" Target="https://commons.wikimedia.org/wiki/File:Cuenca_Media_del_R%C3%ADo_In%C3%ADrida,_Guain%C3%ADa.jpg_14.jpg" TargetMode="External"/><Relationship Id="rId4522" Type="http://schemas.openxmlformats.org/officeDocument/2006/relationships/hyperlink" Target="https://maps.google.com/?q=2.494485,-72.636197" TargetMode="External"/><Relationship Id="rId1488" Type="http://schemas.openxmlformats.org/officeDocument/2006/relationships/hyperlink" Target="https://commons.wikimedia.org/wiki/File:Cuenca_Media_del_R%C3%ADo_In%C3%ADrida,_Guain%C3%ADa.jpg_10.jpg" TargetMode="External"/><Relationship Id="rId4514" Type="http://schemas.openxmlformats.org/officeDocument/2006/relationships/hyperlink" Target="https://maps.google.com/?q=5.850000,-76.180000" TargetMode="External"/><Relationship Id="rId1489" Type="http://schemas.openxmlformats.org/officeDocument/2006/relationships/hyperlink" Target="https://upload.wikimedia.org/wikipedia/commons/7/76/Cuenca_Media_del_R%C3%ADo_In%C3%ADrida%2C_Guain%C3%ADa.jpg_11.jpg" TargetMode="External"/><Relationship Id="rId4513" Type="http://schemas.openxmlformats.org/officeDocument/2006/relationships/hyperlink" Target="https://commons.wikimedia.org/wiki/File:Recorrido_jardin_botanico.jpg" TargetMode="External"/><Relationship Id="rId4516" Type="http://schemas.openxmlformats.org/officeDocument/2006/relationships/hyperlink" Target="https://commons.wikimedia.org/wiki/File:Red-crowned_woodpecker_(Melanerpes_rubricapillus)_male_Las_Tangaras_2.jpg" TargetMode="External"/><Relationship Id="rId4515" Type="http://schemas.openxmlformats.org/officeDocument/2006/relationships/hyperlink" Target="https://upload.wikimedia.org/wikipedia/commons/a/ac/Red-crowned_woodpecker_%28Melanerpes_rubricapillus%29_male_Las_Tangaras_2.jpg" TargetMode="External"/><Relationship Id="rId4518" Type="http://schemas.openxmlformats.org/officeDocument/2006/relationships/hyperlink" Target="https://upload.wikimedia.org/wikipedia/commons/4/49/Red-tailed_squirrel_%28Sciurus_granatensis_chrysuros%29_Caldas_2.jpg" TargetMode="External"/><Relationship Id="rId4517" Type="http://schemas.openxmlformats.org/officeDocument/2006/relationships/hyperlink" Target="https://maps.google.com/?q=5.070000,-75.440000" TargetMode="External"/><Relationship Id="rId4519" Type="http://schemas.openxmlformats.org/officeDocument/2006/relationships/hyperlink" Target="https://commons.wikimedia.org/wiki/File:Red-tailed_squirrel_(Sciurus_granatensis_chrysuros)_Caldas_2.jpg" TargetMode="External"/><Relationship Id="rId657" Type="http://schemas.openxmlformats.org/officeDocument/2006/relationships/hyperlink" Target="https://commons.wikimedia.org/wiki/File:Bombus_hortulanus_-_Abejorro_de_los_andes.jpg" TargetMode="External"/><Relationship Id="rId656" Type="http://schemas.openxmlformats.org/officeDocument/2006/relationships/hyperlink" Target="https://upload.wikimedia.org/wikipedia/commons/e/ee/Bombus_hortulanus_-_Abejorro_de_los_andes.jpg" TargetMode="External"/><Relationship Id="rId655" Type="http://schemas.openxmlformats.org/officeDocument/2006/relationships/hyperlink" Target="https://maps.google.com/?q=4.873370,-74.082910" TargetMode="External"/><Relationship Id="rId654" Type="http://schemas.openxmlformats.org/officeDocument/2006/relationships/hyperlink" Target="https://commons.wikimedia.org/wiki/File:Bombus_Rubicundus_en_el_Paramo_de_Santurban.jpg" TargetMode="External"/><Relationship Id="rId659" Type="http://schemas.openxmlformats.org/officeDocument/2006/relationships/hyperlink" Target="https://upload.wikimedia.org/wikipedia/commons/a/a6/Borago_officinalis-medicinal_herb.jpg" TargetMode="External"/><Relationship Id="rId658" Type="http://schemas.openxmlformats.org/officeDocument/2006/relationships/hyperlink" Target="https://maps.google.com/?q=5.375900,-7.331320" TargetMode="External"/><Relationship Id="rId1480" Type="http://schemas.openxmlformats.org/officeDocument/2006/relationships/hyperlink" Target="https://commons.wikimedia.org/wiki/File:Cuenca_Media_del_R%C3%ADo_In%C3%ADrida,_Guain%C3%ADa.jpg_06.jpg" TargetMode="External"/><Relationship Id="rId1481" Type="http://schemas.openxmlformats.org/officeDocument/2006/relationships/hyperlink" Target="https://upload.wikimedia.org/wikipedia/commons/f/fa/Cuenca_Media_del_R%C3%ADo_In%C3%ADrida%2C_Guain%C3%ADa.jpg_07.jpg" TargetMode="External"/><Relationship Id="rId1482" Type="http://schemas.openxmlformats.org/officeDocument/2006/relationships/hyperlink" Target="https://commons.wikimedia.org/wiki/File:Cuenca_Media_del_R%C3%ADo_In%C3%ADrida,_Guain%C3%ADa.jpg_07.jpg" TargetMode="External"/><Relationship Id="rId1483" Type="http://schemas.openxmlformats.org/officeDocument/2006/relationships/hyperlink" Target="https://upload.wikimedia.org/wikipedia/commons/c/c0/Cuenca_Media_del_R%C3%ADo_In%C3%ADrida%2C_Guain%C3%ADa.jpg_08.jpg" TargetMode="External"/><Relationship Id="rId653" Type="http://schemas.openxmlformats.org/officeDocument/2006/relationships/hyperlink" Target="https://upload.wikimedia.org/wikipedia/commons/a/ab/Bombus_Rubicundus_en_el_Paramo_de_Santurban.jpg" TargetMode="External"/><Relationship Id="rId1484" Type="http://schemas.openxmlformats.org/officeDocument/2006/relationships/hyperlink" Target="https://commons.wikimedia.org/wiki/File:Cuenca_Media_del_R%C3%ADo_In%C3%ADrida,_Guain%C3%ADa.jpg_08.jpg" TargetMode="External"/><Relationship Id="rId4510" Type="http://schemas.openxmlformats.org/officeDocument/2006/relationships/hyperlink" Target="https://upload.wikimedia.org/wikipedia/commons/1/10/Recorrido_de_la_reserva_distrital_de_humedal_de_cordoba.jpg" TargetMode="External"/><Relationship Id="rId652" Type="http://schemas.openxmlformats.org/officeDocument/2006/relationships/hyperlink" Target="https://commons.wikimedia.org/wiki/File:Bombus_-_Bogot%C3%A1_D._C.,_Colombia_-_23_Aug_2025_-_Diferoch_-_2.jpg" TargetMode="External"/><Relationship Id="rId1485" Type="http://schemas.openxmlformats.org/officeDocument/2006/relationships/hyperlink" Target="https://upload.wikimedia.org/wikipedia/commons/d/d8/Cuenca_Media_del_R%C3%ADo_In%C3%ADrida%2C_Guain%C3%ADa.jpg_09.jpg" TargetMode="External"/><Relationship Id="rId651" Type="http://schemas.openxmlformats.org/officeDocument/2006/relationships/hyperlink" Target="https://upload.wikimedia.org/wikipedia/commons/2/2f/Bombus_-_Bogot%C3%A1_D._C.%2C_Colombia_-_23_Aug_2025_-_Diferoch_-_2.jpg" TargetMode="External"/><Relationship Id="rId1486" Type="http://schemas.openxmlformats.org/officeDocument/2006/relationships/hyperlink" Target="https://commons.wikimedia.org/wiki/File:Cuenca_Media_del_R%C3%ADo_In%C3%ADrida,_Guain%C3%ADa.jpg_09.jpg" TargetMode="External"/><Relationship Id="rId4512" Type="http://schemas.openxmlformats.org/officeDocument/2006/relationships/hyperlink" Target="https://upload.wikimedia.org/wikipedia/commons/d/d4/Recorrido_jardin_botanico.jpg" TargetMode="External"/><Relationship Id="rId650" Type="http://schemas.openxmlformats.org/officeDocument/2006/relationships/hyperlink" Target="https://maps.google.com/?q=4.601090,-74.064102" TargetMode="External"/><Relationship Id="rId1487" Type="http://schemas.openxmlformats.org/officeDocument/2006/relationships/hyperlink" Target="https://upload.wikimedia.org/wikipedia/commons/f/f8/Cuenca_Media_del_R%C3%ADo_In%C3%ADrida%2C_Guain%C3%ADa.jpg_10.jpg" TargetMode="External"/><Relationship Id="rId4511" Type="http://schemas.openxmlformats.org/officeDocument/2006/relationships/hyperlink" Target="https://commons.wikimedia.org/wiki/File:Recorrido_de_la_reserva_distrital_de_humedal_de_cordoba.jpg" TargetMode="External"/><Relationship Id="rId3216" Type="http://schemas.openxmlformats.org/officeDocument/2006/relationships/hyperlink" Target="https://upload.wikimedia.org/wikipedia/commons/2/23/Maices_diversos_en_Sumapaz.jpg" TargetMode="External"/><Relationship Id="rId4547" Type="http://schemas.openxmlformats.org/officeDocument/2006/relationships/hyperlink" Target="https://upload.wikimedia.org/wikipedia/commons/9/95/Relieve_monta%C3%B1oso_de_la_cuenca_del_R%C3%ADo_Magdalena.jpg" TargetMode="External"/><Relationship Id="rId3215" Type="http://schemas.openxmlformats.org/officeDocument/2006/relationships/hyperlink" Target="https://maps.google.com/?q=4.172187,-74.146794" TargetMode="External"/><Relationship Id="rId4546" Type="http://schemas.openxmlformats.org/officeDocument/2006/relationships/hyperlink" Target="https://commons.wikimedia.org/wiki/File:Release_of_Lepidochelys_olivacea_-_Nuqu%C3%AD,_Choc%C3%B3,_Colombia_-_23_Oct_2025_-_Diferoch_-_3.jpg" TargetMode="External"/><Relationship Id="rId3218" Type="http://schemas.openxmlformats.org/officeDocument/2006/relationships/hyperlink" Target="https://maps.google.com/?q=5.566908,-74.906831" TargetMode="External"/><Relationship Id="rId4549" Type="http://schemas.openxmlformats.org/officeDocument/2006/relationships/hyperlink" Target="https://maps.google.com/?q=4.669437,-74.097702" TargetMode="External"/><Relationship Id="rId3217" Type="http://schemas.openxmlformats.org/officeDocument/2006/relationships/hyperlink" Target="https://commons.wikimedia.org/wiki/File:Maices_diversos_en_Sumapaz.jpg" TargetMode="External"/><Relationship Id="rId4548" Type="http://schemas.openxmlformats.org/officeDocument/2006/relationships/hyperlink" Target="https://commons.wikimedia.org/wiki/File:Relieve_monta%C3%B1oso_de_la_cuenca_del_R%C3%ADo_Magdalena.jpg" TargetMode="External"/><Relationship Id="rId3219" Type="http://schemas.openxmlformats.org/officeDocument/2006/relationships/hyperlink" Target="https://upload.wikimedia.org/wikipedia/commons/c/c0/Manchas_mias.jpg" TargetMode="External"/><Relationship Id="rId689" Type="http://schemas.openxmlformats.org/officeDocument/2006/relationships/hyperlink" Target="https://upload.wikimedia.org/wikipedia/commons/3/37/Bosque_denso_de_frailejones_en_el_Parque_Nacional_Natural_Sumapaz.jpg" TargetMode="External"/><Relationship Id="rId688" Type="http://schemas.openxmlformats.org/officeDocument/2006/relationships/hyperlink" Target="https://commons.wikimedia.org/wiki/File:Bosque_de_pinos_quebrada_La_vieja.jpg" TargetMode="External"/><Relationship Id="rId687" Type="http://schemas.openxmlformats.org/officeDocument/2006/relationships/hyperlink" Target="https://upload.wikimedia.org/wikipedia/commons/3/35/Bosque_de_pinos_quebrada_La_vieja.jpg" TargetMode="External"/><Relationship Id="rId682" Type="http://schemas.openxmlformats.org/officeDocument/2006/relationships/hyperlink" Target="https://commons.wikimedia.org/wiki/File:Bosque_de_Calaguala_(Pleopeltis_macrocarpa).jpg" TargetMode="External"/><Relationship Id="rId681" Type="http://schemas.openxmlformats.org/officeDocument/2006/relationships/hyperlink" Target="https://upload.wikimedia.org/wikipedia/commons/6/68/Bosque_de_Calaguala_%28Pleopeltis_macrocarpa%29.jpg" TargetMode="External"/><Relationship Id="rId680" Type="http://schemas.openxmlformats.org/officeDocument/2006/relationships/hyperlink" Target="https://commons.wikimedia.org/wiki/File:Bosque_altoandino.jpg" TargetMode="External"/><Relationship Id="rId3210" Type="http://schemas.openxmlformats.org/officeDocument/2006/relationships/hyperlink" Target="https://maps.google.com/?q=4.667750,-74.099940" TargetMode="External"/><Relationship Id="rId4541" Type="http://schemas.openxmlformats.org/officeDocument/2006/relationships/hyperlink" Target="https://maps.google.com/?q=5.613982,-77.433433" TargetMode="External"/><Relationship Id="rId4540" Type="http://schemas.openxmlformats.org/officeDocument/2006/relationships/hyperlink" Target="https://commons.wikimedia.org/wiki/File:Release_of_Lepidochelys_olivacea_-_Nuqu%C3%AD,_Choc%C3%B3,_Colombia_-_23_Oct_2025_-_Diferoch_-_1.jpg" TargetMode="External"/><Relationship Id="rId686" Type="http://schemas.openxmlformats.org/officeDocument/2006/relationships/hyperlink" Target="https://maps.google.com/?q=4.637430,-74.044630" TargetMode="External"/><Relationship Id="rId3212" Type="http://schemas.openxmlformats.org/officeDocument/2006/relationships/hyperlink" Target="https://commons.wikimedia.org/wiki/File:Madro%C3%B1o_1.jpg" TargetMode="External"/><Relationship Id="rId4543" Type="http://schemas.openxmlformats.org/officeDocument/2006/relationships/hyperlink" Target="https://commons.wikimedia.org/wiki/File:Release_of_Lepidochelys_olivacea_-_Nuqu%C3%AD,_Choc%C3%B3,_Colombia_-_23_Oct_2025_-_Diferoch_-_2.jpg" TargetMode="External"/><Relationship Id="rId685" Type="http://schemas.openxmlformats.org/officeDocument/2006/relationships/hyperlink" Target="https://commons.wikimedia.org/wiki/File:Bosque_de_palma_de_cera.jpg" TargetMode="External"/><Relationship Id="rId3211" Type="http://schemas.openxmlformats.org/officeDocument/2006/relationships/hyperlink" Target="https://upload.wikimedia.org/wikipedia/commons/5/56/Madro%C3%B1o_1.jpg" TargetMode="External"/><Relationship Id="rId4542" Type="http://schemas.openxmlformats.org/officeDocument/2006/relationships/hyperlink" Target="https://upload.wikimedia.org/wikipedia/commons/b/b1/Release_of_Lepidochelys_olivacea_-_Nuqu%C3%AD%2C_Choc%C3%B3%2C_Colombia_-_23_Oct_2025_-_Diferoch_-_2.jpg" TargetMode="External"/><Relationship Id="rId684" Type="http://schemas.openxmlformats.org/officeDocument/2006/relationships/hyperlink" Target="https://upload.wikimedia.org/wikipedia/commons/f/f6/Bosque_de_palma_de_cera.jpg" TargetMode="External"/><Relationship Id="rId3214" Type="http://schemas.openxmlformats.org/officeDocument/2006/relationships/hyperlink" Target="https://commons.wikimedia.org/wiki/File:Madrugada_con_vista_del_r%C3%ADo_Cauca.jpg" TargetMode="External"/><Relationship Id="rId4545" Type="http://schemas.openxmlformats.org/officeDocument/2006/relationships/hyperlink" Target="https://upload.wikimedia.org/wikipedia/commons/4/48/Release_of_Lepidochelys_olivacea_-_Nuqu%C3%AD%2C_Choc%C3%B3%2C_Colombia_-_23_Oct_2025_-_Diferoch_-_3.jpg" TargetMode="External"/><Relationship Id="rId683" Type="http://schemas.openxmlformats.org/officeDocument/2006/relationships/hyperlink" Target="https://maps.google.com/?q=4.322739,-75.549214" TargetMode="External"/><Relationship Id="rId3213" Type="http://schemas.openxmlformats.org/officeDocument/2006/relationships/hyperlink" Target="https://upload.wikimedia.org/wikipedia/commons/c/c9/Madrugada_con_vista_del_r%C3%ADo_Cauca.jpg" TargetMode="External"/><Relationship Id="rId4544" Type="http://schemas.openxmlformats.org/officeDocument/2006/relationships/hyperlink" Target="https://maps.google.com/?q=5.614262,-77.433572" TargetMode="External"/><Relationship Id="rId3205" Type="http://schemas.openxmlformats.org/officeDocument/2006/relationships/hyperlink" Target="https://commons.wikimedia.org/wiki/File:Machetornis_rixosa_flavigularis_-_Barrancabermeja,_Santander,_Colombia_-_3_Jun_2025_-_2.jpg" TargetMode="External"/><Relationship Id="rId4536" Type="http://schemas.openxmlformats.org/officeDocument/2006/relationships/hyperlink" Target="https://upload.wikimedia.org/wikipedia/commons/f/f8/Reinita_Cabecidorada.jpg" TargetMode="External"/><Relationship Id="rId3204" Type="http://schemas.openxmlformats.org/officeDocument/2006/relationships/hyperlink" Target="https://upload.wikimedia.org/wikipedia/commons/7/78/Machetornis_rixosa_flavigularis_-_Barrancabermeja%2C_Santander%2C_Colombia_-_3_Jun_2025_-_2.jpg" TargetMode="External"/><Relationship Id="rId4535" Type="http://schemas.openxmlformats.org/officeDocument/2006/relationships/hyperlink" Target="https://commons.wikimedia.org/wiki/File:Reina_de_la_noche_sudamericana_y_Ucle_(tornillo)_%E2%80%93_G%C3%A9nero_Cereus_%E2%80%93_Familia_Cactaceae.png" TargetMode="External"/><Relationship Id="rId3207" Type="http://schemas.openxmlformats.org/officeDocument/2006/relationships/hyperlink" Target="https://commons.wikimedia.org/wiki/File:Macho_euphonia_construyendo_su_nido.jpg" TargetMode="External"/><Relationship Id="rId4538" Type="http://schemas.openxmlformats.org/officeDocument/2006/relationships/hyperlink" Target="https://maps.google.com/?q=5.613725,-77.433403" TargetMode="External"/><Relationship Id="rId3206" Type="http://schemas.openxmlformats.org/officeDocument/2006/relationships/hyperlink" Target="https://upload.wikimedia.org/wikipedia/commons/a/af/Macho_euphonia_construyendo_su_nido.jpg" TargetMode="External"/><Relationship Id="rId4537" Type="http://schemas.openxmlformats.org/officeDocument/2006/relationships/hyperlink" Target="https://commons.wikimedia.org/wiki/File:Reinita_Cabecidorada.jpg" TargetMode="External"/><Relationship Id="rId3209" Type="http://schemas.openxmlformats.org/officeDocument/2006/relationships/hyperlink" Target="https://commons.wikimedia.org/wiki/File:Macho_euphonia_piquigruesa.jpg" TargetMode="External"/><Relationship Id="rId3208" Type="http://schemas.openxmlformats.org/officeDocument/2006/relationships/hyperlink" Target="https://upload.wikimedia.org/wikipedia/commons/3/32/Macho_euphonia_piquigruesa.jpg" TargetMode="External"/><Relationship Id="rId4539" Type="http://schemas.openxmlformats.org/officeDocument/2006/relationships/hyperlink" Target="https://upload.wikimedia.org/wikipedia/commons/c/c0/Release_of_Lepidochelys_olivacea_-_Nuqu%C3%AD%2C_Choc%C3%B3%2C_Colombia_-_23_Oct_2025_-_Diferoch_-_1.jpg" TargetMode="External"/><Relationship Id="rId679" Type="http://schemas.openxmlformats.org/officeDocument/2006/relationships/hyperlink" Target="https://upload.wikimedia.org/wikipedia/commons/3/3f/Bosque_altoandino.jpg" TargetMode="External"/><Relationship Id="rId678" Type="http://schemas.openxmlformats.org/officeDocument/2006/relationships/hyperlink" Target="https://commons.wikimedia.org/wiki/File:Bosque_H%C3%BAmedo_Nublado_-_PNN_Cueva_de_los_Guacharos.jpg" TargetMode="External"/><Relationship Id="rId677" Type="http://schemas.openxmlformats.org/officeDocument/2006/relationships/hyperlink" Target="https://upload.wikimedia.org/wikipedia/commons/0/03/Bosque_H%C3%BAmedo_Nublado_-_PNN_Cueva_de_los_Guacharos.jpg" TargetMode="External"/><Relationship Id="rId676" Type="http://schemas.openxmlformats.org/officeDocument/2006/relationships/hyperlink" Target="https://commons.wikimedia.org/wiki/File:Bosque_Espeletia_uribei.jpg" TargetMode="External"/><Relationship Id="rId671" Type="http://schemas.openxmlformats.org/officeDocument/2006/relationships/hyperlink" Target="https://upload.wikimedia.org/wikipedia/commons/7/75/Borraja_de_flor_blanca_abeja_mel%C3%ADfera.jpg" TargetMode="External"/><Relationship Id="rId670" Type="http://schemas.openxmlformats.org/officeDocument/2006/relationships/hyperlink" Target="https://commons.wikimedia.org/wiki/File:Borraja_de_flor_blanca_(Borago_officinalis_alba_o_bianca)_abeja_mel%C3%ADfera.jpg" TargetMode="External"/><Relationship Id="rId4530" Type="http://schemas.openxmlformats.org/officeDocument/2006/relationships/hyperlink" Target="https://commons.wikimedia.org/wiki/File:Reflexionando.jpg" TargetMode="External"/><Relationship Id="rId675" Type="http://schemas.openxmlformats.org/officeDocument/2006/relationships/hyperlink" Target="https://upload.wikimedia.org/wikipedia/commons/9/99/Bosque_Espeletia_uribei.jpg" TargetMode="External"/><Relationship Id="rId3201" Type="http://schemas.openxmlformats.org/officeDocument/2006/relationships/hyperlink" Target="https://upload.wikimedia.org/wikipedia/commons/b/bf/Machetornis_rixosa_flavigularis_-_Barrancabermeja%2C_Santander%2C_Colombia_-_3_Jun_2025_-_1.jpg" TargetMode="External"/><Relationship Id="rId4532" Type="http://schemas.openxmlformats.org/officeDocument/2006/relationships/hyperlink" Target="https://commons.wikimedia.org/wiki/File:Refugio_de_color.jpg" TargetMode="External"/><Relationship Id="rId674" Type="http://schemas.openxmlformats.org/officeDocument/2006/relationships/hyperlink" Target="https://commons.wikimedia.org/wiki/File:Bosque_20260529_090140.jpg" TargetMode="External"/><Relationship Id="rId3200" Type="http://schemas.openxmlformats.org/officeDocument/2006/relationships/hyperlink" Target="https://maps.google.com/?q=7.083168,-73.866101" TargetMode="External"/><Relationship Id="rId4531" Type="http://schemas.openxmlformats.org/officeDocument/2006/relationships/hyperlink" Target="https://upload.wikimedia.org/wikipedia/commons/3/39/Refugio_de_color.jpg" TargetMode="External"/><Relationship Id="rId673" Type="http://schemas.openxmlformats.org/officeDocument/2006/relationships/hyperlink" Target="https://upload.wikimedia.org/wikipedia/commons/b/b7/Bosque_20260529_090140.jpg" TargetMode="External"/><Relationship Id="rId3203" Type="http://schemas.openxmlformats.org/officeDocument/2006/relationships/hyperlink" Target="https://maps.google.com/?q=7.083168,-73.866101" TargetMode="External"/><Relationship Id="rId4534" Type="http://schemas.openxmlformats.org/officeDocument/2006/relationships/hyperlink" Target="https://upload.wikimedia.org/wikipedia/commons/1/1b/Reina_de_la_noche_sudamericana_y_Ucle_%28tornillo%29_%E2%80%93_G%C3%A9nero_Cereus_%E2%80%93_Familia_Cactaceae.png" TargetMode="External"/><Relationship Id="rId672" Type="http://schemas.openxmlformats.org/officeDocument/2006/relationships/hyperlink" Target="https://commons.wikimedia.org/wiki/File:Borraja_de_flor_blanca_abeja_mel%C3%ADfera.jpg" TargetMode="External"/><Relationship Id="rId3202" Type="http://schemas.openxmlformats.org/officeDocument/2006/relationships/hyperlink" Target="https://commons.wikimedia.org/wiki/File:Machetornis_rixosa_flavigularis_-_Barrancabermeja,_Santander,_Colombia_-_3_Jun_2025_-_1.jpg" TargetMode="External"/><Relationship Id="rId4533" Type="http://schemas.openxmlformats.org/officeDocument/2006/relationships/hyperlink" Target="https://maps.google.com/?q=4.669437,-74.097702" TargetMode="External"/><Relationship Id="rId190" Type="http://schemas.openxmlformats.org/officeDocument/2006/relationships/hyperlink" Target="https://commons.wikimedia.org/wiki/File:Anaconda_verde_(Eunectes_murinus)_fotografiada_en_Casanare,_Colombia.jpg" TargetMode="External"/><Relationship Id="rId5019" Type="http://schemas.openxmlformats.org/officeDocument/2006/relationships/hyperlink" Target="https://commons.wikimedia.org/wiki/File:Terlaque_Pechiazul.jpg" TargetMode="External"/><Relationship Id="rId194" Type="http://schemas.openxmlformats.org/officeDocument/2006/relationships/hyperlink" Target="https://upload.wikimedia.org/wikipedia/commons/5/5e/Ananas_comosus_Bogot%C3%A1.jpg" TargetMode="External"/><Relationship Id="rId193" Type="http://schemas.openxmlformats.org/officeDocument/2006/relationships/hyperlink" Target="https://maps.google.com/?q=4.668289,-74.097017" TargetMode="External"/><Relationship Id="rId192" Type="http://schemas.openxmlformats.org/officeDocument/2006/relationships/hyperlink" Target="https://commons.wikimedia.org/wiki/File:Anacridium_2026-06-26.jpg" TargetMode="External"/><Relationship Id="rId191" Type="http://schemas.openxmlformats.org/officeDocument/2006/relationships/hyperlink" Target="https://upload.wikimedia.org/wikipedia/commons/e/e9/Anacridium_2026-06-26.jpg" TargetMode="External"/><Relationship Id="rId5010" Type="http://schemas.openxmlformats.org/officeDocument/2006/relationships/hyperlink" Target="https://upload.wikimedia.org/wikipedia/commons/c/c3/Tayrona_Beaches.jpg" TargetMode="External"/><Relationship Id="rId187" Type="http://schemas.openxmlformats.org/officeDocument/2006/relationships/hyperlink" Target="https://upload.wikimedia.org/wikipedia/commons/4/4c/Anaconda_verde_%28Eunectes_murinus%29_en_Casanare%2C_Colombia.jpg" TargetMode="External"/><Relationship Id="rId5013" Type="http://schemas.openxmlformats.org/officeDocument/2006/relationships/hyperlink" Target="https://commons.wikimedia.org/wiki/File:Tayrona_National_Park.jpg" TargetMode="External"/><Relationship Id="rId186" Type="http://schemas.openxmlformats.org/officeDocument/2006/relationships/hyperlink" Target="https://commons.wikimedia.org/wiki/File:Anaconda_verde_(Eunectes_murinus)_de_Casanare,_Colombia.jpg" TargetMode="External"/><Relationship Id="rId5014" Type="http://schemas.openxmlformats.org/officeDocument/2006/relationships/hyperlink" Target="https://upload.wikimedia.org/wikipedia/commons/1/11/Tepuy_serran%C3%ADa_del_Chiribiquete.jpg" TargetMode="External"/><Relationship Id="rId185" Type="http://schemas.openxmlformats.org/officeDocument/2006/relationships/hyperlink" Target="https://upload.wikimedia.org/wikipedia/commons/a/ae/Anaconda_verde_%28Eunectes_murinus%29_de_Casanare%2C_Colombia.jpg" TargetMode="External"/><Relationship Id="rId5011" Type="http://schemas.openxmlformats.org/officeDocument/2006/relationships/hyperlink" Target="https://commons.wikimedia.org/wiki/File:Tayrona_Beaches.jpg" TargetMode="External"/><Relationship Id="rId184" Type="http://schemas.openxmlformats.org/officeDocument/2006/relationships/hyperlink" Target="https://commons.wikimedia.org/wiki/File:Anaconda_(Eunectes_murinus)_PNN_Cahuinari.jpg" TargetMode="External"/><Relationship Id="rId5012" Type="http://schemas.openxmlformats.org/officeDocument/2006/relationships/hyperlink" Target="https://upload.wikimedia.org/wikipedia/commons/6/61/Tayrona_National_Park.jpg" TargetMode="External"/><Relationship Id="rId5017" Type="http://schemas.openxmlformats.org/officeDocument/2006/relationships/hyperlink" Target="https://commons.wikimedia.org/wiki/File:Terciopelohuila_12.jpg" TargetMode="External"/><Relationship Id="rId5018" Type="http://schemas.openxmlformats.org/officeDocument/2006/relationships/hyperlink" Target="https://upload.wikimedia.org/wikipedia/commons/b/b1/Terlaque_Pechiazul.jpg" TargetMode="External"/><Relationship Id="rId189" Type="http://schemas.openxmlformats.org/officeDocument/2006/relationships/hyperlink" Target="https://upload.wikimedia.org/wikipedia/commons/9/9f/Anaconda_verde_%28Eunectes_murinus%29_fotografiada_en_Casanare%2C_Colombia.jpg" TargetMode="External"/><Relationship Id="rId5015" Type="http://schemas.openxmlformats.org/officeDocument/2006/relationships/hyperlink" Target="https://commons.wikimedia.org/wiki/File:Tepuy_serran%C3%ADa_del_Chiribiquete.jpg" TargetMode="External"/><Relationship Id="rId188" Type="http://schemas.openxmlformats.org/officeDocument/2006/relationships/hyperlink" Target="https://commons.wikimedia.org/wiki/File:Anaconda_verde_(Eunectes_murinus)_en_Casanare,_Colombia.jpg" TargetMode="External"/><Relationship Id="rId5016" Type="http://schemas.openxmlformats.org/officeDocument/2006/relationships/hyperlink" Target="https://upload.wikimedia.org/wikipedia/commons/1/1a/Terciopelohuila_12.jpg" TargetMode="External"/><Relationship Id="rId5008" Type="http://schemas.openxmlformats.org/officeDocument/2006/relationships/hyperlink" Target="https://upload.wikimedia.org/wikipedia/commons/3/32/Tarantula_en_la_SNSM.jpg" TargetMode="External"/><Relationship Id="rId5009" Type="http://schemas.openxmlformats.org/officeDocument/2006/relationships/hyperlink" Target="https://commons.wikimedia.org/wiki/File:Tarantula_en_la_SNSM.jpg" TargetMode="External"/><Relationship Id="rId183" Type="http://schemas.openxmlformats.org/officeDocument/2006/relationships/hyperlink" Target="https://upload.wikimedia.org/wikipedia/commons/b/b0/Anaconda_%28Eunectes_murinus%29_PNN_Cahuinari.jpg" TargetMode="External"/><Relationship Id="rId182" Type="http://schemas.openxmlformats.org/officeDocument/2006/relationships/hyperlink" Target="https://commons.wikimedia.org/wiki/File:Anacardium_excelsum,_Caracol%C3%AD,_in_Tayrona_National_Park,_Caribbean_region,_tropical_dry_forest,_Colombia_-_2025.jpg" TargetMode="External"/><Relationship Id="rId181" Type="http://schemas.openxmlformats.org/officeDocument/2006/relationships/hyperlink" Target="https://upload.wikimedia.org/wikipedia/commons/1/1b/Anacardium_excelsum%2C_Caracol%C3%AD%2C_in_Tayrona_National_Park%2C_Caribbean_region%2C_tropical_dry_forest%2C_Colombia_-_2025.jpg" TargetMode="External"/><Relationship Id="rId180" Type="http://schemas.openxmlformats.org/officeDocument/2006/relationships/hyperlink" Target="https://commons.wikimedia.org/wiki/File:Amplexus_of_Leptodactylus_savagei_-_Cimitarra,_Santander,_Colombia_-_03_Oct_2025_-_Diferoch.jpg" TargetMode="External"/><Relationship Id="rId176" Type="http://schemas.openxmlformats.org/officeDocument/2006/relationships/hyperlink" Target="https://upload.wikimedia.org/wikipedia/commons/6/6c/Amplexo_de_Boana_pugnax.jpg" TargetMode="External"/><Relationship Id="rId5002" Type="http://schemas.openxmlformats.org/officeDocument/2006/relationships/hyperlink" Target="https://commons.wikimedia.org/wiki/File:Tangara_dorsirroja_hembra_(Ramphocelus_dimidiatus).jpg" TargetMode="External"/><Relationship Id="rId175" Type="http://schemas.openxmlformats.org/officeDocument/2006/relationships/hyperlink" Target="https://maps.google.com/?q=5.862240,-74.870470" TargetMode="External"/><Relationship Id="rId5003" Type="http://schemas.openxmlformats.org/officeDocument/2006/relationships/hyperlink" Target="https://upload.wikimedia.org/wikipedia/commons/f/f9/Tangar%C3%A1_Pecosa.jpg" TargetMode="External"/><Relationship Id="rId174" Type="http://schemas.openxmlformats.org/officeDocument/2006/relationships/hyperlink" Target="https://commons.wikimedia.org/wiki/File:Amor_por_la_vida_y_bienestar_de_las_especies.jpg" TargetMode="External"/><Relationship Id="rId5000" Type="http://schemas.openxmlformats.org/officeDocument/2006/relationships/hyperlink" Target="https://maps.google.com/?q=4.581600,-7.417210" TargetMode="External"/><Relationship Id="rId173" Type="http://schemas.openxmlformats.org/officeDocument/2006/relationships/hyperlink" Target="https://upload.wikimedia.org/wikipedia/commons/c/ca/Amor_por_la_vida_y_bienestar_de_las_especies.jpg" TargetMode="External"/><Relationship Id="rId5001" Type="http://schemas.openxmlformats.org/officeDocument/2006/relationships/hyperlink" Target="https://upload.wikimedia.org/wikipedia/commons/d/d7/Tangara_dorsirroja_hembra_%28Ramphocelus_dimidiatus%29.jpg" TargetMode="External"/><Relationship Id="rId5006" Type="http://schemas.openxmlformats.org/officeDocument/2006/relationships/hyperlink" Target="https://commons.wikimedia.org/wiki/File:Tarantula_de_mi_patio.jpg" TargetMode="External"/><Relationship Id="rId179" Type="http://schemas.openxmlformats.org/officeDocument/2006/relationships/hyperlink" Target="https://upload.wikimedia.org/wikipedia/commons/b/be/Amplexus_of_Leptodactylus_savagei_-_Cimitarra%2C_Santander%2C_Colombia_-_03_Oct_2025_-_Diferoch.jpg" TargetMode="External"/><Relationship Id="rId5007" Type="http://schemas.openxmlformats.org/officeDocument/2006/relationships/hyperlink" Target="https://maps.google.com/?q=10.829200,-73.692300" TargetMode="External"/><Relationship Id="rId178" Type="http://schemas.openxmlformats.org/officeDocument/2006/relationships/hyperlink" Target="https://maps.google.com/?q=6.701142,-74.152047" TargetMode="External"/><Relationship Id="rId5004" Type="http://schemas.openxmlformats.org/officeDocument/2006/relationships/hyperlink" Target="https://commons.wikimedia.org/wiki/File:Tangar%C3%A1_Pecosa.jpg" TargetMode="External"/><Relationship Id="rId177" Type="http://schemas.openxmlformats.org/officeDocument/2006/relationships/hyperlink" Target="https://commons.wikimedia.org/wiki/File:Amplexo_de_Boana_pugnax.jpg" TargetMode="External"/><Relationship Id="rId5005" Type="http://schemas.openxmlformats.org/officeDocument/2006/relationships/hyperlink" Target="https://upload.wikimedia.org/wikipedia/commons/0/02/Tarantula_de_mi_patio.jpg" TargetMode="External"/><Relationship Id="rId5031" Type="http://schemas.openxmlformats.org/officeDocument/2006/relationships/hyperlink" Target="https://upload.wikimedia.org/wikipedia/commons/e/e0/The_Chicamocha_Canyon_seen_from_a_small_town.jpg" TargetMode="External"/><Relationship Id="rId5032" Type="http://schemas.openxmlformats.org/officeDocument/2006/relationships/hyperlink" Target="https://commons.wikimedia.org/wiki/File:The_Chicamocha_Canyon_seen_from_a_small_town.jpg" TargetMode="External"/><Relationship Id="rId5030" Type="http://schemas.openxmlformats.org/officeDocument/2006/relationships/hyperlink" Target="https://commons.wikimedia.org/wiki/File:Thaumetopoea_pityocampa_26-05-17.jpg" TargetMode="External"/><Relationship Id="rId5035" Type="http://schemas.openxmlformats.org/officeDocument/2006/relationships/hyperlink" Target="https://upload.wikimedia.org/wikipedia/commons/9/97/Thraupis_episcopus_-_Sasaima_Cundinamarca.jpg" TargetMode="External"/><Relationship Id="rId5036" Type="http://schemas.openxmlformats.org/officeDocument/2006/relationships/hyperlink" Target="https://commons.wikimedia.org/wiki/File:Thraupis_episcopus_-_Sasaima_Cundinamarca.jpg" TargetMode="External"/><Relationship Id="rId5033" Type="http://schemas.openxmlformats.org/officeDocument/2006/relationships/hyperlink" Target="https://upload.wikimedia.org/wikipedia/commons/8/8c/The_beautiful_Colombian_Coast.jpg" TargetMode="External"/><Relationship Id="rId5034" Type="http://schemas.openxmlformats.org/officeDocument/2006/relationships/hyperlink" Target="https://commons.wikimedia.org/wiki/File:The_beautiful_Colombian_Coast.jpg" TargetMode="External"/><Relationship Id="rId5039" Type="http://schemas.openxmlformats.org/officeDocument/2006/relationships/hyperlink" Target="https://maps.google.com/?q=7.094410,-73.756035" TargetMode="External"/><Relationship Id="rId5037" Type="http://schemas.openxmlformats.org/officeDocument/2006/relationships/hyperlink" Target="https://upload.wikimedia.org/wikipedia/commons/b/bb/Tiger_beetle_on_the_rocks_of_Villa_de_Leyva%2C_Boyac%C3%A1%2C_Colombia.jpg" TargetMode="External"/><Relationship Id="rId5038" Type="http://schemas.openxmlformats.org/officeDocument/2006/relationships/hyperlink" Target="https://commons.wikimedia.org/wiki/File:Tiger_beetle_on_the_rocks_of_Villa_de_Leyva,_Boyac%C3%A1,_Colombia.jpg" TargetMode="External"/><Relationship Id="rId5020" Type="http://schemas.openxmlformats.org/officeDocument/2006/relationships/hyperlink" Target="https://upload.wikimedia.org/wikipedia/commons/0/03/Termales_santa_rosa_de_cabal.jpg" TargetMode="External"/><Relationship Id="rId5021" Type="http://schemas.openxmlformats.org/officeDocument/2006/relationships/hyperlink" Target="https://commons.wikimedia.org/wiki/File:Termales_santa_rosa_de_cabal.jpg" TargetMode="External"/><Relationship Id="rId198" Type="http://schemas.openxmlformats.org/officeDocument/2006/relationships/hyperlink" Target="https://upload.wikimedia.org/wikipedia/commons/3/33/Andean_cock-of-the-rock_%28Rupicola_peruvianus%29_Antioquia_4.jpg" TargetMode="External"/><Relationship Id="rId5024" Type="http://schemas.openxmlformats.org/officeDocument/2006/relationships/hyperlink" Target="https://upload.wikimedia.org/wikipedia/commons/f/f4/Tesoro_del_Sol.jpg" TargetMode="External"/><Relationship Id="rId197" Type="http://schemas.openxmlformats.org/officeDocument/2006/relationships/hyperlink" Target="https://commons.wikimedia.org/wiki/File:Anartia_Amathea_-_Pavo_real_rojo.jpg" TargetMode="External"/><Relationship Id="rId5025" Type="http://schemas.openxmlformats.org/officeDocument/2006/relationships/hyperlink" Target="https://commons.wikimedia.org/wiki/File:Tesoro_del_Sol.jpg" TargetMode="External"/><Relationship Id="rId196" Type="http://schemas.openxmlformats.org/officeDocument/2006/relationships/hyperlink" Target="https://upload.wikimedia.org/wikipedia/commons/0/01/Anartia_Amathea_-_Pavo_real_rojo.jpg" TargetMode="External"/><Relationship Id="rId5022" Type="http://schemas.openxmlformats.org/officeDocument/2006/relationships/hyperlink" Target="https://upload.wikimedia.org/wikipedia/commons/a/a2/Termas_20260529_090536.jpg" TargetMode="External"/><Relationship Id="rId195" Type="http://schemas.openxmlformats.org/officeDocument/2006/relationships/hyperlink" Target="https://commons.wikimedia.org/wiki/File:Ananas_comosus_Bogot%C3%A1.jpg" TargetMode="External"/><Relationship Id="rId5023" Type="http://schemas.openxmlformats.org/officeDocument/2006/relationships/hyperlink" Target="https://commons.wikimedia.org/wiki/File:Termas_20260529_090536.jpg" TargetMode="External"/><Relationship Id="rId5028" Type="http://schemas.openxmlformats.org/officeDocument/2006/relationships/hyperlink" Target="https://maps.google.com/?q=4.559625,-74.005714" TargetMode="External"/><Relationship Id="rId5029" Type="http://schemas.openxmlformats.org/officeDocument/2006/relationships/hyperlink" Target="https://upload.wikimedia.org/wikipedia/commons/f/fe/Thaumetopoea_pityocampa_26-05-17.jpg" TargetMode="External"/><Relationship Id="rId5026" Type="http://schemas.openxmlformats.org/officeDocument/2006/relationships/hyperlink" Target="https://upload.wikimedia.org/wikipedia/commons/a/a4/Textura_de_cristal.jpg" TargetMode="External"/><Relationship Id="rId199" Type="http://schemas.openxmlformats.org/officeDocument/2006/relationships/hyperlink" Target="https://commons.wikimedia.org/wiki/File:Andean_cock-of-the-rock_(Rupicola_peruvianus)_Antioquia_4.jpg" TargetMode="External"/><Relationship Id="rId5027" Type="http://schemas.openxmlformats.org/officeDocument/2006/relationships/hyperlink" Target="https://commons.wikimedia.org/wiki/File:Textura_de_cristal.jpg" TargetMode="External"/><Relationship Id="rId150" Type="http://schemas.openxmlformats.org/officeDocument/2006/relationships/hyperlink" Target="https://upload.wikimedia.org/wikipedia/commons/3/33/Amarillashuila_10.jpg" TargetMode="External"/><Relationship Id="rId149" Type="http://schemas.openxmlformats.org/officeDocument/2006/relationships/hyperlink" Target="https://commons.wikimedia.org/wiki/File:Amarillapollitohuila_11.jpg" TargetMode="External"/><Relationship Id="rId148" Type="http://schemas.openxmlformats.org/officeDocument/2006/relationships/hyperlink" Target="https://upload.wikimedia.org/wikipedia/commons/1/17/Amarillapollitohuila_11.jpg" TargetMode="External"/><Relationship Id="rId3270" Type="http://schemas.openxmlformats.org/officeDocument/2006/relationships/hyperlink" Target="https://commons.wikimedia.org/wiki/File:Mariamulatas_en_la_muralla_de_Cartagena.jpg" TargetMode="External"/><Relationship Id="rId3272" Type="http://schemas.openxmlformats.org/officeDocument/2006/relationships/hyperlink" Target="https://upload.wikimedia.org/wikipedia/commons/6/6c/Mariposa_Mesosemia_en_Paque_Verde_Y_Agua%2C_Fusagasug%C3%A1%2C_%28Cundinamarca%29.jpg" TargetMode="External"/><Relationship Id="rId3271" Type="http://schemas.openxmlformats.org/officeDocument/2006/relationships/hyperlink" Target="https://maps.google.com/?q=4.360644,-74.335404" TargetMode="External"/><Relationship Id="rId143" Type="http://schemas.openxmlformats.org/officeDocument/2006/relationships/hyperlink" Target="https://commons.wikimedia.org/wiki/File:Amanita_muscaria_en_Cu%C3%ACtiva_Boyac%C3%A0.jpg" TargetMode="External"/><Relationship Id="rId3274" Type="http://schemas.openxmlformats.org/officeDocument/2006/relationships/hyperlink" Target="https://upload.wikimedia.org/wikipedia/commons/8/82/Mariposa_amarilla_con_marr%C3%B3n.jpg" TargetMode="External"/><Relationship Id="rId142" Type="http://schemas.openxmlformats.org/officeDocument/2006/relationships/hyperlink" Target="https://upload.wikimedia.org/wikipedia/commons/2/21/Amanita_muscaria_en_Cu%C3%ACtiva_Boyac%C3%A0.jpg" TargetMode="External"/><Relationship Id="rId3273" Type="http://schemas.openxmlformats.org/officeDocument/2006/relationships/hyperlink" Target="https://commons.wikimedia.org/wiki/File:Mariposa_Mesosemia_en_Paque_Verde_Y_Agua,_Fusagasug%C3%A1,_(Cundinamarca).jpg" TargetMode="External"/><Relationship Id="rId141" Type="http://schemas.openxmlformats.org/officeDocument/2006/relationships/hyperlink" Target="https://commons.wikimedia.org/wiki/File:Amanecer_Nevado_Cocuy_09.jpg" TargetMode="External"/><Relationship Id="rId3276" Type="http://schemas.openxmlformats.org/officeDocument/2006/relationships/hyperlink" Target="https://upload.wikimedia.org/wikipedia/commons/2/22/Mariposa_cebra_%28Hamadryas_laodamia%29_en_Villavicencio%2C_Colombia.jpg" TargetMode="External"/><Relationship Id="rId140" Type="http://schemas.openxmlformats.org/officeDocument/2006/relationships/hyperlink" Target="https://upload.wikimedia.org/wikipedia/commons/f/f1/Amanecer_Nevado_Cocuy_09.jpg" TargetMode="External"/><Relationship Id="rId3275" Type="http://schemas.openxmlformats.org/officeDocument/2006/relationships/hyperlink" Target="https://commons.wikimedia.org/wiki/File:Mariposa_amarilla_con_marr%C3%B3n.jpg" TargetMode="External"/><Relationship Id="rId147" Type="http://schemas.openxmlformats.org/officeDocument/2006/relationships/hyperlink" Target="https://commons.wikimedia.org/wiki/File:Amarilis_en_Bogot%C3%A1.jpg" TargetMode="External"/><Relationship Id="rId3278" Type="http://schemas.openxmlformats.org/officeDocument/2006/relationships/hyperlink" Target="https://upload.wikimedia.org/wikipedia/commons/7/74/Mariposa_del_g%C3%A9nero_Pteronymia_en_Villeta%2C_Cundinamarca.jpg" TargetMode="External"/><Relationship Id="rId146" Type="http://schemas.openxmlformats.org/officeDocument/2006/relationships/hyperlink" Target="https://upload.wikimedia.org/wikipedia/commons/9/99/Amarilis_en_Bogot%C3%A1.jpg" TargetMode="External"/><Relationship Id="rId3277" Type="http://schemas.openxmlformats.org/officeDocument/2006/relationships/hyperlink" Target="https://commons.wikimedia.org/wiki/File:Mariposa_cebra_(Hamadryas_laodamia)_en_Villavicencio,_Colombia.jpg" TargetMode="External"/><Relationship Id="rId145" Type="http://schemas.openxmlformats.org/officeDocument/2006/relationships/hyperlink" Target="https://commons.wikimedia.org/wiki/File:Amanita_muscaria_in_a_conifer.jpg" TargetMode="External"/><Relationship Id="rId144" Type="http://schemas.openxmlformats.org/officeDocument/2006/relationships/hyperlink" Target="https://upload.wikimedia.org/wikipedia/commons/a/ad/Amanita_muscaria_in_a_conifer.jpg" TargetMode="External"/><Relationship Id="rId3279" Type="http://schemas.openxmlformats.org/officeDocument/2006/relationships/hyperlink" Target="https://commons.wikimedia.org/wiki/File:Mariposa_del_g%C3%A9nero_Pteronymia_en_Villeta,_Cundinamarca.jpg" TargetMode="External"/><Relationship Id="rId139" Type="http://schemas.openxmlformats.org/officeDocument/2006/relationships/hyperlink" Target="https://commons.wikimedia.org/wiki/File:Amanecer_Nevado_Cocuy_07.jpg" TargetMode="External"/><Relationship Id="rId138" Type="http://schemas.openxmlformats.org/officeDocument/2006/relationships/hyperlink" Target="https://upload.wikimedia.org/wikipedia/commons/d/d1/Amanecer_Nevado_Cocuy_07.jpg" TargetMode="External"/><Relationship Id="rId137" Type="http://schemas.openxmlformats.org/officeDocument/2006/relationships/hyperlink" Target="https://commons.wikimedia.org/wiki/File:Amanecer_Nevado_Cocuy_06.jpg" TargetMode="External"/><Relationship Id="rId4590" Type="http://schemas.openxmlformats.org/officeDocument/2006/relationships/hyperlink" Target="https://upload.wikimedia.org/wikipedia/commons/e/ef/Rio_Caquet%C3%A1_en_Verano_Tres_Islas_PNN_Cahuinari.jpg" TargetMode="External"/><Relationship Id="rId3261" Type="http://schemas.openxmlformats.org/officeDocument/2006/relationships/hyperlink" Target="https://commons.wikimedia.org/wiki/File:Marchan_t%C3%ADa_sp_Julian_Barrera.jpg" TargetMode="External"/><Relationship Id="rId4592" Type="http://schemas.openxmlformats.org/officeDocument/2006/relationships/hyperlink" Target="https://upload.wikimedia.org/wikipedia/commons/7/76/Rio_Caquet%C3%A1_en_verano_PNN_Cahuinari.jpg" TargetMode="External"/><Relationship Id="rId3260" Type="http://schemas.openxmlformats.org/officeDocument/2006/relationships/hyperlink" Target="https://upload.wikimedia.org/wikipedia/commons/9/9e/Marchan_t%C3%ADa_sp_Julian_Barrera.jpg" TargetMode="External"/><Relationship Id="rId4591" Type="http://schemas.openxmlformats.org/officeDocument/2006/relationships/hyperlink" Target="https://commons.wikimedia.org/wiki/File:Rio_Caquet%C3%A1_en_Verano_Tres_Islas_PNN_Cahuinari.jpg" TargetMode="External"/><Relationship Id="rId132" Type="http://schemas.openxmlformats.org/officeDocument/2006/relationships/hyperlink" Target="https://upload.wikimedia.org/wikipedia/commons/5/53/Amanecer_Nevado_Cocuy_04.jpg" TargetMode="External"/><Relationship Id="rId3263" Type="http://schemas.openxmlformats.org/officeDocument/2006/relationships/hyperlink" Target="https://commons.wikimedia.org/wiki/File:Margarita_del_Cabo_(Dimorphotheca_ecklonis).jpg" TargetMode="External"/><Relationship Id="rId4594" Type="http://schemas.openxmlformats.org/officeDocument/2006/relationships/hyperlink" Target="https://upload.wikimedia.org/wikipedia/commons/8/89/Rio_Cauca_con_su_cobija_de_nube.jpg" TargetMode="External"/><Relationship Id="rId131" Type="http://schemas.openxmlformats.org/officeDocument/2006/relationships/hyperlink" Target="https://commons.wikimedia.org/wiki/File:Amanecer_Nevado_Cocuy_03.jpg" TargetMode="External"/><Relationship Id="rId3262" Type="http://schemas.openxmlformats.org/officeDocument/2006/relationships/hyperlink" Target="https://upload.wikimedia.org/wikipedia/commons/3/36/Margarita_del_Cabo_%28Dimorphotheca_ecklonis%29.jpg" TargetMode="External"/><Relationship Id="rId4593" Type="http://schemas.openxmlformats.org/officeDocument/2006/relationships/hyperlink" Target="https://commons.wikimedia.org/wiki/File:Rio_Caquet%C3%A1_en_verano_PNN_Cahuinari.jpg" TargetMode="External"/><Relationship Id="rId130" Type="http://schemas.openxmlformats.org/officeDocument/2006/relationships/hyperlink" Target="https://upload.wikimedia.org/wikipedia/commons/2/2a/Amanecer_Nevado_Cocuy_03.jpg" TargetMode="External"/><Relationship Id="rId3265" Type="http://schemas.openxmlformats.org/officeDocument/2006/relationships/hyperlink" Target="https://commons.wikimedia.org/wiki/File:Margarita_rastrera.jpg" TargetMode="External"/><Relationship Id="rId4596" Type="http://schemas.openxmlformats.org/officeDocument/2006/relationships/hyperlink" Target="https://maps.google.com/?q=8.094939,-74.773192" TargetMode="External"/><Relationship Id="rId3264" Type="http://schemas.openxmlformats.org/officeDocument/2006/relationships/hyperlink" Target="https://upload.wikimedia.org/wikipedia/commons/a/a6/Margarita_rastrera.jpg" TargetMode="External"/><Relationship Id="rId4595" Type="http://schemas.openxmlformats.org/officeDocument/2006/relationships/hyperlink" Target="https://commons.wikimedia.org/wiki/File:Rio_Cauca_con_su_cobija_de_nube.jpg" TargetMode="External"/><Relationship Id="rId136" Type="http://schemas.openxmlformats.org/officeDocument/2006/relationships/hyperlink" Target="https://upload.wikimedia.org/wikipedia/commons/c/c2/Amanecer_Nevado_Cocuy_06.jpg" TargetMode="External"/><Relationship Id="rId3267" Type="http://schemas.openxmlformats.org/officeDocument/2006/relationships/hyperlink" Target="https://commons.wikimedia.org/wiki/File:Margarita_silvestre_a_los_pies_del_Volc%C3%A1n_Galeras_en_Pasto_-_Nari%C3%B1o.jpg" TargetMode="External"/><Relationship Id="rId4598" Type="http://schemas.openxmlformats.org/officeDocument/2006/relationships/hyperlink" Target="https://commons.wikimedia.org/wiki/File:Rio_Cauca_y_rio_Nech%C3%AD.jpg" TargetMode="External"/><Relationship Id="rId135" Type="http://schemas.openxmlformats.org/officeDocument/2006/relationships/hyperlink" Target="https://commons.wikimedia.org/wiki/File:Amanecer_Nevado_Cocuy_05.jpg" TargetMode="External"/><Relationship Id="rId3266" Type="http://schemas.openxmlformats.org/officeDocument/2006/relationships/hyperlink" Target="https://upload.wikimedia.org/wikipedia/commons/f/f8/Margarita_silvestre_a_los_pies_del_Volc%C3%A1n_Galeras_en_Pasto_-_Nari%C3%B1o.jpg" TargetMode="External"/><Relationship Id="rId4597" Type="http://schemas.openxmlformats.org/officeDocument/2006/relationships/hyperlink" Target="https://upload.wikimedia.org/wikipedia/commons/7/74/Rio_Cauca_y_rio_Nech%C3%AD.jpg" TargetMode="External"/><Relationship Id="rId134" Type="http://schemas.openxmlformats.org/officeDocument/2006/relationships/hyperlink" Target="https://upload.wikimedia.org/wikipedia/commons/0/00/Amanecer_Nevado_Cocuy_05.jpg" TargetMode="External"/><Relationship Id="rId3269" Type="http://schemas.openxmlformats.org/officeDocument/2006/relationships/hyperlink" Target="https://upload.wikimedia.org/wikipedia/commons/f/f6/Mariamulatas_en_la_muralla_de_Cartagena.jpg" TargetMode="External"/><Relationship Id="rId133" Type="http://schemas.openxmlformats.org/officeDocument/2006/relationships/hyperlink" Target="https://commons.wikimedia.org/wiki/File:Amanecer_Nevado_Cocuy_04.jpg" TargetMode="External"/><Relationship Id="rId3268" Type="http://schemas.openxmlformats.org/officeDocument/2006/relationships/hyperlink" Target="https://maps.google.com/?q=10.422520,-75.552986" TargetMode="External"/><Relationship Id="rId4599" Type="http://schemas.openxmlformats.org/officeDocument/2006/relationships/hyperlink" Target="https://upload.wikimedia.org/wikipedia/commons/2/2c/Rio_Magdalena_Honda.jpg" TargetMode="External"/><Relationship Id="rId172" Type="http://schemas.openxmlformats.org/officeDocument/2006/relationships/hyperlink" Target="https://commons.wikimedia.org/wiki/File:Amor_frugivoro_nocturno_-_PNN_Cueva_de_los_Guacharos_(PRIMER_PLANO).jpg" TargetMode="External"/><Relationship Id="rId171" Type="http://schemas.openxmlformats.org/officeDocument/2006/relationships/hyperlink" Target="https://upload.wikimedia.org/wikipedia/commons/9/92/Amor_frugivoro_nocturno_-_PNN_Cueva_de_los_Guacharos_%28PRIMER_PLANO%29.jpg" TargetMode="External"/><Relationship Id="rId170" Type="http://schemas.openxmlformats.org/officeDocument/2006/relationships/hyperlink" Target="https://maps.google.com/?q=1.615202,-76.102569" TargetMode="External"/><Relationship Id="rId3290" Type="http://schemas.openxmlformats.org/officeDocument/2006/relationships/hyperlink" Target="https://upload.wikimedia.org/wikipedia/commons/a/a4/Mariposa_escarlata.jpg" TargetMode="External"/><Relationship Id="rId3292" Type="http://schemas.openxmlformats.org/officeDocument/2006/relationships/hyperlink" Target="https://upload.wikimedia.org/wikipedia/commons/f/f4/Mariposa_escarlata_tomando_sol.jpg" TargetMode="External"/><Relationship Id="rId3291" Type="http://schemas.openxmlformats.org/officeDocument/2006/relationships/hyperlink" Target="https://commons.wikimedia.org/wiki/File:Mariposa_escarlata.jpg" TargetMode="External"/><Relationship Id="rId3294" Type="http://schemas.openxmlformats.org/officeDocument/2006/relationships/hyperlink" Target="https://upload.wikimedia.org/wikipedia/commons/c/c5/Mariposa_feronia_%28Hamadryas_feronia%29_en_entorno_urbano_de_Villavicencio%2C_Colombia.jpg" TargetMode="External"/><Relationship Id="rId3293" Type="http://schemas.openxmlformats.org/officeDocument/2006/relationships/hyperlink" Target="https://commons.wikimedia.org/wiki/File:Mariposa_escarlata_tomando_sol.jpg" TargetMode="External"/><Relationship Id="rId165" Type="http://schemas.openxmlformats.org/officeDocument/2006/relationships/hyperlink" Target="https://upload.wikimedia.org/wikipedia/commons/a/a5/Amazilia_tzacatl_jucunda_-_Nuqu%C3%AD%2C_Choc%C3%B3%2C_Colombia_-_23_Oct_2025_-_Diferoch.jpg" TargetMode="External"/><Relationship Id="rId3296" Type="http://schemas.openxmlformats.org/officeDocument/2006/relationships/hyperlink" Target="https://maps.google.com/?q=6.252320,-75.528099" TargetMode="External"/><Relationship Id="rId164" Type="http://schemas.openxmlformats.org/officeDocument/2006/relationships/hyperlink" Target="https://maps.google.com/?q=5.606058,-77.441795" TargetMode="External"/><Relationship Id="rId3295" Type="http://schemas.openxmlformats.org/officeDocument/2006/relationships/hyperlink" Target="https://commons.wikimedia.org/wiki/File:Mariposa_feronia_(Hamadryas_feronia)_en_entorno_urbano_de_Villavicencio,_Colombia.jpg" TargetMode="External"/><Relationship Id="rId163" Type="http://schemas.openxmlformats.org/officeDocument/2006/relationships/hyperlink" Target="https://commons.wikimedia.org/wiki/File:Amazilia_Ventricasta%C3%B1a_hembra.jpg" TargetMode="External"/><Relationship Id="rId3298" Type="http://schemas.openxmlformats.org/officeDocument/2006/relationships/hyperlink" Target="https://commons.wikimedia.org/wiki/File:Mariposa_lechuza_o_b%C3%BAho.jpg" TargetMode="External"/><Relationship Id="rId162" Type="http://schemas.openxmlformats.org/officeDocument/2006/relationships/hyperlink" Target="https://upload.wikimedia.org/wikipedia/commons/a/ae/Amazilia_Ventricasta%C3%B1a_hembra.jpg" TargetMode="External"/><Relationship Id="rId3297" Type="http://schemas.openxmlformats.org/officeDocument/2006/relationships/hyperlink" Target="https://upload.wikimedia.org/wikipedia/commons/e/ee/Mariposa_lechuza_o_b%C3%BAho.jpg" TargetMode="External"/><Relationship Id="rId169" Type="http://schemas.openxmlformats.org/officeDocument/2006/relationships/hyperlink" Target="https://commons.wikimedia.org/wiki/File:Ameiva_bifrontata_-_Santa_Marta,_Magdalena,_Colombia_-_24_Jun_2025_-_Diferoch.jpg" TargetMode="External"/><Relationship Id="rId168" Type="http://schemas.openxmlformats.org/officeDocument/2006/relationships/hyperlink" Target="https://upload.wikimedia.org/wikipedia/commons/c/c1/Ameiva_bifrontata_-_Santa_Marta%2C_Magdalena%2C_Colombia_-_24_Jun_2025_-_Diferoch.jpg" TargetMode="External"/><Relationship Id="rId3299" Type="http://schemas.openxmlformats.org/officeDocument/2006/relationships/hyperlink" Target="https://maps.google.com/?q=4.667750,-74.099944" TargetMode="External"/><Relationship Id="rId167" Type="http://schemas.openxmlformats.org/officeDocument/2006/relationships/hyperlink" Target="https://maps.google.com/?q=11.132707,-74.228905" TargetMode="External"/><Relationship Id="rId166" Type="http://schemas.openxmlformats.org/officeDocument/2006/relationships/hyperlink" Target="https://commons.wikimedia.org/wiki/File:Amazilia_tzacatl_jucunda_-_Nuqu%C3%AD,_Choc%C3%B3,_Colombia_-_23_Oct_2025_-_Diferoch.jpg" TargetMode="External"/><Relationship Id="rId161" Type="http://schemas.openxmlformats.org/officeDocument/2006/relationships/hyperlink" Target="https://commons.wikimedia.org/wiki/File:Amazilia_Ventricasta%C3%B1a_Macho.jpg" TargetMode="External"/><Relationship Id="rId160" Type="http://schemas.openxmlformats.org/officeDocument/2006/relationships/hyperlink" Target="https://upload.wikimedia.org/wikipedia/commons/4/47/Amazilia_Ventricasta%C3%B1a_Macho.jpg" TargetMode="External"/><Relationship Id="rId159" Type="http://schemas.openxmlformats.org/officeDocument/2006/relationships/hyperlink" Target="https://commons.wikimedia.org/wiki/File:Amazilia_Colirrufo.jpg" TargetMode="External"/><Relationship Id="rId3281" Type="http://schemas.openxmlformats.org/officeDocument/2006/relationships/hyperlink" Target="https://commons.wikimedia.org/wiki/File:Mariposa_descansando.jpg" TargetMode="External"/><Relationship Id="rId3280" Type="http://schemas.openxmlformats.org/officeDocument/2006/relationships/hyperlink" Target="https://upload.wikimedia.org/wikipedia/commons/a/a7/Mariposa_descansando.jpg" TargetMode="External"/><Relationship Id="rId3283" Type="http://schemas.openxmlformats.org/officeDocument/2006/relationships/hyperlink" Target="https://commons.wikimedia.org/wiki/File:Mariposa_en_el_Paramo_de_Santurban.jpg" TargetMode="External"/><Relationship Id="rId3282" Type="http://schemas.openxmlformats.org/officeDocument/2006/relationships/hyperlink" Target="https://upload.wikimedia.org/wikipedia/commons/9/93/Mariposa_en_el_Paramo_de_Santurban.jpg" TargetMode="External"/><Relationship Id="rId154" Type="http://schemas.openxmlformats.org/officeDocument/2006/relationships/hyperlink" Target="https://commons.wikimedia.org/wiki/File:Amarylia.jpg" TargetMode="External"/><Relationship Id="rId3285" Type="http://schemas.openxmlformats.org/officeDocument/2006/relationships/hyperlink" Target="https://commons.wikimedia.org/wiki/File:Mariposa_en_una_hoja.jpg" TargetMode="External"/><Relationship Id="rId153" Type="http://schemas.openxmlformats.org/officeDocument/2006/relationships/hyperlink" Target="https://upload.wikimedia.org/wikipedia/commons/8/8f/Amarylia.jpg" TargetMode="External"/><Relationship Id="rId3284" Type="http://schemas.openxmlformats.org/officeDocument/2006/relationships/hyperlink" Target="https://upload.wikimedia.org/wikipedia/commons/3/3e/Mariposa_en_una_hoja.jpg" TargetMode="External"/><Relationship Id="rId152" Type="http://schemas.openxmlformats.org/officeDocument/2006/relationships/hyperlink" Target="https://maps.google.com/?q=4.967142,-74.264842" TargetMode="External"/><Relationship Id="rId3287" Type="http://schemas.openxmlformats.org/officeDocument/2006/relationships/hyperlink" Target="https://commons.wikimedia.org/wiki/File:Mariposa_en_vegetaci%C3%B3n.jpg" TargetMode="External"/><Relationship Id="rId151" Type="http://schemas.openxmlformats.org/officeDocument/2006/relationships/hyperlink" Target="https://commons.wikimedia.org/wiki/File:Amarillashuila_10.jpg" TargetMode="External"/><Relationship Id="rId3286" Type="http://schemas.openxmlformats.org/officeDocument/2006/relationships/hyperlink" Target="https://upload.wikimedia.org/wikipedia/commons/6/65/Mariposa_en_vegetaci%C3%B3n.jpg" TargetMode="External"/><Relationship Id="rId158" Type="http://schemas.openxmlformats.org/officeDocument/2006/relationships/hyperlink" Target="https://upload.wikimedia.org/wikipedia/commons/6/63/Amazilia_Colirrufo.jpg" TargetMode="External"/><Relationship Id="rId3289" Type="http://schemas.openxmlformats.org/officeDocument/2006/relationships/hyperlink" Target="https://commons.wikimedia.org/wiki/File:Mariposa_en_%C3%A1ngulo_lateral.jpg" TargetMode="External"/><Relationship Id="rId157" Type="http://schemas.openxmlformats.org/officeDocument/2006/relationships/hyperlink" Target="https://commons.wikimedia.org/wiki/File:Amarylia_(37161).jpg" TargetMode="External"/><Relationship Id="rId3288" Type="http://schemas.openxmlformats.org/officeDocument/2006/relationships/hyperlink" Target="https://upload.wikimedia.org/wikipedia/commons/0/03/Mariposa_en_%C3%A1ngulo_lateral.jpg" TargetMode="External"/><Relationship Id="rId156" Type="http://schemas.openxmlformats.org/officeDocument/2006/relationships/hyperlink" Target="https://upload.wikimedia.org/wikipedia/commons/3/3c/Amarylia_%2837161%29.jpg" TargetMode="External"/><Relationship Id="rId155" Type="http://schemas.openxmlformats.org/officeDocument/2006/relationships/hyperlink" Target="https://maps.google.com/?q=4.968985,-74.266381" TargetMode="External"/><Relationship Id="rId2820" Type="http://schemas.openxmlformats.org/officeDocument/2006/relationships/hyperlink" Target="https://upload.wikimedia.org/wikipedia/commons/5/5b/Jicotea_Sudamericana_%28Trachemys_callirostris%29_en_el_Parque_Metropolitano_Sim%C3%B3n_Bol%C3%ADvar_%28Bogot%C3%A1%29.jpg" TargetMode="External"/><Relationship Id="rId2821" Type="http://schemas.openxmlformats.org/officeDocument/2006/relationships/hyperlink" Target="https://commons.wikimedia.org/wiki/File:Jicotea_Sudamericana_(Trachemys_callirostris)_en_el_Parque_Metropolitano_Sim%C3%B3n_Bol%C3%ADvar_(Bogot%C3%A1).jpg" TargetMode="External"/><Relationship Id="rId2822" Type="http://schemas.openxmlformats.org/officeDocument/2006/relationships/hyperlink" Target="https://upload.wikimedia.org/wikipedia/commons/9/93/Jilguero_andino_%28Spinus_spinescens%29_fotografiado_en_Aquitania%2C_Boyac%C3%A1%2C_Colombia.jpg" TargetMode="External"/><Relationship Id="rId2823" Type="http://schemas.openxmlformats.org/officeDocument/2006/relationships/hyperlink" Target="https://commons.wikimedia.org/wiki/File:Jilguero_andino_(Spinus_spinescens)_fotografiado_en_Aquitania,_Boyac%C3%A1,_Colombia.jpg" TargetMode="External"/><Relationship Id="rId2824" Type="http://schemas.openxmlformats.org/officeDocument/2006/relationships/hyperlink" Target="https://upload.wikimedia.org/wikipedia/commons/6/60/Johnnyberry_%28Melastomataceae%29.jpg" TargetMode="External"/><Relationship Id="rId2825" Type="http://schemas.openxmlformats.org/officeDocument/2006/relationships/hyperlink" Target="https://commons.wikimedia.org/wiki/File:Johnnyberry_(Melastomataceae).jpg" TargetMode="External"/><Relationship Id="rId2826" Type="http://schemas.openxmlformats.org/officeDocument/2006/relationships/hyperlink" Target="https://maps.google.com/?q=4.594490,-74.070340" TargetMode="External"/><Relationship Id="rId2827" Type="http://schemas.openxmlformats.org/officeDocument/2006/relationships/hyperlink" Target="https://upload.wikimedia.org/wikipedia/commons/3/34/Joyas_Colgantes.jpg" TargetMode="External"/><Relationship Id="rId2828" Type="http://schemas.openxmlformats.org/officeDocument/2006/relationships/hyperlink" Target="https://commons.wikimedia.org/wiki/File:Joyas_Colgantes.jpg" TargetMode="External"/><Relationship Id="rId2829" Type="http://schemas.openxmlformats.org/officeDocument/2006/relationships/hyperlink" Target="https://maps.google.com/?q=5.566203,-74.907119" TargetMode="External"/><Relationship Id="rId5093" Type="http://schemas.openxmlformats.org/officeDocument/2006/relationships/hyperlink" Target="https://commons.wikimedia.org/wiki/File:Tradescantia_fluminesis_tricolor.jpg" TargetMode="External"/><Relationship Id="rId5094" Type="http://schemas.openxmlformats.org/officeDocument/2006/relationships/hyperlink" Target="https://upload.wikimedia.org/wikipedia/commons/e/e0/Tradescantia_sp1.jpg" TargetMode="External"/><Relationship Id="rId5091" Type="http://schemas.openxmlformats.org/officeDocument/2006/relationships/hyperlink" Target="https://commons.wikimedia.org/wiki/File:Tortugas_en_la_Laguna_El_Tabacal_La_Vega.jpg" TargetMode="External"/><Relationship Id="rId5092" Type="http://schemas.openxmlformats.org/officeDocument/2006/relationships/hyperlink" Target="https://upload.wikimedia.org/wikipedia/commons/6/6f/Tradescantia_fluminesis_tricolor.jpg" TargetMode="External"/><Relationship Id="rId5097" Type="http://schemas.openxmlformats.org/officeDocument/2006/relationships/hyperlink" Target="https://commons.wikimedia.org/wiki/File:Tradescantia_sp2.jpg" TargetMode="External"/><Relationship Id="rId5098" Type="http://schemas.openxmlformats.org/officeDocument/2006/relationships/hyperlink" Target="https://upload.wikimedia.org/wikipedia/commons/f/f9/Tradescantia_sp_mayo_de_2026.jpg" TargetMode="External"/><Relationship Id="rId5095" Type="http://schemas.openxmlformats.org/officeDocument/2006/relationships/hyperlink" Target="https://commons.wikimedia.org/wiki/File:Tradescantia_sp1.jpg" TargetMode="External"/><Relationship Id="rId5096" Type="http://schemas.openxmlformats.org/officeDocument/2006/relationships/hyperlink" Target="https://upload.wikimedia.org/wikipedia/commons/9/91/Tradescantia_sp2.jpg" TargetMode="External"/><Relationship Id="rId5099" Type="http://schemas.openxmlformats.org/officeDocument/2006/relationships/hyperlink" Target="https://commons.wikimedia.org/wiki/File:Tradescantia_sp_mayo_de_2026.jpg" TargetMode="External"/><Relationship Id="rId2810" Type="http://schemas.openxmlformats.org/officeDocument/2006/relationships/hyperlink" Target="https://maps.google.com/?q=6.370744,-72.314972" TargetMode="External"/><Relationship Id="rId2811" Type="http://schemas.openxmlformats.org/officeDocument/2006/relationships/hyperlink" Target="https://upload.wikimedia.org/wikipedia/commons/9/97/Jard%C3%ADn_nieve_perpetua.jpg" TargetMode="External"/><Relationship Id="rId2812" Type="http://schemas.openxmlformats.org/officeDocument/2006/relationships/hyperlink" Target="https://commons.wikimedia.org/wiki/File:Jard%C3%ADn_nieve_perpetua.jpg" TargetMode="External"/><Relationship Id="rId2813" Type="http://schemas.openxmlformats.org/officeDocument/2006/relationships/hyperlink" Target="https://maps.google.com/?q=4.667750,-74.099944" TargetMode="External"/><Relationship Id="rId2814" Type="http://schemas.openxmlformats.org/officeDocument/2006/relationships/hyperlink" Target="https://upload.wikimedia.org/wikipedia/commons/6/6c/Jengibre_silvestre.jpg" TargetMode="External"/><Relationship Id="rId2815" Type="http://schemas.openxmlformats.org/officeDocument/2006/relationships/hyperlink" Target="https://commons.wikimedia.org/wiki/File:Jengibre_silvestre.jpg" TargetMode="External"/><Relationship Id="rId2816" Type="http://schemas.openxmlformats.org/officeDocument/2006/relationships/hyperlink" Target="https://maps.google.com/?q=4.667750,-74.099944" TargetMode="External"/><Relationship Id="rId2817" Type="http://schemas.openxmlformats.org/officeDocument/2006/relationships/hyperlink" Target="https://upload.wikimedia.org/wikipedia/commons/4/4a/Jengibre_silvestre_mayo_2026.jpg" TargetMode="External"/><Relationship Id="rId2818" Type="http://schemas.openxmlformats.org/officeDocument/2006/relationships/hyperlink" Target="https://commons.wikimedia.org/wiki/File:Jengibre_silvestre_mayo_2026.jpg" TargetMode="External"/><Relationship Id="rId2819" Type="http://schemas.openxmlformats.org/officeDocument/2006/relationships/hyperlink" Target="https://maps.google.com/?q=4.655868,-74.095259" TargetMode="External"/><Relationship Id="rId5090" Type="http://schemas.openxmlformats.org/officeDocument/2006/relationships/hyperlink" Target="https://upload.wikimedia.org/wikipedia/commons/a/a8/Tortugas_en_la_Laguna_El_Tabacal_La_Vega.jpg" TargetMode="External"/><Relationship Id="rId5082" Type="http://schemas.openxmlformats.org/officeDocument/2006/relationships/hyperlink" Target="https://upload.wikimedia.org/wikipedia/commons/1/15/Tororoi_Rufocenizo.jpg" TargetMode="External"/><Relationship Id="rId5083" Type="http://schemas.openxmlformats.org/officeDocument/2006/relationships/hyperlink" Target="https://commons.wikimedia.org/wiki/File:Tororoi_Rufocenizo.jpg" TargetMode="External"/><Relationship Id="rId5080" Type="http://schemas.openxmlformats.org/officeDocument/2006/relationships/hyperlink" Target="https://upload.wikimedia.org/wikipedia/commons/0/03/Tormenta_en_formacion.jpg" TargetMode="External"/><Relationship Id="rId5081" Type="http://schemas.openxmlformats.org/officeDocument/2006/relationships/hyperlink" Target="https://commons.wikimedia.org/wiki/File:Tormenta_en_formacion.jpg" TargetMode="External"/><Relationship Id="rId5086" Type="http://schemas.openxmlformats.org/officeDocument/2006/relationships/hyperlink" Target="https://commons.wikimedia.org/wiki/File:Tororo%C3%AD_Coronicasta%C3%B1a_-_Grallaria_ruficapilla.jpg" TargetMode="External"/><Relationship Id="rId5087" Type="http://schemas.openxmlformats.org/officeDocument/2006/relationships/hyperlink" Target="https://upload.wikimedia.org/wikipedia/commons/8/8d/Tortuga_can%C3%A1_o_la%C3%BAd_%28Dermochelys_coriacea%29.jpg" TargetMode="External"/><Relationship Id="rId5084" Type="http://schemas.openxmlformats.org/officeDocument/2006/relationships/hyperlink" Target="https://maps.google.com/?q=5.087400,-75.452900" TargetMode="External"/><Relationship Id="rId5085" Type="http://schemas.openxmlformats.org/officeDocument/2006/relationships/hyperlink" Target="https://upload.wikimedia.org/wikipedia/commons/b/b1/Tororo%C3%AD_Coronicasta%C3%B1a_-_Grallaria_ruficapilla.jpg" TargetMode="External"/><Relationship Id="rId5088" Type="http://schemas.openxmlformats.org/officeDocument/2006/relationships/hyperlink" Target="https://commons.wikimedia.org/wiki/File:Tortuga_can%C3%A1_o_la%C3%BAd_(Dermochelys_coriacea).jpg" TargetMode="External"/><Relationship Id="rId5089" Type="http://schemas.openxmlformats.org/officeDocument/2006/relationships/hyperlink" Target="https://maps.google.com/?q=5.029400,-74.327600" TargetMode="External"/><Relationship Id="rId1510" Type="http://schemas.openxmlformats.org/officeDocument/2006/relationships/hyperlink" Target="https://commons.wikimedia.org/wiki/File:Cuenca_Media_del_R%C3%ADo_In%C3%ADrida,_Guain%C3%ADa.jpg_18.jpg" TargetMode="External"/><Relationship Id="rId2841" Type="http://schemas.openxmlformats.org/officeDocument/2006/relationships/hyperlink" Target="https://commons.wikimedia.org/wiki/File:Kalanchoe_oreja_de_Elefante.jpg" TargetMode="External"/><Relationship Id="rId1511" Type="http://schemas.openxmlformats.org/officeDocument/2006/relationships/hyperlink" Target="https://maps.google.com/?q=3.461922,-67.970807" TargetMode="External"/><Relationship Id="rId2842" Type="http://schemas.openxmlformats.org/officeDocument/2006/relationships/hyperlink" Target="https://maps.google.com/?q=4.667750,-74.099944" TargetMode="External"/><Relationship Id="rId1512" Type="http://schemas.openxmlformats.org/officeDocument/2006/relationships/hyperlink" Target="https://upload.wikimedia.org/wikipedia/commons/5/57/Cuenca_Media_del_R%C3%ADo_In%C3%ADrida%2C_Guain%C3%ADa.jpg_19.jpg" TargetMode="External"/><Relationship Id="rId2843" Type="http://schemas.openxmlformats.org/officeDocument/2006/relationships/hyperlink" Target="https://upload.wikimedia.org/wikipedia/commons/6/60/Kalanchoe_oreja_de_elefante.jpg" TargetMode="External"/><Relationship Id="rId1513" Type="http://schemas.openxmlformats.org/officeDocument/2006/relationships/hyperlink" Target="https://commons.wikimedia.org/wiki/File:Cuenca_Media_del_R%C3%ADo_In%C3%ADrida,_Guain%C3%ADa.jpg_19.jpg" TargetMode="External"/><Relationship Id="rId2844" Type="http://schemas.openxmlformats.org/officeDocument/2006/relationships/hyperlink" Target="https://commons.wikimedia.org/wiki/File:Kalanchoe_oreja_de_elefante.jpg" TargetMode="External"/><Relationship Id="rId1514" Type="http://schemas.openxmlformats.org/officeDocument/2006/relationships/hyperlink" Target="https://maps.google.com/?q=3.461922,-67.970807" TargetMode="External"/><Relationship Id="rId2845" Type="http://schemas.openxmlformats.org/officeDocument/2006/relationships/hyperlink" Target="https://maps.google.com/?q=5.375900,-7.331320" TargetMode="External"/><Relationship Id="rId1515" Type="http://schemas.openxmlformats.org/officeDocument/2006/relationships/hyperlink" Target="https://upload.wikimedia.org/wikipedia/commons/8/87/Cuenca_Media_del_R%C3%ADo_In%C3%ADrida%2C_Guain%C3%ADa.jpg_20.jpg" TargetMode="External"/><Relationship Id="rId2846" Type="http://schemas.openxmlformats.org/officeDocument/2006/relationships/hyperlink" Target="https://upload.wikimedia.org/wikipedia/commons/5/55/Kangaroo_Paw-Anigozanthos-.jpg" TargetMode="External"/><Relationship Id="rId1516" Type="http://schemas.openxmlformats.org/officeDocument/2006/relationships/hyperlink" Target="https://commons.wikimedia.org/wiki/File:Cuenca_Media_del_R%C3%ADo_In%C3%ADrida,_Guain%C3%ADa.jpg_20.jpg" TargetMode="External"/><Relationship Id="rId2847" Type="http://schemas.openxmlformats.org/officeDocument/2006/relationships/hyperlink" Target="https://commons.wikimedia.org/wiki/File:Kangaroo_Paw-Anigozanthos-.jpg" TargetMode="External"/><Relationship Id="rId1517" Type="http://schemas.openxmlformats.org/officeDocument/2006/relationships/hyperlink" Target="https://maps.google.com/?q=3.461922,-67.970807" TargetMode="External"/><Relationship Id="rId2848" Type="http://schemas.openxmlformats.org/officeDocument/2006/relationships/hyperlink" Target="https://upload.wikimedia.org/wikipedia/commons/a/a9/King_Vulture_at_Veranillo%2C_Magdalena%2C_Colombia.jpg" TargetMode="External"/><Relationship Id="rId1518" Type="http://schemas.openxmlformats.org/officeDocument/2006/relationships/hyperlink" Target="https://upload.wikimedia.org/wikipedia/commons/e/e6/Cuenca_Media_del_R%C3%ADo_In%C3%ADrida%2C_Guain%C3%ADa.jpg_21.jpg" TargetMode="External"/><Relationship Id="rId2849" Type="http://schemas.openxmlformats.org/officeDocument/2006/relationships/hyperlink" Target="https://commons.wikimedia.org/wiki/File:King_Vulture_at_Veranillo,_Magdalena,_Colombia.jpg" TargetMode="External"/><Relationship Id="rId1519" Type="http://schemas.openxmlformats.org/officeDocument/2006/relationships/hyperlink" Target="https://commons.wikimedia.org/wiki/File:Cuenca_Media_del_R%C3%ADo_In%C3%ADrida,_Guain%C3%ADa.jpg_21.jpg" TargetMode="External"/><Relationship Id="rId2840" Type="http://schemas.openxmlformats.org/officeDocument/2006/relationships/hyperlink" Target="https://upload.wikimedia.org/wikipedia/commons/4/49/Kalanchoe_oreja_de_Elefante.jpg" TargetMode="External"/><Relationship Id="rId2830" Type="http://schemas.openxmlformats.org/officeDocument/2006/relationships/hyperlink" Target="https://upload.wikimedia.org/wikipedia/commons/f/fe/Joyas_de_caldas.jpg" TargetMode="External"/><Relationship Id="rId1500" Type="http://schemas.openxmlformats.org/officeDocument/2006/relationships/hyperlink" Target="https://upload.wikimedia.org/wikipedia/commons/e/e0/Cuenca_Media_del_R%C3%ADo_In%C3%ADrida%2C_Guain%C3%ADa.jpg_15.jpg" TargetMode="External"/><Relationship Id="rId2831" Type="http://schemas.openxmlformats.org/officeDocument/2006/relationships/hyperlink" Target="https://commons.wikimedia.org/wiki/File:Joyas_de_caldas.jpg" TargetMode="External"/><Relationship Id="rId1501" Type="http://schemas.openxmlformats.org/officeDocument/2006/relationships/hyperlink" Target="https://commons.wikimedia.org/wiki/File:Cuenca_Media_del_R%C3%ADo_In%C3%ADrida,_Guain%C3%ADa.jpg_15.jpg" TargetMode="External"/><Relationship Id="rId2832" Type="http://schemas.openxmlformats.org/officeDocument/2006/relationships/hyperlink" Target="https://maps.google.com/?q=8.067128,-74.800269" TargetMode="External"/><Relationship Id="rId1502" Type="http://schemas.openxmlformats.org/officeDocument/2006/relationships/hyperlink" Target="https://maps.google.com/?q=3.461922,-67.970807" TargetMode="External"/><Relationship Id="rId2833" Type="http://schemas.openxmlformats.org/officeDocument/2006/relationships/hyperlink" Target="https://upload.wikimedia.org/wikipedia/commons/a/a3/Junin._Llegando_a_Nech%C3%AD.jpg" TargetMode="External"/><Relationship Id="rId1503" Type="http://schemas.openxmlformats.org/officeDocument/2006/relationships/hyperlink" Target="https://upload.wikimedia.org/wikipedia/commons/1/14/Cuenca_Media_del_R%C3%ADo_In%C3%ADrida%2C_Guain%C3%ADa.jpg_16.jpg" TargetMode="External"/><Relationship Id="rId2834" Type="http://schemas.openxmlformats.org/officeDocument/2006/relationships/hyperlink" Target="https://commons.wikimedia.org/wiki/File:Junin._Llegando_a_Nech%C3%AD.jpg" TargetMode="External"/><Relationship Id="rId1504" Type="http://schemas.openxmlformats.org/officeDocument/2006/relationships/hyperlink" Target="https://commons.wikimedia.org/wiki/File:Cuenca_Media_del_R%C3%ADo_In%C3%ADrida,_Guain%C3%ADa.jpg_16.jpg" TargetMode="External"/><Relationship Id="rId2835" Type="http://schemas.openxmlformats.org/officeDocument/2006/relationships/hyperlink" Target="https://upload.wikimedia.org/wikipedia/commons/2/20/Just_palms%2C_sun%2C_and_peace_in_San_Andres.jpg" TargetMode="External"/><Relationship Id="rId1505" Type="http://schemas.openxmlformats.org/officeDocument/2006/relationships/hyperlink" Target="https://maps.google.com/?q=3.461922,-67.970807" TargetMode="External"/><Relationship Id="rId2836" Type="http://schemas.openxmlformats.org/officeDocument/2006/relationships/hyperlink" Target="https://commons.wikimedia.org/wiki/File:Just_palms,_sun,_and_peace_in_San_Andres.jpg" TargetMode="External"/><Relationship Id="rId1506" Type="http://schemas.openxmlformats.org/officeDocument/2006/relationships/hyperlink" Target="https://upload.wikimedia.org/wikipedia/commons/6/69/Cuenca_Media_del_R%C3%ADo_In%C3%ADrida%2C_Guain%C3%ADa.jpg_17.jpg" TargetMode="External"/><Relationship Id="rId2837" Type="http://schemas.openxmlformats.org/officeDocument/2006/relationships/hyperlink" Target="https://upload.wikimedia.org/wikipedia/commons/b/b1/Justo_en_el_R%C3%ADo_Cauca.jpg" TargetMode="External"/><Relationship Id="rId1507" Type="http://schemas.openxmlformats.org/officeDocument/2006/relationships/hyperlink" Target="https://commons.wikimedia.org/wiki/File:Cuenca_Media_del_R%C3%ADo_In%C3%ADrida,_Guain%C3%ADa.jpg_17.jpg" TargetMode="External"/><Relationship Id="rId2838" Type="http://schemas.openxmlformats.org/officeDocument/2006/relationships/hyperlink" Target="https://commons.wikimedia.org/wiki/File:Justo_en_el_R%C3%ADo_Cauca.jpg" TargetMode="External"/><Relationship Id="rId1508" Type="http://schemas.openxmlformats.org/officeDocument/2006/relationships/hyperlink" Target="https://maps.google.com/?q=3.461922,-67.970807" TargetMode="External"/><Relationship Id="rId2839" Type="http://schemas.openxmlformats.org/officeDocument/2006/relationships/hyperlink" Target="https://maps.google.com/?q=4.667750,-74.099944" TargetMode="External"/><Relationship Id="rId1509" Type="http://schemas.openxmlformats.org/officeDocument/2006/relationships/hyperlink" Target="https://upload.wikimedia.org/wikipedia/commons/3/3a/Cuenca_Media_del_R%C3%ADo_In%C3%ADrida%2C_Guain%C3%ADa.jpg_18.jpg" TargetMode="External"/><Relationship Id="rId5050" Type="http://schemas.openxmlformats.org/officeDocument/2006/relationships/hyperlink" Target="https://commons.wikimedia.org/wiki/File:Titi_Lucifer-Parque_Nacional_Natural_Sierra_de_la_Macarena-Colombia-1.jpg" TargetMode="External"/><Relationship Id="rId5053" Type="http://schemas.openxmlformats.org/officeDocument/2006/relationships/hyperlink" Target="https://upload.wikimedia.org/wikipedia/commons/2/20/Titi_Lucifer-Parque_Nacional_Natural_Sierra_de_la_Macarena-Colombia-3.jpg" TargetMode="External"/><Relationship Id="rId5054" Type="http://schemas.openxmlformats.org/officeDocument/2006/relationships/hyperlink" Target="https://commons.wikimedia.org/wiki/File:Titi_Lucifer-Parque_Nacional_Natural_Sierra_de_la_Macarena-Colombia-3.jpg" TargetMode="External"/><Relationship Id="rId5051" Type="http://schemas.openxmlformats.org/officeDocument/2006/relationships/hyperlink" Target="https://upload.wikimedia.org/wikipedia/commons/3/38/Titi_Lucifer-Parque_Nacional_Natural_Sierra_de_la_Macarena-Colombia-2.jpg" TargetMode="External"/><Relationship Id="rId5052" Type="http://schemas.openxmlformats.org/officeDocument/2006/relationships/hyperlink" Target="https://commons.wikimedia.org/wiki/File:Titi_Lucifer-Parque_Nacional_Natural_Sierra_de_la_Macarena-Colombia-2.jpg" TargetMode="External"/><Relationship Id="rId5057" Type="http://schemas.openxmlformats.org/officeDocument/2006/relationships/hyperlink" Target="https://upload.wikimedia.org/wikipedia/commons/c/ce/Titirib%C3%AD_pechirojo.jpg" TargetMode="External"/><Relationship Id="rId5058" Type="http://schemas.openxmlformats.org/officeDocument/2006/relationships/hyperlink" Target="https://commons.wikimedia.org/wiki/File:Titirib%C3%AD_pechirojo.jpg" TargetMode="External"/><Relationship Id="rId5055" Type="http://schemas.openxmlformats.org/officeDocument/2006/relationships/hyperlink" Target="https://upload.wikimedia.org/wikipedia/commons/7/7a/Titi_Lucifer-Parque_Nacional_Natural_Sierra_de_la_Macarena-Colombia-4.jpg" TargetMode="External"/><Relationship Id="rId5056" Type="http://schemas.openxmlformats.org/officeDocument/2006/relationships/hyperlink" Target="https://commons.wikimedia.org/wiki/File:Titi_Lucifer-Parque_Nacional_Natural_Sierra_de_la_Macarena-Colombia-4.jpg" TargetMode="External"/><Relationship Id="rId5059" Type="http://schemas.openxmlformats.org/officeDocument/2006/relationships/hyperlink" Target="https://maps.google.com/?q=4.873370,-74.082910" TargetMode="External"/><Relationship Id="rId5042" Type="http://schemas.openxmlformats.org/officeDocument/2006/relationships/hyperlink" Target="https://maps.google.com/?q=7.094498,-73.756058" TargetMode="External"/><Relationship Id="rId5043" Type="http://schemas.openxmlformats.org/officeDocument/2006/relationships/hyperlink" Target="https://upload.wikimedia.org/wikipedia/commons/9/9b/Tigrisoma_lineatum_lineatum_-_Barrancabermeja%2C_Santander%2C_Colombia_-_14_Jun_2026_-_Diferoch_-_2.jpg" TargetMode="External"/><Relationship Id="rId5040" Type="http://schemas.openxmlformats.org/officeDocument/2006/relationships/hyperlink" Target="https://upload.wikimedia.org/wikipedia/commons/b/be/Tigrisoma_lineatum_lineatum_-_Barrancabermeja%2C_Santander%2C_Colombia_-_14_Jun_2026_-_Diferoch_-_1.jpg" TargetMode="External"/><Relationship Id="rId5041" Type="http://schemas.openxmlformats.org/officeDocument/2006/relationships/hyperlink" Target="https://commons.wikimedia.org/wiki/File:Tigrisoma_lineatum_lineatum_-_Barrancabermeja,_Santander,_Colombia_-_14_Jun_2026_-_Diferoch_-_1.jpg" TargetMode="External"/><Relationship Id="rId5046" Type="http://schemas.openxmlformats.org/officeDocument/2006/relationships/hyperlink" Target="https://commons.wikimedia.org/wiki/File:TintoSumapaz.jpg" TargetMode="External"/><Relationship Id="rId5047" Type="http://schemas.openxmlformats.org/officeDocument/2006/relationships/hyperlink" Target="https://upload.wikimedia.org/wikipedia/commons/8/89/Tithonia_rotundifolia_2026-05-24.jpg" TargetMode="External"/><Relationship Id="rId5044" Type="http://schemas.openxmlformats.org/officeDocument/2006/relationships/hyperlink" Target="https://commons.wikimedia.org/wiki/File:Tigrisoma_lineatum_lineatum_-_Barrancabermeja,_Santander,_Colombia_-_14_Jun_2026_-_Diferoch_-_2.jpg" TargetMode="External"/><Relationship Id="rId5045" Type="http://schemas.openxmlformats.org/officeDocument/2006/relationships/hyperlink" Target="https://upload.wikimedia.org/wikipedia/commons/f/ff/TintoSumapaz.jpg" TargetMode="External"/><Relationship Id="rId5048" Type="http://schemas.openxmlformats.org/officeDocument/2006/relationships/hyperlink" Target="https://commons.wikimedia.org/wiki/File:Tithonia_rotundifolia_2026-05-24.jpg" TargetMode="External"/><Relationship Id="rId5049" Type="http://schemas.openxmlformats.org/officeDocument/2006/relationships/hyperlink" Target="https://upload.wikimedia.org/wikipedia/commons/2/27/Titi_Lucifer-Parque_Nacional_Natural_Sierra_de_la_Macarena-Colombia-1.jpg" TargetMode="External"/><Relationship Id="rId2800" Type="http://schemas.openxmlformats.org/officeDocument/2006/relationships/hyperlink" Target="https://upload.wikimedia.org/wikipedia/commons/c/c1/Jamaica%27s_flower.jpg" TargetMode="External"/><Relationship Id="rId2801" Type="http://schemas.openxmlformats.org/officeDocument/2006/relationships/hyperlink" Target="https://commons.wikimedia.org/wiki/File:Jamaica%27s_flower.jpg" TargetMode="External"/><Relationship Id="rId2802" Type="http://schemas.openxmlformats.org/officeDocument/2006/relationships/hyperlink" Target="https://upload.wikimedia.org/wikipedia/commons/0/03/Jardin_bajo_vidrio.jpg" TargetMode="External"/><Relationship Id="rId2803" Type="http://schemas.openxmlformats.org/officeDocument/2006/relationships/hyperlink" Target="https://commons.wikimedia.org/wiki/File:Jardin_bajo_vidrio.jpg" TargetMode="External"/><Relationship Id="rId2804" Type="http://schemas.openxmlformats.org/officeDocument/2006/relationships/hyperlink" Target="https://upload.wikimedia.org/wikipedia/commons/8/80/Jard%C3%ADn_Botanico_Cali.jpg" TargetMode="External"/><Relationship Id="rId2805" Type="http://schemas.openxmlformats.org/officeDocument/2006/relationships/hyperlink" Target="https://commons.wikimedia.org/wiki/File:Jard%C3%ADn_Botanico_Cali.jpg" TargetMode="External"/><Relationship Id="rId2806" Type="http://schemas.openxmlformats.org/officeDocument/2006/relationships/hyperlink" Target="https://upload.wikimedia.org/wikipedia/commons/8/80/Jard%C3%ADn_bot%C3%A1nico_Bogota.jpg" TargetMode="External"/><Relationship Id="rId2807" Type="http://schemas.openxmlformats.org/officeDocument/2006/relationships/hyperlink" Target="https://commons.wikimedia.org/wiki/File:Jard%C3%ADn_bot%C3%A1nico_Bogota.jpg" TargetMode="External"/><Relationship Id="rId2808" Type="http://schemas.openxmlformats.org/officeDocument/2006/relationships/hyperlink" Target="https://upload.wikimedia.org/wikipedia/commons/d/d3/Jard%C3%ADn_de_Belenes_o_Miramelindos.jpg" TargetMode="External"/><Relationship Id="rId2809" Type="http://schemas.openxmlformats.org/officeDocument/2006/relationships/hyperlink" Target="https://commons.wikimedia.org/wiki/File:Jard%C3%ADn_de_Belenes_o_Miramelindos.jpg" TargetMode="External"/><Relationship Id="rId5071" Type="http://schemas.openxmlformats.org/officeDocument/2006/relationships/hyperlink" Target="https://maps.google.com/?q=3.561100,-76.556900" TargetMode="External"/><Relationship Id="rId5072" Type="http://schemas.openxmlformats.org/officeDocument/2006/relationships/hyperlink" Target="https://upload.wikimedia.org/wikipedia/commons/d/d0/Torito_Cabecirrojo_Macho_-_Eubucco_bourcierii.jpg" TargetMode="External"/><Relationship Id="rId5070" Type="http://schemas.openxmlformats.org/officeDocument/2006/relationships/hyperlink" Target="https://commons.wikimedia.org/wiki/File:Torita_Cabecirrojo_Hembra_-_Eubucco_bourcierii.jpg" TargetMode="External"/><Relationship Id="rId5075" Type="http://schemas.openxmlformats.org/officeDocument/2006/relationships/hyperlink" Target="https://upload.wikimedia.org/wikipedia/commons/6/62/Tormenta_El%C3%A9ctrica_Gachantiv%C3%A1%2C_Boyac%C3%A1.jpg" TargetMode="External"/><Relationship Id="rId5076" Type="http://schemas.openxmlformats.org/officeDocument/2006/relationships/hyperlink" Target="https://commons.wikimedia.org/wiki/File:Tormenta_El%C3%A9ctrica_Gachantiv%C3%A1,_Boyac%C3%A1.jpg" TargetMode="External"/><Relationship Id="rId5073" Type="http://schemas.openxmlformats.org/officeDocument/2006/relationships/hyperlink" Target="https://commons.wikimedia.org/wiki/File:Torito_Cabecirrojo_Macho_-_Eubucco_bourcierii.jpg" TargetMode="External"/><Relationship Id="rId5074" Type="http://schemas.openxmlformats.org/officeDocument/2006/relationships/hyperlink" Target="https://maps.google.com/?q=5.676027,-73.537774" TargetMode="External"/><Relationship Id="rId5079" Type="http://schemas.openxmlformats.org/officeDocument/2006/relationships/hyperlink" Target="https://commons.wikimedia.org/wiki/File:Tormenta_caribe%C3%B1a.jpg" TargetMode="External"/><Relationship Id="rId5077" Type="http://schemas.openxmlformats.org/officeDocument/2006/relationships/hyperlink" Target="https://maps.google.com/?q=10.486867,-75.492469" TargetMode="External"/><Relationship Id="rId5078" Type="http://schemas.openxmlformats.org/officeDocument/2006/relationships/hyperlink" Target="https://upload.wikimedia.org/wikipedia/commons/f/f3/Tormenta_caribe%C3%B1a.jpg" TargetMode="External"/><Relationship Id="rId5060" Type="http://schemas.openxmlformats.org/officeDocument/2006/relationships/hyperlink" Target="https://upload.wikimedia.org/wikipedia/commons/7/71/Tityus_colombianus.jpg" TargetMode="External"/><Relationship Id="rId5061" Type="http://schemas.openxmlformats.org/officeDocument/2006/relationships/hyperlink" Target="https://commons.wikimedia.org/wiki/File:Tityus_colombianus.jpg" TargetMode="External"/><Relationship Id="rId5064" Type="http://schemas.openxmlformats.org/officeDocument/2006/relationships/hyperlink" Target="https://upload.wikimedia.org/wikipedia/commons/e/e2/Tit%C3%AD_cabeciblanco_%28tambi%C3%A9n_conocido_como_tamarino_de_manos_blancas_o_Saguinus_leucopus%29%2C_una_especie_de_primate_end%C3%A9mica_de_Colombia.jpg" TargetMode="External"/><Relationship Id="rId5065" Type="http://schemas.openxmlformats.org/officeDocument/2006/relationships/hyperlink" Target="https://commons.wikimedia.org/wiki/File:Tit%C3%AD_cabeciblanco_(tambi%C3%A9n_conocido_como_tamarino_de_manos_blancas_o_Saguinus_leucopus),_una_especie_de_primate_end%C3%A9mica_de_Colombia.jpg" TargetMode="External"/><Relationship Id="rId5062" Type="http://schemas.openxmlformats.org/officeDocument/2006/relationships/hyperlink" Target="https://upload.wikimedia.org/wikipedia/commons/e/ed/Tit%C3%AD_cabeciblanco_%28Saguinus_oedipus%29_en_un_bosque_de_parque_en_Cartagena.jpg" TargetMode="External"/><Relationship Id="rId5063" Type="http://schemas.openxmlformats.org/officeDocument/2006/relationships/hyperlink" Target="https://commons.wikimedia.org/wiki/File:Tit%C3%AD_cabeciblanco_(Saguinus_oedipus)_en_un_bosque_de_parque_en_Cartagena.jpg" TargetMode="External"/><Relationship Id="rId5068" Type="http://schemas.openxmlformats.org/officeDocument/2006/relationships/hyperlink" Target="https://maps.google.com/?q=3.561100,-76.556900" TargetMode="External"/><Relationship Id="rId5069" Type="http://schemas.openxmlformats.org/officeDocument/2006/relationships/hyperlink" Target="https://upload.wikimedia.org/wikipedia/commons/d/d8/Torita_Cabecirrojo_Hembra_-_Eubucco_bourcierii.jpg" TargetMode="External"/><Relationship Id="rId5066" Type="http://schemas.openxmlformats.org/officeDocument/2006/relationships/hyperlink" Target="https://upload.wikimedia.org/wikipedia/commons/8/8d/Tomando_el_sol_-_PNN_Chingaza.jpg" TargetMode="External"/><Relationship Id="rId5067" Type="http://schemas.openxmlformats.org/officeDocument/2006/relationships/hyperlink" Target="https://commons.wikimedia.org/wiki/File:Tomando_el_sol_-_PNN_Chingaza.jpg" TargetMode="External"/><Relationship Id="rId1576" Type="http://schemas.openxmlformats.org/officeDocument/2006/relationships/hyperlink" Target="https://upload.wikimedia.org/wikipedia/commons/0/0f/Cuenca_Media_del_R%C3%ADo_In%C3%ADrida%2C_Guain%C3%ADa.jpg_41.jpg" TargetMode="External"/><Relationship Id="rId4602" Type="http://schemas.openxmlformats.org/officeDocument/2006/relationships/hyperlink" Target="https://commons.wikimedia.org/wiki/File:Rio_Magdalena_vista_Guaduas.jpg" TargetMode="External"/><Relationship Id="rId1577" Type="http://schemas.openxmlformats.org/officeDocument/2006/relationships/hyperlink" Target="https://commons.wikimedia.org/wiki/File:Cuenca_Media_del_R%C3%ADo_In%C3%ADrida,_Guain%C3%ADa.jpg_41.jpg" TargetMode="External"/><Relationship Id="rId4601" Type="http://schemas.openxmlformats.org/officeDocument/2006/relationships/hyperlink" Target="https://upload.wikimedia.org/wikipedia/commons/9/94/Rio_Magdalena_vista_Guaduas.jpg" TargetMode="External"/><Relationship Id="rId1578" Type="http://schemas.openxmlformats.org/officeDocument/2006/relationships/hyperlink" Target="https://maps.google.com/?q=2.723425,-69.411142" TargetMode="External"/><Relationship Id="rId4604" Type="http://schemas.openxmlformats.org/officeDocument/2006/relationships/hyperlink" Target="https://commons.wikimedia.org/wiki/File:Rio_Pauto.jpg" TargetMode="External"/><Relationship Id="rId1579" Type="http://schemas.openxmlformats.org/officeDocument/2006/relationships/hyperlink" Target="https://upload.wikimedia.org/wikipedia/commons/c/c3/Cuenca_Media_del_R%C3%ADo_In%C3%ADrida%2C_Guain%C3%ADa.jpg_42.jpg" TargetMode="External"/><Relationship Id="rId4603" Type="http://schemas.openxmlformats.org/officeDocument/2006/relationships/hyperlink" Target="https://upload.wikimedia.org/wikipedia/commons/a/a8/Rio_Pauto.jpg" TargetMode="External"/><Relationship Id="rId4606" Type="http://schemas.openxmlformats.org/officeDocument/2006/relationships/hyperlink" Target="https://upload.wikimedia.org/wikipedia/commons/1/16/Rio_Suaza_-_PNN_Cueva_de_los_Guacharos.jpg" TargetMode="External"/><Relationship Id="rId4605" Type="http://schemas.openxmlformats.org/officeDocument/2006/relationships/hyperlink" Target="https://maps.google.com/?q=1.628361,-76.128983" TargetMode="External"/><Relationship Id="rId4608" Type="http://schemas.openxmlformats.org/officeDocument/2006/relationships/hyperlink" Target="https://upload.wikimedia.org/wikipedia/commons/6/6f/Rio_Termales_el_sif%C3%B3n.jpg" TargetMode="External"/><Relationship Id="rId4607" Type="http://schemas.openxmlformats.org/officeDocument/2006/relationships/hyperlink" Target="https://commons.wikimedia.org/wiki/File:Rio_Suaza_-_PNN_Cueva_de_los_Guacharos.jpg" TargetMode="External"/><Relationship Id="rId4609" Type="http://schemas.openxmlformats.org/officeDocument/2006/relationships/hyperlink" Target="https://commons.wikimedia.org/wiki/File:Rio_Termales_el_sif%C3%B3n.jpg" TargetMode="External"/><Relationship Id="rId987" Type="http://schemas.openxmlformats.org/officeDocument/2006/relationships/hyperlink" Target="https://upload.wikimedia.org/wikipedia/commons/9/96/Cascada_en_Guasca_-_La_Reserva_El_Zoque.jpg" TargetMode="External"/><Relationship Id="rId986" Type="http://schemas.openxmlformats.org/officeDocument/2006/relationships/hyperlink" Target="https://maps.google.com/?q=4.840558,-73.832826" TargetMode="External"/><Relationship Id="rId985" Type="http://schemas.openxmlformats.org/officeDocument/2006/relationships/hyperlink" Target="https://commons.wikimedia.org/wiki/File:Cascada_en_Guasca.jpg" TargetMode="External"/><Relationship Id="rId984" Type="http://schemas.openxmlformats.org/officeDocument/2006/relationships/hyperlink" Target="https://upload.wikimedia.org/wikipedia/commons/2/26/Cascada_en_Guasca.jpg" TargetMode="External"/><Relationship Id="rId989" Type="http://schemas.openxmlformats.org/officeDocument/2006/relationships/hyperlink" Target="https://upload.wikimedia.org/wikipedia/commons/c/c9/Cascada_en_Murillo%2C_Tolima.jpg" TargetMode="External"/><Relationship Id="rId988" Type="http://schemas.openxmlformats.org/officeDocument/2006/relationships/hyperlink" Target="https://commons.wikimedia.org/wiki/File:Cascada_en_Guasca_-_La_Reserva_El_Zoque.jpg" TargetMode="External"/><Relationship Id="rId1570" Type="http://schemas.openxmlformats.org/officeDocument/2006/relationships/hyperlink" Target="https://maps.google.com/?q=2.972793,-68.759265" TargetMode="External"/><Relationship Id="rId1571" Type="http://schemas.openxmlformats.org/officeDocument/2006/relationships/hyperlink" Target="https://upload.wikimedia.org/wikipedia/commons/f/f4/Cuenca_Media_del_R%C3%ADo_In%C3%ADrida%2C_Guain%C3%ADa.jpg_39.jpg" TargetMode="External"/><Relationship Id="rId983" Type="http://schemas.openxmlformats.org/officeDocument/2006/relationships/hyperlink" Target="https://maps.google.com/?q=4.840625,-73.832821" TargetMode="External"/><Relationship Id="rId1572" Type="http://schemas.openxmlformats.org/officeDocument/2006/relationships/hyperlink" Target="https://commons.wikimedia.org/wiki/File:Cuenca_Media_del_R%C3%ADo_In%C3%ADrida,_Guain%C3%ADa.jpg_39.jpg" TargetMode="External"/><Relationship Id="rId982" Type="http://schemas.openxmlformats.org/officeDocument/2006/relationships/hyperlink" Target="https://commons.wikimedia.org/wiki/File:Cascada_de_deshielo_sobre_paredes_rocosas_del_Nevado_del_Ruiz.jpg" TargetMode="External"/><Relationship Id="rId1573" Type="http://schemas.openxmlformats.org/officeDocument/2006/relationships/hyperlink" Target="https://upload.wikimedia.org/wikipedia/commons/8/80/Cuenca_Media_del_R%C3%ADo_In%C3%ADrida%2C_Guain%C3%ADa.jpg_40.jpg" TargetMode="External"/><Relationship Id="rId981" Type="http://schemas.openxmlformats.org/officeDocument/2006/relationships/hyperlink" Target="https://upload.wikimedia.org/wikipedia/commons/7/7b/Cascada_de_deshielo_sobre_paredes_rocosas_del_Nevado_del_Ruiz.jpg" TargetMode="External"/><Relationship Id="rId1574" Type="http://schemas.openxmlformats.org/officeDocument/2006/relationships/hyperlink" Target="https://commons.wikimedia.org/wiki/File:Cuenca_Media_del_R%C3%ADo_In%C3%ADrida,_Guain%C3%ADa.jpg_40.jpg" TargetMode="External"/><Relationship Id="rId4600" Type="http://schemas.openxmlformats.org/officeDocument/2006/relationships/hyperlink" Target="https://commons.wikimedia.org/wiki/File:Rio_Magdalena_Honda.jpg" TargetMode="External"/><Relationship Id="rId980" Type="http://schemas.openxmlformats.org/officeDocument/2006/relationships/hyperlink" Target="https://commons.wikimedia.org/wiki/File:Cascada_Nevado_Cocuy_02.jpg" TargetMode="External"/><Relationship Id="rId1575" Type="http://schemas.openxmlformats.org/officeDocument/2006/relationships/hyperlink" Target="https://maps.google.com/?q=2.723425,-69.411142" TargetMode="External"/><Relationship Id="rId1565" Type="http://schemas.openxmlformats.org/officeDocument/2006/relationships/hyperlink" Target="https://upload.wikimedia.org/wikipedia/commons/9/9f/Cuenca_Media_del_R%C3%ADo_In%C3%ADrida%2C_Guain%C3%ADa.jpg_37.jpg" TargetMode="External"/><Relationship Id="rId2896" Type="http://schemas.openxmlformats.org/officeDocument/2006/relationships/hyperlink" Target="https://maps.google.com/?q=4.258757,-75.923736" TargetMode="External"/><Relationship Id="rId1566" Type="http://schemas.openxmlformats.org/officeDocument/2006/relationships/hyperlink" Target="https://commons.wikimedia.org/wiki/File:Cuenca_Media_del_R%C3%ADo_In%C3%ADrida,_Guain%C3%ADa.jpg_37.jpg" TargetMode="External"/><Relationship Id="rId2897" Type="http://schemas.openxmlformats.org/officeDocument/2006/relationships/hyperlink" Target="https://upload.wikimedia.org/wikipedia/commons/d/da/LA_TOMA_SEVILLA_VALLE_DEL_CAUCA_FLORA.jpg" TargetMode="External"/><Relationship Id="rId1567" Type="http://schemas.openxmlformats.org/officeDocument/2006/relationships/hyperlink" Target="https://maps.google.com/?q=3.208950,-68.220461" TargetMode="External"/><Relationship Id="rId2898" Type="http://schemas.openxmlformats.org/officeDocument/2006/relationships/hyperlink" Target="https://commons.wikimedia.org/wiki/File:LA_TOMA_SEVILLA_VALLE_DEL_CAUCA_FLORA.jpg" TargetMode="External"/><Relationship Id="rId1568" Type="http://schemas.openxmlformats.org/officeDocument/2006/relationships/hyperlink" Target="https://upload.wikimedia.org/wikipedia/commons/8/8f/Cuenca_Media_del_R%C3%ADo_In%C3%ADrida%2C_Guain%C3%ADa.jpg_38.jpg" TargetMode="External"/><Relationship Id="rId2899" Type="http://schemas.openxmlformats.org/officeDocument/2006/relationships/hyperlink" Target="https://maps.google.com/?q=4.258757,-75.923736" TargetMode="External"/><Relationship Id="rId1569" Type="http://schemas.openxmlformats.org/officeDocument/2006/relationships/hyperlink" Target="https://commons.wikimedia.org/wiki/File:Cuenca_Media_del_R%C3%ADo_In%C3%ADrida,_Guain%C3%ADa.jpg_38.jpg" TargetMode="External"/><Relationship Id="rId976" Type="http://schemas.openxmlformats.org/officeDocument/2006/relationships/hyperlink" Target="https://maps.google.com/?q=4.595670,-73.957806" TargetMode="External"/><Relationship Id="rId975" Type="http://schemas.openxmlformats.org/officeDocument/2006/relationships/hyperlink" Target="https://commons.wikimedia.org/wiki/File:Cascada_IMG-20260628-WA0014.jpg" TargetMode="External"/><Relationship Id="rId974" Type="http://schemas.openxmlformats.org/officeDocument/2006/relationships/hyperlink" Target="https://upload.wikimedia.org/wikipedia/commons/7/71/Cascada_IMG-20260628-WA0014.jpg" TargetMode="External"/><Relationship Id="rId973" Type="http://schemas.openxmlformats.org/officeDocument/2006/relationships/hyperlink" Target="https://commons.wikimedia.org/wiki/File:Cascada-PARQUE_NACIONAL_NATURAL_CHINGAZA.jpg" TargetMode="External"/><Relationship Id="rId979" Type="http://schemas.openxmlformats.org/officeDocument/2006/relationships/hyperlink" Target="https://upload.wikimedia.org/wikipedia/commons/b/b5/Cascada_Nevado_Cocuy_02.jpg" TargetMode="External"/><Relationship Id="rId978" Type="http://schemas.openxmlformats.org/officeDocument/2006/relationships/hyperlink" Target="https://commons.wikimedia.org/wiki/File:Cascada_La_Chorrera_in_the_distance.jpg" TargetMode="External"/><Relationship Id="rId977" Type="http://schemas.openxmlformats.org/officeDocument/2006/relationships/hyperlink" Target="https://upload.wikimedia.org/wikipedia/commons/a/af/Cascada_La_Chorrera_in_the_distance.jpg" TargetMode="External"/><Relationship Id="rId2890" Type="http://schemas.openxmlformats.org/officeDocument/2006/relationships/hyperlink" Target="https://maps.google.com/?q=4.258757,-75.923736" TargetMode="External"/><Relationship Id="rId1560" Type="http://schemas.openxmlformats.org/officeDocument/2006/relationships/hyperlink" Target="https://commons.wikimedia.org/wiki/File:Cuenca_Media_del_R%C3%ADo_In%C3%ADrida,_Guain%C3%ADa.jpg_35.jpg" TargetMode="External"/><Relationship Id="rId2891" Type="http://schemas.openxmlformats.org/officeDocument/2006/relationships/hyperlink" Target="https://upload.wikimedia.org/wikipedia/commons/e/ef/LA_TOMA_SEVILLA_VALLE_DEL_CAUCA.jpg" TargetMode="External"/><Relationship Id="rId972" Type="http://schemas.openxmlformats.org/officeDocument/2006/relationships/hyperlink" Target="https://upload.wikimedia.org/wikipedia/commons/9/99/Cascada-PARQUE_NACIONAL_NATURAL_CHINGAZA.jpg" TargetMode="External"/><Relationship Id="rId1561" Type="http://schemas.openxmlformats.org/officeDocument/2006/relationships/hyperlink" Target="https://maps.google.com/?q=3.208950,-68.220461" TargetMode="External"/><Relationship Id="rId2892" Type="http://schemas.openxmlformats.org/officeDocument/2006/relationships/hyperlink" Target="https://commons.wikimedia.org/wiki/File:LA_TOMA_SEVILLA_VALLE_DEL_CAUCA.jpg" TargetMode="External"/><Relationship Id="rId971" Type="http://schemas.openxmlformats.org/officeDocument/2006/relationships/hyperlink" Target="https://maps.google.com/?q=4.527990,-73.752840" TargetMode="External"/><Relationship Id="rId1562" Type="http://schemas.openxmlformats.org/officeDocument/2006/relationships/hyperlink" Target="https://upload.wikimedia.org/wikipedia/commons/a/a8/Cuenca_Media_del_R%C3%ADo_In%C3%ADrida%2C_Guain%C3%ADa.jpg_36.jpg" TargetMode="External"/><Relationship Id="rId2893" Type="http://schemas.openxmlformats.org/officeDocument/2006/relationships/hyperlink" Target="https://maps.google.com/?q=4.258757,-75.923736" TargetMode="External"/><Relationship Id="rId970" Type="http://schemas.openxmlformats.org/officeDocument/2006/relationships/hyperlink" Target="https://commons.wikimedia.org/wiki/File:Cartuchos_cola_de_marrano.jpg" TargetMode="External"/><Relationship Id="rId1563" Type="http://schemas.openxmlformats.org/officeDocument/2006/relationships/hyperlink" Target="https://commons.wikimedia.org/wiki/File:Cuenca_Media_del_R%C3%ADo_In%C3%ADrida,_Guain%C3%ADa.jpg_36.jpg" TargetMode="External"/><Relationship Id="rId2894" Type="http://schemas.openxmlformats.org/officeDocument/2006/relationships/hyperlink" Target="https://upload.wikimedia.org/wikipedia/commons/e/e2/LA_TOMA_SEVILLA_VALLE_DEL_CAUCA_FAUNA.jpg" TargetMode="External"/><Relationship Id="rId1564" Type="http://schemas.openxmlformats.org/officeDocument/2006/relationships/hyperlink" Target="https://maps.google.com/?q=3.208950,-68.220461" TargetMode="External"/><Relationship Id="rId2895" Type="http://schemas.openxmlformats.org/officeDocument/2006/relationships/hyperlink" Target="https://commons.wikimedia.org/wiki/File:LA_TOMA_SEVILLA_VALLE_DEL_CAUCA_FAUNA.jpg" TargetMode="External"/><Relationship Id="rId1598" Type="http://schemas.openxmlformats.org/officeDocument/2006/relationships/hyperlink" Target="https://commons.wikimedia.org/wiki/File:Cultivo_de_caf%C3%A9_San_Agustin_(Huila).jpg" TargetMode="External"/><Relationship Id="rId4624" Type="http://schemas.openxmlformats.org/officeDocument/2006/relationships/hyperlink" Target="https://commons.wikimedia.org/wiki/File:Roble_(Fagaceae).jpg" TargetMode="External"/><Relationship Id="rId1599" Type="http://schemas.openxmlformats.org/officeDocument/2006/relationships/hyperlink" Target="https://maps.google.com/?q=4.091467,-73.502273" TargetMode="External"/><Relationship Id="rId4623" Type="http://schemas.openxmlformats.org/officeDocument/2006/relationships/hyperlink" Target="https://upload.wikimedia.org/wikipedia/commons/6/64/Roble_%28Fagaceae%29.jpg" TargetMode="External"/><Relationship Id="rId4626" Type="http://schemas.openxmlformats.org/officeDocument/2006/relationships/hyperlink" Target="https://commons.wikimedia.org/wiki/File:Roble_(Quercus_humboldtii).jpg" TargetMode="External"/><Relationship Id="rId4625" Type="http://schemas.openxmlformats.org/officeDocument/2006/relationships/hyperlink" Target="https://upload.wikimedia.org/wikipedia/commons/3/3b/Roble_%28Quercus_humboldtii%29.jpg" TargetMode="External"/><Relationship Id="rId4628" Type="http://schemas.openxmlformats.org/officeDocument/2006/relationships/hyperlink" Target="https://commons.wikimedia.org/wiki/File:Roble_andino_(Quercus_humboldtii).jpg" TargetMode="External"/><Relationship Id="rId4627" Type="http://schemas.openxmlformats.org/officeDocument/2006/relationships/hyperlink" Target="https://upload.wikimedia.org/wikipedia/commons/5/56/Roble_andino_%28Quercus_humboldtii%29.jpg" TargetMode="External"/><Relationship Id="rId4629" Type="http://schemas.openxmlformats.org/officeDocument/2006/relationships/hyperlink" Target="https://upload.wikimedia.org/wikipedia/commons/c/ca/Rojashuila_02.jpg" TargetMode="External"/><Relationship Id="rId1590" Type="http://schemas.openxmlformats.org/officeDocument/2006/relationships/hyperlink" Target="https://maps.google.com/?q=1.550000,-76.133333" TargetMode="External"/><Relationship Id="rId1591" Type="http://schemas.openxmlformats.org/officeDocument/2006/relationships/hyperlink" Target="https://upload.wikimedia.org/wikipedia/commons/9/97/Cueva_de_los_Guacharos.jpg" TargetMode="External"/><Relationship Id="rId1592" Type="http://schemas.openxmlformats.org/officeDocument/2006/relationships/hyperlink" Target="https://commons.wikimedia.org/wiki/File:Cueva_de_los_Guacharos.jpg" TargetMode="External"/><Relationship Id="rId1593" Type="http://schemas.openxmlformats.org/officeDocument/2006/relationships/hyperlink" Target="https://upload.wikimedia.org/wikipedia/commons/0/0e/Cueva_de_los_Guacharos_-_PNN_Cueva_de_los_Guacharos.jpg" TargetMode="External"/><Relationship Id="rId1594" Type="http://schemas.openxmlformats.org/officeDocument/2006/relationships/hyperlink" Target="https://commons.wikimedia.org/wiki/File:Cueva_de_los_Guacharos_-_PNN_Cueva_de_los_Guacharos.jpg" TargetMode="External"/><Relationship Id="rId4620" Type="http://schemas.openxmlformats.org/officeDocument/2006/relationships/hyperlink" Target="https://commons.wikimedia.org/wiki/File:Ritakwa_Blanco_20260614.jpg" TargetMode="External"/><Relationship Id="rId1595" Type="http://schemas.openxmlformats.org/officeDocument/2006/relationships/hyperlink" Target="https://upload.wikimedia.org/wikipedia/commons/2/23/Cultivo_de_arroz_cucuta%2C_norte_de_santander.jpg" TargetMode="External"/><Relationship Id="rId1596" Type="http://schemas.openxmlformats.org/officeDocument/2006/relationships/hyperlink" Target="https://commons.wikimedia.org/wiki/File:Cultivo_de_arroz_cucuta,_norte_de_santander.jpg" TargetMode="External"/><Relationship Id="rId4622" Type="http://schemas.openxmlformats.org/officeDocument/2006/relationships/hyperlink" Target="https://commons.wikimedia.org/wiki/File:River_in_Palomino_Colombia.jpg" TargetMode="External"/><Relationship Id="rId1597" Type="http://schemas.openxmlformats.org/officeDocument/2006/relationships/hyperlink" Target="https://upload.wikimedia.org/wikipedia/commons/4/4f/Cultivo_de_caf%C3%A9_San_Agustin_%28Huila%29.jpg" TargetMode="External"/><Relationship Id="rId4621" Type="http://schemas.openxmlformats.org/officeDocument/2006/relationships/hyperlink" Target="https://upload.wikimedia.org/wikipedia/commons/5/58/River_in_Palomino_Colombia.jpg" TargetMode="External"/><Relationship Id="rId1587" Type="http://schemas.openxmlformats.org/officeDocument/2006/relationships/hyperlink" Target="https://commons.wikimedia.org/wiki/File:Cuerno_de_venado_%E2%80%93_Familia_Polypodiaceae.jpg" TargetMode="External"/><Relationship Id="rId4613" Type="http://schemas.openxmlformats.org/officeDocument/2006/relationships/hyperlink" Target="https://commons.wikimedia.org/wiki/File:Rio_en_Valle_del_Cauca.jpg" TargetMode="External"/><Relationship Id="rId1588" Type="http://schemas.openxmlformats.org/officeDocument/2006/relationships/hyperlink" Target="https://upload.wikimedia.org/wikipedia/commons/f/fd/Cuerpo_de_agua_El_Pe%C3%B1ol_-_Guatap%C3%A9.jpg" TargetMode="External"/><Relationship Id="rId4612" Type="http://schemas.openxmlformats.org/officeDocument/2006/relationships/hyperlink" Target="https://upload.wikimedia.org/wikipedia/commons/8/89/Rio_en_Valle_del_Cauca.jpg" TargetMode="External"/><Relationship Id="rId1589" Type="http://schemas.openxmlformats.org/officeDocument/2006/relationships/hyperlink" Target="https://commons.wikimedia.org/wiki/File:Cuerpo_de_agua_El_Pe%C3%B1ol_-_Guatap%C3%A9.jpg" TargetMode="External"/><Relationship Id="rId4615" Type="http://schemas.openxmlformats.org/officeDocument/2006/relationships/hyperlink" Target="https://commons.wikimedia.org/wiki/File:Rio_sinu_corrido_en_lancha.jpg" TargetMode="External"/><Relationship Id="rId4614" Type="http://schemas.openxmlformats.org/officeDocument/2006/relationships/hyperlink" Target="https://upload.wikimedia.org/wikipedia/commons/9/9c/Rio_sinu_corrido_en_lancha.jpg" TargetMode="External"/><Relationship Id="rId4617" Type="http://schemas.openxmlformats.org/officeDocument/2006/relationships/hyperlink" Target="https://commons.wikimedia.org/wiki/File:Ritacuba_blanco_panoramica.jpg" TargetMode="External"/><Relationship Id="rId4616" Type="http://schemas.openxmlformats.org/officeDocument/2006/relationships/hyperlink" Target="https://upload.wikimedia.org/wikipedia/commons/2/24/Ritacuba_blanco_panoramica.jpg" TargetMode="External"/><Relationship Id="rId4619" Type="http://schemas.openxmlformats.org/officeDocument/2006/relationships/hyperlink" Target="https://upload.wikimedia.org/wikipedia/commons/e/e2/Ritakwa_Blanco_20260614.jpg" TargetMode="External"/><Relationship Id="rId4618" Type="http://schemas.openxmlformats.org/officeDocument/2006/relationships/hyperlink" Target="https://maps.google.com/?q=6.496338,-72.319065" TargetMode="External"/><Relationship Id="rId998" Type="http://schemas.openxmlformats.org/officeDocument/2006/relationships/hyperlink" Target="https://upload.wikimedia.org/wikipedia/commons/c/c6/Cascadas_estacionales_en_las_paredes_del_ca%C3%B1%C3%B3n_del_Tequendama.jpg" TargetMode="External"/><Relationship Id="rId997" Type="http://schemas.openxmlformats.org/officeDocument/2006/relationships/hyperlink" Target="https://maps.google.com/?q=4.575476,-74.294875" TargetMode="External"/><Relationship Id="rId996" Type="http://schemas.openxmlformats.org/officeDocument/2006/relationships/hyperlink" Target="https://commons.wikimedia.org/wiki/File:Cascadas_Ventanas_de_Tisquizoque.jpg" TargetMode="External"/><Relationship Id="rId995" Type="http://schemas.openxmlformats.org/officeDocument/2006/relationships/hyperlink" Target="https://upload.wikimedia.org/wikipedia/commons/b/b8/Cascadas_Ventanas_de_Tisquizoque.jpg" TargetMode="External"/><Relationship Id="rId999" Type="http://schemas.openxmlformats.org/officeDocument/2006/relationships/hyperlink" Target="https://commons.wikimedia.org/wiki/File:Cascadas_estacionales_en_las_paredes_del_ca%C3%B1%C3%B3n_del_Tequendama.jpg" TargetMode="External"/><Relationship Id="rId990" Type="http://schemas.openxmlformats.org/officeDocument/2006/relationships/hyperlink" Target="https://commons.wikimedia.org/wiki/File:Cascada_en_Murillo,_Tolima.jpg" TargetMode="External"/><Relationship Id="rId1580" Type="http://schemas.openxmlformats.org/officeDocument/2006/relationships/hyperlink" Target="https://commons.wikimedia.org/wiki/File:Cuenca_Media_del_R%C3%ADo_In%C3%ADrida,_Guain%C3%ADa.jpg_42.jpg" TargetMode="External"/><Relationship Id="rId1581" Type="http://schemas.openxmlformats.org/officeDocument/2006/relationships/hyperlink" Target="https://upload.wikimedia.org/wikipedia/commons/4/45/Cuenca_Media_del_R%C3%ADo_In%C3%ADrida%2C_Guain%C3%ADa.jpg_43.jpg" TargetMode="External"/><Relationship Id="rId1582" Type="http://schemas.openxmlformats.org/officeDocument/2006/relationships/hyperlink" Target="https://commons.wikimedia.org/wiki/File:Cuenca_Media_del_R%C3%ADo_In%C3%ADrida,_Guain%C3%ADa.jpg_43.jpg" TargetMode="External"/><Relationship Id="rId994" Type="http://schemas.openxmlformats.org/officeDocument/2006/relationships/hyperlink" Target="https://commons.wikimedia.org/wiki/File:Cascada_la_70.jpg" TargetMode="External"/><Relationship Id="rId1583" Type="http://schemas.openxmlformats.org/officeDocument/2006/relationships/hyperlink" Target="https://upload.wikimedia.org/wikipedia/commons/a/a3/Cuenca_del_rio_Quindio.jpg" TargetMode="External"/><Relationship Id="rId993" Type="http://schemas.openxmlformats.org/officeDocument/2006/relationships/hyperlink" Target="https://upload.wikimedia.org/wikipedia/commons/0/00/Cascada_la_70.jpg" TargetMode="External"/><Relationship Id="rId1584" Type="http://schemas.openxmlformats.org/officeDocument/2006/relationships/hyperlink" Target="https://commons.wikimedia.org/wiki/File:Cuenca_del_rio_Quindio.jpg" TargetMode="External"/><Relationship Id="rId992" Type="http://schemas.openxmlformats.org/officeDocument/2006/relationships/hyperlink" Target="https://commons.wikimedia.org/wiki/File:Cascada_en_Murillo,_Tolima_(33725).jpg" TargetMode="External"/><Relationship Id="rId1585" Type="http://schemas.openxmlformats.org/officeDocument/2006/relationships/hyperlink" Target="https://maps.google.com/?q=4.669437,-74.097702" TargetMode="External"/><Relationship Id="rId4611" Type="http://schemas.openxmlformats.org/officeDocument/2006/relationships/hyperlink" Target="https://commons.wikimedia.org/wiki/File:Rio_de_Infancia.jpg" TargetMode="External"/><Relationship Id="rId991" Type="http://schemas.openxmlformats.org/officeDocument/2006/relationships/hyperlink" Target="https://upload.wikimedia.org/wikipedia/commons/e/ec/Cascada_en_Murillo%2C_Tolima_%2833725%29.jpg" TargetMode="External"/><Relationship Id="rId1586" Type="http://schemas.openxmlformats.org/officeDocument/2006/relationships/hyperlink" Target="https://upload.wikimedia.org/wikipedia/commons/3/31/Cuerno_de_venado_%E2%80%93_Familia_Polypodiaceae.jpg" TargetMode="External"/><Relationship Id="rId4610" Type="http://schemas.openxmlformats.org/officeDocument/2006/relationships/hyperlink" Target="https://upload.wikimedia.org/wikipedia/commons/8/88/Rio_de_Infancia.jpg" TargetMode="External"/><Relationship Id="rId1532" Type="http://schemas.openxmlformats.org/officeDocument/2006/relationships/hyperlink" Target="https://maps.google.com/?q=3.461922,-67.970807" TargetMode="External"/><Relationship Id="rId2863" Type="http://schemas.openxmlformats.org/officeDocument/2006/relationships/hyperlink" Target="https://commons.wikimedia.org/wiki/File:La_Mariposa_Morada.jpg" TargetMode="External"/><Relationship Id="rId1533" Type="http://schemas.openxmlformats.org/officeDocument/2006/relationships/hyperlink" Target="https://upload.wikimedia.org/wikipedia/commons/3/31/Cuenca_Media_del_R%C3%ADo_In%C3%ADrida%2C_Guain%C3%ADa.jpg_26.jpg" TargetMode="External"/><Relationship Id="rId2864" Type="http://schemas.openxmlformats.org/officeDocument/2006/relationships/hyperlink" Target="https://maps.google.com/?q=4.848476,-74.050662" TargetMode="External"/><Relationship Id="rId1534" Type="http://schemas.openxmlformats.org/officeDocument/2006/relationships/hyperlink" Target="https://commons.wikimedia.org/wiki/File:Cuenca_Media_del_R%C3%ADo_In%C3%ADrida,_Guain%C3%ADa.jpg_26.jpg" TargetMode="External"/><Relationship Id="rId2865" Type="http://schemas.openxmlformats.org/officeDocument/2006/relationships/hyperlink" Target="https://upload.wikimedia.org/wikipedia/commons/0/07/La_belleza_de_las_polillas_tigre._Erebidae%2C_Actiinae.jpg" TargetMode="External"/><Relationship Id="rId1535" Type="http://schemas.openxmlformats.org/officeDocument/2006/relationships/hyperlink" Target="https://maps.google.com/?q=3.461922,-67.970807" TargetMode="External"/><Relationship Id="rId2866" Type="http://schemas.openxmlformats.org/officeDocument/2006/relationships/hyperlink" Target="https://commons.wikimedia.org/wiki/File:La_belleza_de_las_polillas_tigre._Erebidae,_Actiinae.jpg" TargetMode="External"/><Relationship Id="rId1536" Type="http://schemas.openxmlformats.org/officeDocument/2006/relationships/hyperlink" Target="https://upload.wikimedia.org/wikipedia/commons/e/e0/Cuenca_Media_del_R%C3%ADo_In%C3%ADrida%2C_Guain%C3%ADa.jpg_27.jpg" TargetMode="External"/><Relationship Id="rId2867" Type="http://schemas.openxmlformats.org/officeDocument/2006/relationships/hyperlink" Target="https://upload.wikimedia.org/wikipedia/commons/a/a1/La_casa_flotante_en_laguna_del_amor.jpg" TargetMode="External"/><Relationship Id="rId1537" Type="http://schemas.openxmlformats.org/officeDocument/2006/relationships/hyperlink" Target="https://commons.wikimedia.org/wiki/File:Cuenca_Media_del_R%C3%ADo_In%C3%ADrida,_Guain%C3%ADa.jpg_27.jpg" TargetMode="External"/><Relationship Id="rId2868" Type="http://schemas.openxmlformats.org/officeDocument/2006/relationships/hyperlink" Target="https://commons.wikimedia.org/wiki/File:La_casa_flotante_en_laguna_del_amor.jpg" TargetMode="External"/><Relationship Id="rId1538" Type="http://schemas.openxmlformats.org/officeDocument/2006/relationships/hyperlink" Target="https://maps.google.com/?q=3.461922,-67.970807" TargetMode="External"/><Relationship Id="rId2869" Type="http://schemas.openxmlformats.org/officeDocument/2006/relationships/hyperlink" Target="https://upload.wikimedia.org/wikipedia/commons/5/57/La_colonizaci%C3%B3n_del_p%C3%A1ramo_-_PNN_Los_Nevados.jpg" TargetMode="External"/><Relationship Id="rId1539" Type="http://schemas.openxmlformats.org/officeDocument/2006/relationships/hyperlink" Target="https://upload.wikimedia.org/wikipedia/commons/6/61/Cuenca_Media_del_R%C3%ADo_In%C3%ADrida%2C_Guain%C3%ADa.jpg_28.jpg" TargetMode="External"/><Relationship Id="rId949" Type="http://schemas.openxmlformats.org/officeDocument/2006/relationships/hyperlink" Target="https://commons.wikimedia.org/wiki/File:Cartagena_Enso%C3%B1adora.jpg" TargetMode="External"/><Relationship Id="rId948" Type="http://schemas.openxmlformats.org/officeDocument/2006/relationships/hyperlink" Target="https://upload.wikimedia.org/wikipedia/commons/3/36/Cartagena_Enso%C3%B1adora.jpg" TargetMode="External"/><Relationship Id="rId943" Type="http://schemas.openxmlformats.org/officeDocument/2006/relationships/hyperlink" Target="https://maps.google.com/?q=4.634831,-75.564658" TargetMode="External"/><Relationship Id="rId942" Type="http://schemas.openxmlformats.org/officeDocument/2006/relationships/hyperlink" Target="https://commons.wikimedia.org/wiki/File:Carriqu%C3%AD_verdiamarillo_(30052).jpg" TargetMode="External"/><Relationship Id="rId941" Type="http://schemas.openxmlformats.org/officeDocument/2006/relationships/hyperlink" Target="https://upload.wikimedia.org/wikipedia/commons/e/e2/Carriqu%C3%AD_verdiamarillo_%2830052%29.jpg" TargetMode="External"/><Relationship Id="rId940" Type="http://schemas.openxmlformats.org/officeDocument/2006/relationships/hyperlink" Target="https://maps.google.com/?q=4.639299,-75.562209" TargetMode="External"/><Relationship Id="rId947" Type="http://schemas.openxmlformats.org/officeDocument/2006/relationships/hyperlink" Target="https://commons.wikimedia.org/wiki/File:Cartagena,colombia.jpg" TargetMode="External"/><Relationship Id="rId946" Type="http://schemas.openxmlformats.org/officeDocument/2006/relationships/hyperlink" Target="https://upload.wikimedia.org/wikipedia/commons/d/dc/Cartagena%2Ccolombia.jpg" TargetMode="External"/><Relationship Id="rId945" Type="http://schemas.openxmlformats.org/officeDocument/2006/relationships/hyperlink" Target="https://commons.wikimedia.org/wiki/File:Carriqu%C3%AD_verdiamarillo_(64601).jpg" TargetMode="External"/><Relationship Id="rId944" Type="http://schemas.openxmlformats.org/officeDocument/2006/relationships/hyperlink" Target="https://upload.wikimedia.org/wikipedia/commons/d/d1/Carriqu%C3%AD_verdiamarillo_%2864601%29.jpg" TargetMode="External"/><Relationship Id="rId2860" Type="http://schemas.openxmlformats.org/officeDocument/2006/relationships/hyperlink" Target="https://commons.wikimedia.org/wiki/File:La_Leonera.jpg" TargetMode="External"/><Relationship Id="rId1530" Type="http://schemas.openxmlformats.org/officeDocument/2006/relationships/hyperlink" Target="https://upload.wikimedia.org/wikipedia/commons/b/b1/Cuenca_Media_del_R%C3%ADo_In%C3%ADrida%2C_Guain%C3%ADa.jpg_25.jpg" TargetMode="External"/><Relationship Id="rId2861" Type="http://schemas.openxmlformats.org/officeDocument/2006/relationships/hyperlink" Target="https://maps.google.com/?q=4.594490,-74.070340" TargetMode="External"/><Relationship Id="rId1531" Type="http://schemas.openxmlformats.org/officeDocument/2006/relationships/hyperlink" Target="https://commons.wikimedia.org/wiki/File:Cuenca_Media_del_R%C3%ADo_In%C3%ADrida,_Guain%C3%ADa.jpg_25.jpg" TargetMode="External"/><Relationship Id="rId2862" Type="http://schemas.openxmlformats.org/officeDocument/2006/relationships/hyperlink" Target="https://upload.wikimedia.org/wikipedia/commons/5/59/La_Mariposa_Morada.jpg" TargetMode="External"/><Relationship Id="rId1521" Type="http://schemas.openxmlformats.org/officeDocument/2006/relationships/hyperlink" Target="https://upload.wikimedia.org/wikipedia/commons/3/32/Cuenca_Media_del_R%C3%ADo_In%C3%ADrida%2C_Guain%C3%ADa.jpg_22.jpg" TargetMode="External"/><Relationship Id="rId2852" Type="http://schemas.openxmlformats.org/officeDocument/2006/relationships/hyperlink" Target="https://commons.wikimedia.org/wiki/File:La_Barra_Pacifico_colombiano.jpg" TargetMode="External"/><Relationship Id="rId1522" Type="http://schemas.openxmlformats.org/officeDocument/2006/relationships/hyperlink" Target="https://commons.wikimedia.org/wiki/File:Cuenca_Media_del_R%C3%ADo_In%C3%ADrida,_Guain%C3%ADa.jpg_22.jpg" TargetMode="External"/><Relationship Id="rId2853" Type="http://schemas.openxmlformats.org/officeDocument/2006/relationships/hyperlink" Target="https://upload.wikimedia.org/wikipedia/commons/5/55/La_Carbonera.jpg" TargetMode="External"/><Relationship Id="rId1523" Type="http://schemas.openxmlformats.org/officeDocument/2006/relationships/hyperlink" Target="https://maps.google.com/?q=3.461922,-67.970807" TargetMode="External"/><Relationship Id="rId2854" Type="http://schemas.openxmlformats.org/officeDocument/2006/relationships/hyperlink" Target="https://commons.wikimedia.org/wiki/File:La_Carbonera.jpg" TargetMode="External"/><Relationship Id="rId1524" Type="http://schemas.openxmlformats.org/officeDocument/2006/relationships/hyperlink" Target="https://upload.wikimedia.org/wikipedia/commons/f/fd/Cuenca_Media_del_R%C3%ADo_In%C3%ADrida%2C_Guain%C3%ADa.jpg_23.jpg" TargetMode="External"/><Relationship Id="rId2855" Type="http://schemas.openxmlformats.org/officeDocument/2006/relationships/hyperlink" Target="https://upload.wikimedia.org/wikipedia/commons/8/83/La_Carbonera_%28Tochecito%29.jpg" TargetMode="External"/><Relationship Id="rId1525" Type="http://schemas.openxmlformats.org/officeDocument/2006/relationships/hyperlink" Target="https://commons.wikimedia.org/wiki/File:Cuenca_Media_del_R%C3%ADo_In%C3%ADrida,_Guain%C3%ADa.jpg_23.jpg" TargetMode="External"/><Relationship Id="rId2856" Type="http://schemas.openxmlformats.org/officeDocument/2006/relationships/hyperlink" Target="https://commons.wikimedia.org/wiki/File:La_Carbonera_(Tochecito).jpg" TargetMode="External"/><Relationship Id="rId1526" Type="http://schemas.openxmlformats.org/officeDocument/2006/relationships/hyperlink" Target="https://maps.google.com/?q=3.461922,-67.970807" TargetMode="External"/><Relationship Id="rId2857" Type="http://schemas.openxmlformats.org/officeDocument/2006/relationships/hyperlink" Target="https://upload.wikimedia.org/wikipedia/commons/c/cf/La_Casa_Verde.jpg" TargetMode="External"/><Relationship Id="rId1527" Type="http://schemas.openxmlformats.org/officeDocument/2006/relationships/hyperlink" Target="https://upload.wikimedia.org/wikipedia/commons/1/15/Cuenca_Media_del_R%C3%ADo_In%C3%ADrida%2C_Guain%C3%ADa.jpg_24.jpg" TargetMode="External"/><Relationship Id="rId2858" Type="http://schemas.openxmlformats.org/officeDocument/2006/relationships/hyperlink" Target="https://commons.wikimedia.org/wiki/File:La_Casa_Verde.jpg" TargetMode="External"/><Relationship Id="rId1528" Type="http://schemas.openxmlformats.org/officeDocument/2006/relationships/hyperlink" Target="https://commons.wikimedia.org/wiki/File:Cuenca_Media_del_R%C3%ADo_In%C3%ADrida,_Guain%C3%ADa.jpg_24.jpg" TargetMode="External"/><Relationship Id="rId2859" Type="http://schemas.openxmlformats.org/officeDocument/2006/relationships/hyperlink" Target="https://upload.wikimedia.org/wikipedia/commons/6/6a/La_Leonera.jpg" TargetMode="External"/><Relationship Id="rId1529" Type="http://schemas.openxmlformats.org/officeDocument/2006/relationships/hyperlink" Target="https://maps.google.com/?q=3.461922,-67.970807" TargetMode="External"/><Relationship Id="rId939" Type="http://schemas.openxmlformats.org/officeDocument/2006/relationships/hyperlink" Target="https://commons.wikimedia.org/wiki/File:Carriqu%C3%AD_verdiamarillo.jpg" TargetMode="External"/><Relationship Id="rId938" Type="http://schemas.openxmlformats.org/officeDocument/2006/relationships/hyperlink" Target="https://upload.wikimedia.org/wikipedia/commons/5/53/Carriqu%C3%AD_verdiamarillo.jpg" TargetMode="External"/><Relationship Id="rId937" Type="http://schemas.openxmlformats.org/officeDocument/2006/relationships/hyperlink" Target="https://maps.google.com/?q=4.625208,-75.542599" TargetMode="External"/><Relationship Id="rId932" Type="http://schemas.openxmlformats.org/officeDocument/2006/relationships/hyperlink" Target="https://upload.wikimedia.org/wikipedia/commons/e/e3/Carriqu%C3%AD_verdeamarillo_junio_2025.jpg" TargetMode="External"/><Relationship Id="rId931" Type="http://schemas.openxmlformats.org/officeDocument/2006/relationships/hyperlink" Target="https://maps.google.com/?q=4.666700,-75.500000" TargetMode="External"/><Relationship Id="rId930" Type="http://schemas.openxmlformats.org/officeDocument/2006/relationships/hyperlink" Target="https://commons.wikimedia.org/wiki/File:Carpintero_libando.jpg" TargetMode="External"/><Relationship Id="rId936" Type="http://schemas.openxmlformats.org/officeDocument/2006/relationships/hyperlink" Target="https://commons.wikimedia.org/wiki/File:Carriqu%C3%AD_verdeamarillo_junio_2025_1.jpg" TargetMode="External"/><Relationship Id="rId935" Type="http://schemas.openxmlformats.org/officeDocument/2006/relationships/hyperlink" Target="https://upload.wikimedia.org/wikipedia/commons/1/16/Carriqu%C3%AD_verdeamarillo_junio_2025_1.jpg" TargetMode="External"/><Relationship Id="rId934" Type="http://schemas.openxmlformats.org/officeDocument/2006/relationships/hyperlink" Target="https://maps.google.com/?q=4.666700,-75.500000" TargetMode="External"/><Relationship Id="rId933" Type="http://schemas.openxmlformats.org/officeDocument/2006/relationships/hyperlink" Target="https://commons.wikimedia.org/wiki/File:Carriqu%C3%AD_verdeamarillo_junio_2025.jpg" TargetMode="External"/><Relationship Id="rId2850" Type="http://schemas.openxmlformats.org/officeDocument/2006/relationships/hyperlink" Target="https://maps.google.com/?q=3.957875,-77.377358" TargetMode="External"/><Relationship Id="rId1520" Type="http://schemas.openxmlformats.org/officeDocument/2006/relationships/hyperlink" Target="https://maps.google.com/?q=3.461922,-67.970807" TargetMode="External"/><Relationship Id="rId2851" Type="http://schemas.openxmlformats.org/officeDocument/2006/relationships/hyperlink" Target="https://upload.wikimedia.org/wikipedia/commons/4/49/La_Barra_Pacifico_colombiano.jpg" TargetMode="External"/><Relationship Id="rId1554" Type="http://schemas.openxmlformats.org/officeDocument/2006/relationships/hyperlink" Target="https://commons.wikimedia.org/wiki/File:Cuenca_Media_del_R%C3%ADo_In%C3%ADrida,_Guain%C3%ADa.jpg_33.jpg" TargetMode="External"/><Relationship Id="rId2885" Type="http://schemas.openxmlformats.org/officeDocument/2006/relationships/hyperlink" Target="https://commons.wikimedia.org/wiki/File:La_piedra_el_Penol_vista_desde_el_embalse_del_Pe%C3%B1ol.jpg" TargetMode="External"/><Relationship Id="rId1555" Type="http://schemas.openxmlformats.org/officeDocument/2006/relationships/hyperlink" Target="https://maps.google.com/?q=3.208950,-68.220461" TargetMode="External"/><Relationship Id="rId2886" Type="http://schemas.openxmlformats.org/officeDocument/2006/relationships/hyperlink" Target="https://upload.wikimedia.org/wikipedia/commons/b/b9/La_promesa.jpg" TargetMode="External"/><Relationship Id="rId1556" Type="http://schemas.openxmlformats.org/officeDocument/2006/relationships/hyperlink" Target="https://upload.wikimedia.org/wikipedia/commons/a/a7/Cuenca_Media_del_R%C3%ADo_In%C3%ADrida%2C_Guain%C3%ADa.jpg_34.jpg" TargetMode="External"/><Relationship Id="rId2887" Type="http://schemas.openxmlformats.org/officeDocument/2006/relationships/hyperlink" Target="https://commons.wikimedia.org/wiki/File:La_promesa.jpg" TargetMode="External"/><Relationship Id="rId1557" Type="http://schemas.openxmlformats.org/officeDocument/2006/relationships/hyperlink" Target="https://commons.wikimedia.org/wiki/File:Cuenca_Media_del_R%C3%ADo_In%C3%ADrida,_Guain%C3%ADa.jpg_34.jpg" TargetMode="External"/><Relationship Id="rId2888" Type="http://schemas.openxmlformats.org/officeDocument/2006/relationships/hyperlink" Target="https://upload.wikimedia.org/wikipedia/commons/b/b9/La_protagonista_del_campo.jpg" TargetMode="External"/><Relationship Id="rId1558" Type="http://schemas.openxmlformats.org/officeDocument/2006/relationships/hyperlink" Target="https://maps.google.com/?q=3.208950,-68.220461" TargetMode="External"/><Relationship Id="rId2889" Type="http://schemas.openxmlformats.org/officeDocument/2006/relationships/hyperlink" Target="https://commons.wikimedia.org/wiki/File:La_protagonista_del_campo.jpg" TargetMode="External"/><Relationship Id="rId1559" Type="http://schemas.openxmlformats.org/officeDocument/2006/relationships/hyperlink" Target="https://upload.wikimedia.org/wikipedia/commons/1/19/Cuenca_Media_del_R%C3%ADo_In%C3%ADrida%2C_Guain%C3%ADa.jpg_35.jpg" TargetMode="External"/><Relationship Id="rId965" Type="http://schemas.openxmlformats.org/officeDocument/2006/relationships/hyperlink" Target="https://maps.google.com/?q=4.978368,-75.348129" TargetMode="External"/><Relationship Id="rId964" Type="http://schemas.openxmlformats.org/officeDocument/2006/relationships/hyperlink" Target="https://commons.wikimedia.org/wiki/File:Cartuchos_(67545).jpg" TargetMode="External"/><Relationship Id="rId963" Type="http://schemas.openxmlformats.org/officeDocument/2006/relationships/hyperlink" Target="https://upload.wikimedia.org/wikipedia/commons/8/86/Cartuchos_%2867545%29.jpg" TargetMode="External"/><Relationship Id="rId962" Type="http://schemas.openxmlformats.org/officeDocument/2006/relationships/hyperlink" Target="https://maps.google.com/?q=4.934326,-75.296447" TargetMode="External"/><Relationship Id="rId969" Type="http://schemas.openxmlformats.org/officeDocument/2006/relationships/hyperlink" Target="https://upload.wikimedia.org/wikipedia/commons/e/e9/Cartuchos_cola_de_marrano.jpg" TargetMode="External"/><Relationship Id="rId968" Type="http://schemas.openxmlformats.org/officeDocument/2006/relationships/hyperlink" Target="https://maps.google.com/?q=4.920387,-74.913422" TargetMode="External"/><Relationship Id="rId967" Type="http://schemas.openxmlformats.org/officeDocument/2006/relationships/hyperlink" Target="https://commons.wikimedia.org/wiki/File:Cartuchos_(71991).jpg" TargetMode="External"/><Relationship Id="rId966" Type="http://schemas.openxmlformats.org/officeDocument/2006/relationships/hyperlink" Target="https://upload.wikimedia.org/wikipedia/commons/a/a0/Cartuchos_%2871991%29.jpg" TargetMode="External"/><Relationship Id="rId2880" Type="http://schemas.openxmlformats.org/officeDocument/2006/relationships/hyperlink" Target="https://maps.google.com/?q=5.136483,-73.995300" TargetMode="External"/><Relationship Id="rId961" Type="http://schemas.openxmlformats.org/officeDocument/2006/relationships/hyperlink" Target="https://commons.wikimedia.org/wiki/File:Cartuchos_(51416).jpg" TargetMode="External"/><Relationship Id="rId1550" Type="http://schemas.openxmlformats.org/officeDocument/2006/relationships/hyperlink" Target="https://upload.wikimedia.org/wikipedia/commons/f/f5/Cuenca_Media_del_R%C3%ADo_In%C3%ADrida%2C_Guain%C3%ADa.jpg_32.jpg" TargetMode="External"/><Relationship Id="rId2881" Type="http://schemas.openxmlformats.org/officeDocument/2006/relationships/hyperlink" Target="https://upload.wikimedia.org/wikipedia/commons/e/e4/La_niebla_en_el_P%C3%A1ramo.jpg" TargetMode="External"/><Relationship Id="rId960" Type="http://schemas.openxmlformats.org/officeDocument/2006/relationships/hyperlink" Target="https://upload.wikimedia.org/wikipedia/commons/f/f1/Cartuchos_%2851416%29.jpg" TargetMode="External"/><Relationship Id="rId1551" Type="http://schemas.openxmlformats.org/officeDocument/2006/relationships/hyperlink" Target="https://commons.wikimedia.org/wiki/File:Cuenca_Media_del_R%C3%ADo_In%C3%ADrida,_Guain%C3%ADa.jpg_32.jpg" TargetMode="External"/><Relationship Id="rId2882" Type="http://schemas.openxmlformats.org/officeDocument/2006/relationships/hyperlink" Target="https://commons.wikimedia.org/wiki/File:La_niebla_en_el_P%C3%A1ramo.jpg" TargetMode="External"/><Relationship Id="rId1552" Type="http://schemas.openxmlformats.org/officeDocument/2006/relationships/hyperlink" Target="https://maps.google.com/?q=3.461922,-67.970807" TargetMode="External"/><Relationship Id="rId2883" Type="http://schemas.openxmlformats.org/officeDocument/2006/relationships/hyperlink" Target="https://maps.google.com/?q=6.218333,-75.165556" TargetMode="External"/><Relationship Id="rId1553" Type="http://schemas.openxmlformats.org/officeDocument/2006/relationships/hyperlink" Target="https://upload.wikimedia.org/wikipedia/commons/f/fa/Cuenca_Media_del_R%C3%ADo_In%C3%ADrida%2C_Guain%C3%ADa.jpg_33.jpg" TargetMode="External"/><Relationship Id="rId2884" Type="http://schemas.openxmlformats.org/officeDocument/2006/relationships/hyperlink" Target="https://upload.wikimedia.org/wikipedia/commons/e/e7/La_piedra_el_Penol_vista_desde_el_embalse_del_Pe%C3%B1ol.jpg" TargetMode="External"/><Relationship Id="rId1543" Type="http://schemas.openxmlformats.org/officeDocument/2006/relationships/hyperlink" Target="https://commons.wikimedia.org/wiki/File:Cuenca_Media_del_R%C3%ADo_In%C3%ADrida,_Guain%C3%ADa.jpg_29.jpg" TargetMode="External"/><Relationship Id="rId2874" Type="http://schemas.openxmlformats.org/officeDocument/2006/relationships/hyperlink" Target="https://commons.wikimedia.org/wiki/File:La_mirada_de_pesta%C3%B1as.jpg" TargetMode="External"/><Relationship Id="rId1544" Type="http://schemas.openxmlformats.org/officeDocument/2006/relationships/hyperlink" Target="https://maps.google.com/?q=3.461922,-67.970807" TargetMode="External"/><Relationship Id="rId2875" Type="http://schemas.openxmlformats.org/officeDocument/2006/relationships/hyperlink" Target="https://upload.wikimedia.org/wikipedia/commons/c/cd/La_mirada_del_bosque.jpg" TargetMode="External"/><Relationship Id="rId1545" Type="http://schemas.openxmlformats.org/officeDocument/2006/relationships/hyperlink" Target="https://upload.wikimedia.org/wikipedia/commons/7/75/Cuenca_Media_del_R%C3%ADo_In%C3%ADrida%2C_Guain%C3%ADa.jpg_30.jpg" TargetMode="External"/><Relationship Id="rId2876" Type="http://schemas.openxmlformats.org/officeDocument/2006/relationships/hyperlink" Target="https://commons.wikimedia.org/wiki/File:La_mirada_del_bosque.jpg" TargetMode="External"/><Relationship Id="rId1546" Type="http://schemas.openxmlformats.org/officeDocument/2006/relationships/hyperlink" Target="https://commons.wikimedia.org/wiki/File:Cuenca_Media_del_R%C3%ADo_In%C3%ADrida,_Guain%C3%ADa.jpg_30.jpg" TargetMode="External"/><Relationship Id="rId2877" Type="http://schemas.openxmlformats.org/officeDocument/2006/relationships/hyperlink" Target="https://maps.google.com/?q=4.172187,-74.146794" TargetMode="External"/><Relationship Id="rId1547" Type="http://schemas.openxmlformats.org/officeDocument/2006/relationships/hyperlink" Target="https://maps.google.com/?q=3.461922,-67.970807" TargetMode="External"/><Relationship Id="rId2878" Type="http://schemas.openxmlformats.org/officeDocument/2006/relationships/hyperlink" Target="https://upload.wikimedia.org/wikipedia/commons/1/1e/La_mosca_que_quer%C3%ADa_ser_abeja.jpg" TargetMode="External"/><Relationship Id="rId1548" Type="http://schemas.openxmlformats.org/officeDocument/2006/relationships/hyperlink" Target="https://upload.wikimedia.org/wikipedia/commons/7/7b/Cuenca_Media_del_R%C3%ADo_In%C3%ADrida%2C_Guain%C3%ADa.jpg_31.jpg" TargetMode="External"/><Relationship Id="rId2879" Type="http://schemas.openxmlformats.org/officeDocument/2006/relationships/hyperlink" Target="https://commons.wikimedia.org/wiki/File:La_mosca_que_quer%C3%ADa_ser_abeja.jpg" TargetMode="External"/><Relationship Id="rId1549" Type="http://schemas.openxmlformats.org/officeDocument/2006/relationships/hyperlink" Target="https://commons.wikimedia.org/wiki/File:Cuenca_Media_del_R%C3%ADo_In%C3%ADrida,_Guain%C3%ADa.jpg_31.jpg" TargetMode="External"/><Relationship Id="rId959" Type="http://schemas.openxmlformats.org/officeDocument/2006/relationships/hyperlink" Target="https://maps.google.com/?q=4.932381,-75.077572" TargetMode="External"/><Relationship Id="rId954" Type="http://schemas.openxmlformats.org/officeDocument/2006/relationships/hyperlink" Target="https://upload.wikimedia.org/wikipedia/commons/c/c5/Cartuchos_%2825984%29.jpg" TargetMode="External"/><Relationship Id="rId953" Type="http://schemas.openxmlformats.org/officeDocument/2006/relationships/hyperlink" Target="https://maps.google.com/?q=5.038751,-75.447503" TargetMode="External"/><Relationship Id="rId952" Type="http://schemas.openxmlformats.org/officeDocument/2006/relationships/hyperlink" Target="https://commons.wikimedia.org/wiki/File:Cartuchos_(23466).jpg" TargetMode="External"/><Relationship Id="rId951" Type="http://schemas.openxmlformats.org/officeDocument/2006/relationships/hyperlink" Target="https://upload.wikimedia.org/wikipedia/commons/a/a4/Cartuchos_%2823466%29.jpg" TargetMode="External"/><Relationship Id="rId958" Type="http://schemas.openxmlformats.org/officeDocument/2006/relationships/hyperlink" Target="https://commons.wikimedia.org/wiki/File:Cartuchos_(38939).jpg" TargetMode="External"/><Relationship Id="rId957" Type="http://schemas.openxmlformats.org/officeDocument/2006/relationships/hyperlink" Target="https://upload.wikimedia.org/wikipedia/commons/d/d3/Cartuchos_%2838939%29.jpg" TargetMode="External"/><Relationship Id="rId956" Type="http://schemas.openxmlformats.org/officeDocument/2006/relationships/hyperlink" Target="https://maps.google.com/?q=4.906215,-75.223621" TargetMode="External"/><Relationship Id="rId955" Type="http://schemas.openxmlformats.org/officeDocument/2006/relationships/hyperlink" Target="https://commons.wikimedia.org/wiki/File:Cartuchos_(25984).jpg" TargetMode="External"/><Relationship Id="rId950" Type="http://schemas.openxmlformats.org/officeDocument/2006/relationships/hyperlink" Target="https://maps.google.com/?q=4.987514,-74.992323" TargetMode="External"/><Relationship Id="rId2870" Type="http://schemas.openxmlformats.org/officeDocument/2006/relationships/hyperlink" Target="https://commons.wikimedia.org/wiki/File:La_colonizaci%C3%B3n_del_p%C3%A1ramo_-_PNN_Los_Nevados.jpg" TargetMode="External"/><Relationship Id="rId1540" Type="http://schemas.openxmlformats.org/officeDocument/2006/relationships/hyperlink" Target="https://commons.wikimedia.org/wiki/File:Cuenca_Media_del_R%C3%ADo_In%C3%ADrida,_Guain%C3%ADa.jpg_28.jpg" TargetMode="External"/><Relationship Id="rId2871" Type="http://schemas.openxmlformats.org/officeDocument/2006/relationships/hyperlink" Target="https://upload.wikimedia.org/wikipedia/commons/8/8b/La_llama_%28Lama_glama%29.jpg" TargetMode="External"/><Relationship Id="rId1541" Type="http://schemas.openxmlformats.org/officeDocument/2006/relationships/hyperlink" Target="https://maps.google.com/?q=3.461922,-67.970807" TargetMode="External"/><Relationship Id="rId2872" Type="http://schemas.openxmlformats.org/officeDocument/2006/relationships/hyperlink" Target="https://commons.wikimedia.org/wiki/File:La_llama_(Lama_glama).jpg" TargetMode="External"/><Relationship Id="rId1542" Type="http://schemas.openxmlformats.org/officeDocument/2006/relationships/hyperlink" Target="https://upload.wikimedia.org/wikipedia/commons/c/ce/Cuenca_Media_del_R%C3%ADo_In%C3%ADrida%2C_Guain%C3%ADa.jpg_29.jpg" TargetMode="External"/><Relationship Id="rId2873" Type="http://schemas.openxmlformats.org/officeDocument/2006/relationships/hyperlink" Target="https://upload.wikimedia.org/wikipedia/commons/e/e1/La_mirada_de_pesta%C3%B1as.jpg" TargetMode="External"/><Relationship Id="rId2027" Type="http://schemas.openxmlformats.org/officeDocument/2006/relationships/hyperlink" Target="https://commons.wikimedia.org/wiki/File:Espeletia_schultesiana_Frailejon-familia_de_las_aster%C3%A1ceas.jpg" TargetMode="External"/><Relationship Id="rId3359" Type="http://schemas.openxmlformats.org/officeDocument/2006/relationships/hyperlink" Target="https://upload.wikimedia.org/wikipedia/commons/4/40/Melanerpes_cruentatus_Little_Woodpecker.png" TargetMode="External"/><Relationship Id="rId2028" Type="http://schemas.openxmlformats.org/officeDocument/2006/relationships/hyperlink" Target="https://upload.wikimedia.org/wikipedia/commons/6/6c/Espeletia_uribei.jpg" TargetMode="External"/><Relationship Id="rId3358" Type="http://schemas.openxmlformats.org/officeDocument/2006/relationships/hyperlink" Target="https://maps.google.com/?q=4.091467,-73.502273" TargetMode="External"/><Relationship Id="rId4689" Type="http://schemas.openxmlformats.org/officeDocument/2006/relationships/hyperlink" Target="https://upload.wikimedia.org/wikipedia/commons/a/a1/Saltamontes.jpg" TargetMode="External"/><Relationship Id="rId2029" Type="http://schemas.openxmlformats.org/officeDocument/2006/relationships/hyperlink" Target="https://commons.wikimedia.org/wiki/File:Espeletia_uribei.jpg" TargetMode="External"/><Relationship Id="rId107" Type="http://schemas.openxmlformats.org/officeDocument/2006/relationships/hyperlink" Target="https://upload.wikimedia.org/wikipedia/commons/c/c5/Alegr%C3%ADa_de_la_casa%2C_Belenes_o_Miramelindos_%28Impatiens%29.jpg" TargetMode="External"/><Relationship Id="rId106" Type="http://schemas.openxmlformats.org/officeDocument/2006/relationships/hyperlink" Target="https://commons.wikimedia.org/wiki/File:Ala_de_sable_Lazulita.jpg" TargetMode="External"/><Relationship Id="rId105" Type="http://schemas.openxmlformats.org/officeDocument/2006/relationships/hyperlink" Target="https://upload.wikimedia.org/wikipedia/commons/1/11/Ala_de_sable_Lazulita.jpg" TargetMode="External"/><Relationship Id="rId104" Type="http://schemas.openxmlformats.org/officeDocument/2006/relationships/hyperlink" Target="https://commons.wikimedia.org/wiki/File:Aguila_Real_de_Monta%C3%B1a.jpg" TargetMode="External"/><Relationship Id="rId109" Type="http://schemas.openxmlformats.org/officeDocument/2006/relationships/hyperlink" Target="https://maps.google.com/?q=4.667750,-74.099944" TargetMode="External"/><Relationship Id="rId4680" Type="http://schemas.openxmlformats.org/officeDocument/2006/relationships/hyperlink" Target="https://maps.google.com/?q=4.668211,-74.100198" TargetMode="External"/><Relationship Id="rId108" Type="http://schemas.openxmlformats.org/officeDocument/2006/relationships/hyperlink" Target="https://commons.wikimedia.org/wiki/File:Alegr%C3%ADa_de_la_casa,_Belenes_o_Miramelindos_(Impatiens).jpg" TargetMode="External"/><Relationship Id="rId3351" Type="http://schemas.openxmlformats.org/officeDocument/2006/relationships/hyperlink" Target="https://commons.wikimedia.org/wiki/File:Megaptera_novaeangliae_australis_-_Nuqu%C3%AD,_Choc%C3%B3,_Colombia_-_22_Oct_2025_-_Diferoch_-_1.jpg" TargetMode="External"/><Relationship Id="rId4682" Type="http://schemas.openxmlformats.org/officeDocument/2006/relationships/hyperlink" Target="https://commons.wikimedia.org/wiki/File:Sago,_Palmera_sag%C3%BA,_Megaesporofilos.jpg" TargetMode="External"/><Relationship Id="rId2020" Type="http://schemas.openxmlformats.org/officeDocument/2006/relationships/hyperlink" Target="https://commons.wikimedia.org/wiki/File:Espejo_del_R%C3%ADo_In%C3%ADrida.jpg" TargetMode="External"/><Relationship Id="rId3350" Type="http://schemas.openxmlformats.org/officeDocument/2006/relationships/hyperlink" Target="https://upload.wikimedia.org/wikipedia/commons/0/01/Megaptera_novaeangliae_australis_-_Nuqu%C3%AD%2C_Choc%C3%B3%2C_Colombia_-_22_Oct_2025_-_Diferoch_-_1.jpg" TargetMode="External"/><Relationship Id="rId4681" Type="http://schemas.openxmlformats.org/officeDocument/2006/relationships/hyperlink" Target="https://upload.wikimedia.org/wikipedia/commons/6/69/Sago%2C_Palmera_sag%C3%BA%2C_Megaesporofilos.jpg" TargetMode="External"/><Relationship Id="rId2021" Type="http://schemas.openxmlformats.org/officeDocument/2006/relationships/hyperlink" Target="https://upload.wikimedia.org/wikipedia/commons/3/3f/Espeletia_grandiflora_-_Frailej%C3%B3n.jpg" TargetMode="External"/><Relationship Id="rId3353" Type="http://schemas.openxmlformats.org/officeDocument/2006/relationships/hyperlink" Target="https://upload.wikimedia.org/wikipedia/commons/f/fb/Megaptera_novaeangliae_australis_-_Nuqu%C3%AD%2C_Choc%C3%B3%2C_Colombia_-_22_Oct_2025_-_Diferoch_-_2.jpg" TargetMode="External"/><Relationship Id="rId4684" Type="http://schemas.openxmlformats.org/officeDocument/2006/relationships/hyperlink" Target="https://upload.wikimedia.org/wikipedia/commons/e/ef/Saimiri_albigena.jpg" TargetMode="External"/><Relationship Id="rId2022" Type="http://schemas.openxmlformats.org/officeDocument/2006/relationships/hyperlink" Target="https://commons.wikimedia.org/wiki/File:Espeletia_grandiflora_-_Frailej%C3%B3n.jpg" TargetMode="External"/><Relationship Id="rId3352" Type="http://schemas.openxmlformats.org/officeDocument/2006/relationships/hyperlink" Target="https://maps.google.com/?q=5.613080,-77.496253" TargetMode="External"/><Relationship Id="rId4683" Type="http://schemas.openxmlformats.org/officeDocument/2006/relationships/hyperlink" Target="https://maps.google.com/?q=2.183190,-73.784932" TargetMode="External"/><Relationship Id="rId103" Type="http://schemas.openxmlformats.org/officeDocument/2006/relationships/hyperlink" Target="https://upload.wikimedia.org/wikipedia/commons/4/41/Aguila_Real_de_Monta%C3%B1a.jpg" TargetMode="External"/><Relationship Id="rId2023" Type="http://schemas.openxmlformats.org/officeDocument/2006/relationships/hyperlink" Target="https://upload.wikimedia.org/wikipedia/commons/0/09/Espeletia_in_Boyac%C3%A1_%28Frailejones_en_Boyac%C3%A1%29.jpg" TargetMode="External"/><Relationship Id="rId3355" Type="http://schemas.openxmlformats.org/officeDocument/2006/relationships/hyperlink" Target="https://maps.google.com/?q=5.608528,-77.502007" TargetMode="External"/><Relationship Id="rId4686" Type="http://schemas.openxmlformats.org/officeDocument/2006/relationships/hyperlink" Target="https://upload.wikimedia.org/wikipedia/commons/3/3f/Saltamonte_en_Bojac%C3%A1.jpg" TargetMode="External"/><Relationship Id="rId102" Type="http://schemas.openxmlformats.org/officeDocument/2006/relationships/hyperlink" Target="https://commons.wikimedia.org/wiki/File:Aguas_bajo_el_puente.jpg" TargetMode="External"/><Relationship Id="rId2024" Type="http://schemas.openxmlformats.org/officeDocument/2006/relationships/hyperlink" Target="https://commons.wikimedia.org/wiki/File:Espeletia_in_Boyac%C3%A1_(Frailejones_en_Boyac%C3%A1).jpg" TargetMode="External"/><Relationship Id="rId3354" Type="http://schemas.openxmlformats.org/officeDocument/2006/relationships/hyperlink" Target="https://commons.wikimedia.org/wiki/File:Megaptera_novaeangliae_australis_-_Nuqu%C3%AD,_Choc%C3%B3,_Colombia_-_22_Oct_2025_-_Diferoch_-_2.jpg" TargetMode="External"/><Relationship Id="rId4685" Type="http://schemas.openxmlformats.org/officeDocument/2006/relationships/hyperlink" Target="https://commons.wikimedia.org/wiki/File:Saimiri_albigena.jpg" TargetMode="External"/><Relationship Id="rId101" Type="http://schemas.openxmlformats.org/officeDocument/2006/relationships/hyperlink" Target="https://upload.wikimedia.org/wikipedia/commons/5/52/Aguas_bajo_el_puente.jpg" TargetMode="External"/><Relationship Id="rId2025" Type="http://schemas.openxmlformats.org/officeDocument/2006/relationships/hyperlink" Target="https://maps.google.com/?q=4.527990,-73.752840" TargetMode="External"/><Relationship Id="rId3357" Type="http://schemas.openxmlformats.org/officeDocument/2006/relationships/hyperlink" Target="https://commons.wikimedia.org/wiki/File:Megaptera_novaeangliae_australis_-_Nuqu%C3%AD,_Choc%C3%B3,_Colombia_-_22_Oct_2025_-_Diferoch_-_3.jpg" TargetMode="External"/><Relationship Id="rId4688" Type="http://schemas.openxmlformats.org/officeDocument/2006/relationships/hyperlink" Target="https://maps.google.com/?q=4.984157,-74.278160" TargetMode="External"/><Relationship Id="rId100" Type="http://schemas.openxmlformats.org/officeDocument/2006/relationships/hyperlink" Target="https://commons.wikimedia.org/wiki/File:Agriacris_sp._observado_en_Medina,_Colombia.jpg" TargetMode="External"/><Relationship Id="rId2026" Type="http://schemas.openxmlformats.org/officeDocument/2006/relationships/hyperlink" Target="https://upload.wikimedia.org/wikipedia/commons/0/0b/Espeletia_schultesiana_Frailejon-familia_de_las_aster%C3%A1ceas.jpg" TargetMode="External"/><Relationship Id="rId3356" Type="http://schemas.openxmlformats.org/officeDocument/2006/relationships/hyperlink" Target="https://upload.wikimedia.org/wikipedia/commons/a/ae/Megaptera_novaeangliae_australis_-_Nuqu%C3%AD%2C_Choc%C3%B3%2C_Colombia_-_22_Oct_2025_-_Diferoch_-_3.jpg" TargetMode="External"/><Relationship Id="rId4687" Type="http://schemas.openxmlformats.org/officeDocument/2006/relationships/hyperlink" Target="https://commons.wikimedia.org/wiki/File:Saltamonte_en_Bojac%C3%A1.jpg" TargetMode="External"/><Relationship Id="rId2016" Type="http://schemas.openxmlformats.org/officeDocument/2006/relationships/hyperlink" Target="https://commons.wikimedia.org/wiki/File:Esferas_de_la_Naturaleza.jpg" TargetMode="External"/><Relationship Id="rId3348" Type="http://schemas.openxmlformats.org/officeDocument/2006/relationships/hyperlink" Target="https://commons.wikimedia.org/wiki/File:Megalopyge_lanata_-_Barrancabermeja,_Santander,_Colombia_-_28_Jul_2025_-_Diferoch.jpg" TargetMode="External"/><Relationship Id="rId4679" Type="http://schemas.openxmlformats.org/officeDocument/2006/relationships/hyperlink" Target="https://commons.wikimedia.org/wiki/File:Sabanas_cordobesas_y_sinuanas.jpg" TargetMode="External"/><Relationship Id="rId2017" Type="http://schemas.openxmlformats.org/officeDocument/2006/relationships/hyperlink" Target="https://upload.wikimedia.org/wikipedia/commons/a/a0/Especie_%C3%A1rbol_Hueso_%28Salicaceae%29.jpg" TargetMode="External"/><Relationship Id="rId3347" Type="http://schemas.openxmlformats.org/officeDocument/2006/relationships/hyperlink" Target="https://upload.wikimedia.org/wikipedia/commons/0/0a/Megalopyge_lanata_-_Barrancabermeja%2C_Santander%2C_Colombia_-_28_Jul_2025_-_Diferoch.jpg" TargetMode="External"/><Relationship Id="rId4678" Type="http://schemas.openxmlformats.org/officeDocument/2006/relationships/hyperlink" Target="https://upload.wikimedia.org/wikipedia/commons/4/48/Sabanas_cordobesas_y_sinuanas.jpg" TargetMode="External"/><Relationship Id="rId2018" Type="http://schemas.openxmlformats.org/officeDocument/2006/relationships/hyperlink" Target="https://commons.wikimedia.org/wiki/File:Especie_%C3%A1rbol_Hueso_(Salicaceae).jpg" TargetMode="External"/><Relationship Id="rId2019" Type="http://schemas.openxmlformats.org/officeDocument/2006/relationships/hyperlink" Target="https://upload.wikimedia.org/wikipedia/commons/1/12/Espejo_del_R%C3%ADo_In%C3%ADrida.jpg" TargetMode="External"/><Relationship Id="rId3349" Type="http://schemas.openxmlformats.org/officeDocument/2006/relationships/hyperlink" Target="https://maps.google.com/?q=5.616402,-77.490096" TargetMode="External"/><Relationship Id="rId3340" Type="http://schemas.openxmlformats.org/officeDocument/2006/relationships/hyperlink" Target="https://upload.wikimedia.org/wikipedia/commons/8/85/Mechanitis_polymnia_-_Alas_de_tigre.jpg" TargetMode="External"/><Relationship Id="rId4671" Type="http://schemas.openxmlformats.org/officeDocument/2006/relationships/hyperlink" Target="https://commons.wikimedia.org/wiki/File:R%C3%ADo_Palomino.jpg" TargetMode="External"/><Relationship Id="rId4670" Type="http://schemas.openxmlformats.org/officeDocument/2006/relationships/hyperlink" Target="https://upload.wikimedia.org/wikipedia/commons/f/fa/R%C3%ADo_Palomino.jpg" TargetMode="External"/><Relationship Id="rId2010" Type="http://schemas.openxmlformats.org/officeDocument/2006/relationships/hyperlink" Target="https://commons.wikimedia.org/wiki/File:Esencia_Violeta.jpg" TargetMode="External"/><Relationship Id="rId3342" Type="http://schemas.openxmlformats.org/officeDocument/2006/relationships/hyperlink" Target="https://upload.wikimedia.org/wikipedia/commons/d/d5/Medio_sol.jpg" TargetMode="External"/><Relationship Id="rId4673" Type="http://schemas.openxmlformats.org/officeDocument/2006/relationships/hyperlink" Target="https://commons.wikimedia.org/wiki/File:R%C3%ADo_Sin%C3%BA_al_atardecer.jpg" TargetMode="External"/><Relationship Id="rId2011" Type="http://schemas.openxmlformats.org/officeDocument/2006/relationships/hyperlink" Target="https://maps.google.com/?q=4.594490,-74.070340" TargetMode="External"/><Relationship Id="rId3341" Type="http://schemas.openxmlformats.org/officeDocument/2006/relationships/hyperlink" Target="https://commons.wikimedia.org/wiki/File:Mechanitis_polymnia_-_Alas_de_tigre.jpg" TargetMode="External"/><Relationship Id="rId4672" Type="http://schemas.openxmlformats.org/officeDocument/2006/relationships/hyperlink" Target="https://upload.wikimedia.org/wikipedia/commons/7/7e/R%C3%ADo_Sin%C3%BA_al_atardecer.jpg" TargetMode="External"/><Relationship Id="rId2012" Type="http://schemas.openxmlformats.org/officeDocument/2006/relationships/hyperlink" Target="https://upload.wikimedia.org/wikipedia/commons/9/98/Esfera_de_Deseos.jpg" TargetMode="External"/><Relationship Id="rId3344" Type="http://schemas.openxmlformats.org/officeDocument/2006/relationships/hyperlink" Target="https://upload.wikimedia.org/wikipedia/commons/0/02/Megalobulimus_sp._-_Caracol_terrestre.jpg" TargetMode="External"/><Relationship Id="rId4675" Type="http://schemas.openxmlformats.org/officeDocument/2006/relationships/hyperlink" Target="https://commons.wikimedia.org/wiki/File:R%C3%ADo_Sumapaz.jpg" TargetMode="External"/><Relationship Id="rId2013" Type="http://schemas.openxmlformats.org/officeDocument/2006/relationships/hyperlink" Target="https://commons.wikimedia.org/wiki/File:Esfera_de_Deseos.jpg" TargetMode="External"/><Relationship Id="rId3343" Type="http://schemas.openxmlformats.org/officeDocument/2006/relationships/hyperlink" Target="https://commons.wikimedia.org/wiki/File:Medio_sol.jpg" TargetMode="External"/><Relationship Id="rId4674" Type="http://schemas.openxmlformats.org/officeDocument/2006/relationships/hyperlink" Target="https://upload.wikimedia.org/wikipedia/commons/3/37/R%C3%ADo_Sumapaz.jpg" TargetMode="External"/><Relationship Id="rId2014" Type="http://schemas.openxmlformats.org/officeDocument/2006/relationships/hyperlink" Target="https://maps.google.com/?q=4.594490,-74.070340" TargetMode="External"/><Relationship Id="rId3346" Type="http://schemas.openxmlformats.org/officeDocument/2006/relationships/hyperlink" Target="https://maps.google.com/?q=7.085098,-73.863960" TargetMode="External"/><Relationship Id="rId4677" Type="http://schemas.openxmlformats.org/officeDocument/2006/relationships/hyperlink" Target="https://commons.wikimedia.org/wiki/File:Sabana_inundada,_C%C3%B3rdoba.jpg" TargetMode="External"/><Relationship Id="rId2015" Type="http://schemas.openxmlformats.org/officeDocument/2006/relationships/hyperlink" Target="https://upload.wikimedia.org/wikipedia/commons/d/d3/Esferas_de_la_Naturaleza.jpg" TargetMode="External"/><Relationship Id="rId3345" Type="http://schemas.openxmlformats.org/officeDocument/2006/relationships/hyperlink" Target="https://commons.wikimedia.org/wiki/File:Megalobulimus_sp._-_Caracol_terrestre.jpg" TargetMode="External"/><Relationship Id="rId4676" Type="http://schemas.openxmlformats.org/officeDocument/2006/relationships/hyperlink" Target="https://upload.wikimedia.org/wikipedia/commons/e/e6/Sabana_inundada%2C_C%C3%B3rdoba.jpg" TargetMode="External"/><Relationship Id="rId2049" Type="http://schemas.openxmlformats.org/officeDocument/2006/relationships/hyperlink" Target="https://commons.wikimedia.org/wiki/File:Estructuras_de_disyunci%C3%B3n_columnar_en_el_Nevado_del_Ruiz.jpg" TargetMode="External"/><Relationship Id="rId129" Type="http://schemas.openxmlformats.org/officeDocument/2006/relationships/hyperlink" Target="https://commons.wikimedia.org/wiki/File:Amanecer_del_R%C3%ADo_Cauca.jpg" TargetMode="External"/><Relationship Id="rId128" Type="http://schemas.openxmlformats.org/officeDocument/2006/relationships/hyperlink" Target="https://upload.wikimedia.org/wikipedia/commons/4/45/Amanecer_del_R%C3%ADo_Cauca.jpg" TargetMode="External"/><Relationship Id="rId127" Type="http://schemas.openxmlformats.org/officeDocument/2006/relationships/hyperlink" Target="https://commons.wikimedia.org/wiki/File:Amanecer_con_vistas_al_Pico_Crist%C3%B3bal_Col%C3%B3n_und_Pico_Sim%C3%B3n_Bol%C3%ADvar_en_la_Sierra_Nevada_de_Santa_Marta,_Departamento_de_Magdalena,_Colombia.jpg" TargetMode="External"/><Relationship Id="rId126" Type="http://schemas.openxmlformats.org/officeDocument/2006/relationships/hyperlink" Target="https://upload.wikimedia.org/wikipedia/commons/5/51/Amanecer_con_vistas_al_Pico_Crist%C3%B3bal_Col%C3%B3n_und_Pico_Sim%C3%B3n_Bol%C3%ADvar_en_la_Sierra_Nevada_de_Santa_Marta%2C_Departamento_de_Magdalena%2C_Colombia.jpg" TargetMode="External"/><Relationship Id="rId3371" Type="http://schemas.openxmlformats.org/officeDocument/2006/relationships/hyperlink" Target="https://commons.wikimedia.org/wiki/File:Mielero_Verde_Hembra_-_Chlorophanes_spiza.jpg" TargetMode="External"/><Relationship Id="rId2040" Type="http://schemas.openxmlformats.org/officeDocument/2006/relationships/hyperlink" Target="https://upload.wikimedia.org/wikipedia/commons/6/6b/Espumareda_peligrosa.jpg" TargetMode="External"/><Relationship Id="rId3370" Type="http://schemas.openxmlformats.org/officeDocument/2006/relationships/hyperlink" Target="https://upload.wikimedia.org/wikipedia/commons/2/28/Mielero_Verde_Hembra_-_Chlorophanes_spiza.jpg" TargetMode="External"/><Relationship Id="rId121" Type="http://schemas.openxmlformats.org/officeDocument/2006/relationships/hyperlink" Target="https://commons.wikimedia.org/wiki/File:Alto_del_%C3%A1guila_(Chia).jpg" TargetMode="External"/><Relationship Id="rId2041" Type="http://schemas.openxmlformats.org/officeDocument/2006/relationships/hyperlink" Target="https://commons.wikimedia.org/wiki/File:Espumareda_peligrosa.jpg" TargetMode="External"/><Relationship Id="rId3373" Type="http://schemas.openxmlformats.org/officeDocument/2006/relationships/hyperlink" Target="https://upload.wikimedia.org/wikipedia/commons/5/57/Mielero_Verde_Macho_-_Chlorophanes_spiza.jpg" TargetMode="External"/><Relationship Id="rId120" Type="http://schemas.openxmlformats.org/officeDocument/2006/relationships/hyperlink" Target="https://upload.wikimedia.org/wikipedia/commons/4/49/Alto_del_%C3%A1guila_%28Chia%29.jpg" TargetMode="External"/><Relationship Id="rId2042" Type="http://schemas.openxmlformats.org/officeDocument/2006/relationships/hyperlink" Target="https://upload.wikimedia.org/wikipedia/commons/e/eb/Esta_en_mi_y_yo_en_el.jpg" TargetMode="External"/><Relationship Id="rId3372" Type="http://schemas.openxmlformats.org/officeDocument/2006/relationships/hyperlink" Target="https://maps.google.com/?q=3.561100,-76.556900" TargetMode="External"/><Relationship Id="rId2043" Type="http://schemas.openxmlformats.org/officeDocument/2006/relationships/hyperlink" Target="https://commons.wikimedia.org/wiki/File:Esta_en_mi_y_yo_en_el.jpg" TargetMode="External"/><Relationship Id="rId3375" Type="http://schemas.openxmlformats.org/officeDocument/2006/relationships/hyperlink" Target="https://upload.wikimedia.org/wikipedia/commons/7/75/Milvago_Chimachima_-_Gavil%C3%A1n_Pollero.jpg" TargetMode="External"/><Relationship Id="rId2044" Type="http://schemas.openxmlformats.org/officeDocument/2006/relationships/hyperlink" Target="https://upload.wikimedia.org/wikipedia/commons/e/ed/Estaci%C3%B3n_can%C3%A1.jpg" TargetMode="External"/><Relationship Id="rId3374" Type="http://schemas.openxmlformats.org/officeDocument/2006/relationships/hyperlink" Target="https://commons.wikimedia.org/wiki/File:Mielero_Verde_Macho_-_Chlorophanes_spiza.jpg" TargetMode="External"/><Relationship Id="rId125" Type="http://schemas.openxmlformats.org/officeDocument/2006/relationships/hyperlink" Target="https://commons.wikimedia.org/wiki/File:Amanecer_Nevado_Cocuy_01.jpg" TargetMode="External"/><Relationship Id="rId2045" Type="http://schemas.openxmlformats.org/officeDocument/2006/relationships/hyperlink" Target="https://commons.wikimedia.org/wiki/File:Estaci%C3%B3n_can%C3%A1.jpg" TargetMode="External"/><Relationship Id="rId3377" Type="http://schemas.openxmlformats.org/officeDocument/2006/relationships/hyperlink" Target="https://maps.google.com/?q=4.667750,-74.099940" TargetMode="External"/><Relationship Id="rId124" Type="http://schemas.openxmlformats.org/officeDocument/2006/relationships/hyperlink" Target="https://upload.wikimedia.org/wikipedia/commons/8/80/Amanecer_Nevado_Cocuy_01.jpg" TargetMode="External"/><Relationship Id="rId2046" Type="http://schemas.openxmlformats.org/officeDocument/2006/relationships/hyperlink" Target="https://upload.wikimedia.org/wikipedia/commons/0/08/Estratos_y_pliegues_de_arcilla.jpg" TargetMode="External"/><Relationship Id="rId3376" Type="http://schemas.openxmlformats.org/officeDocument/2006/relationships/hyperlink" Target="https://commons.wikimedia.org/wiki/File:Milvago_Chimachima_-_Gavil%C3%A1n_Pollero.jpg" TargetMode="External"/><Relationship Id="rId123" Type="http://schemas.openxmlformats.org/officeDocument/2006/relationships/hyperlink" Target="https://commons.wikimedia.org/wiki/File:Altos_de_Chingaza_-_PNN_Chingaza.jpg" TargetMode="External"/><Relationship Id="rId2047" Type="http://schemas.openxmlformats.org/officeDocument/2006/relationships/hyperlink" Target="https://commons.wikimedia.org/wiki/File:Estratos_y_pliegues_de_arcilla.jpg" TargetMode="External"/><Relationship Id="rId3379" Type="http://schemas.openxmlformats.org/officeDocument/2006/relationships/hyperlink" Target="https://commons.wikimedia.org/wiki/File:Mimbre_mayo_2026.jpg" TargetMode="External"/><Relationship Id="rId122" Type="http://schemas.openxmlformats.org/officeDocument/2006/relationships/hyperlink" Target="https://upload.wikimedia.org/wikipedia/commons/e/e1/Altos_de_Chingaza_-_PNN_Chingaza.jpg" TargetMode="External"/><Relationship Id="rId2048" Type="http://schemas.openxmlformats.org/officeDocument/2006/relationships/hyperlink" Target="https://upload.wikimedia.org/wikipedia/commons/f/f1/Estructuras_de_disyunci%C3%B3n_columnar_en_el_Nevado_del_Ruiz.jpg" TargetMode="External"/><Relationship Id="rId3378" Type="http://schemas.openxmlformats.org/officeDocument/2006/relationships/hyperlink" Target="https://upload.wikimedia.org/wikipedia/commons/2/28/Mimbre_mayo_2026.jpg" TargetMode="External"/><Relationship Id="rId2038" Type="http://schemas.openxmlformats.org/officeDocument/2006/relationships/hyperlink" Target="https://upload.wikimedia.org/wikipedia/commons/1/18/Espinas_de_mora_de_P%C3%A1ramo.jpg" TargetMode="External"/><Relationship Id="rId2039" Type="http://schemas.openxmlformats.org/officeDocument/2006/relationships/hyperlink" Target="https://commons.wikimedia.org/wiki/File:Espinas_de_mora_de_P%C3%A1ramo.jpg" TargetMode="External"/><Relationship Id="rId3369" Type="http://schemas.openxmlformats.org/officeDocument/2006/relationships/hyperlink" Target="https://maps.google.com/?q=3.561100,-76.556900" TargetMode="External"/><Relationship Id="rId118" Type="http://schemas.openxmlformats.org/officeDocument/2006/relationships/hyperlink" Target="https://commons.wikimedia.org/wiki/File:Altiplano_cundiboyacense.jpg" TargetMode="External"/><Relationship Id="rId117" Type="http://schemas.openxmlformats.org/officeDocument/2006/relationships/hyperlink" Target="https://upload.wikimedia.org/wikipedia/commons/a/ab/Altiplano_cundiboyacense.jpg" TargetMode="External"/><Relationship Id="rId116" Type="http://schemas.openxmlformats.org/officeDocument/2006/relationships/hyperlink" Target="https://commons.wikimedia.org/wiki/File:Aljaba_(Fuchsia_magellanica).jpg" TargetMode="External"/><Relationship Id="rId115" Type="http://schemas.openxmlformats.org/officeDocument/2006/relationships/hyperlink" Target="https://upload.wikimedia.org/wikipedia/commons/d/d3/Aljaba_%28Fuchsia_magellanica%29.jpg" TargetMode="External"/><Relationship Id="rId3360" Type="http://schemas.openxmlformats.org/officeDocument/2006/relationships/hyperlink" Target="https://commons.wikimedia.org/wiki/File:Melanerpes_cruentatus_Little_Woodpecker.png" TargetMode="External"/><Relationship Id="rId4691" Type="http://schemas.openxmlformats.org/officeDocument/2006/relationships/hyperlink" Target="https://upload.wikimedia.org/wikipedia/commons/d/de/Saltamontes_en_una_piedra.jpg" TargetMode="External"/><Relationship Id="rId119" Type="http://schemas.openxmlformats.org/officeDocument/2006/relationships/hyperlink" Target="https://maps.google.com/?q=4.85912511,-74.08304594" TargetMode="External"/><Relationship Id="rId4690" Type="http://schemas.openxmlformats.org/officeDocument/2006/relationships/hyperlink" Target="https://commons.wikimedia.org/wiki/File:Saltamontes.jpg" TargetMode="External"/><Relationship Id="rId110" Type="http://schemas.openxmlformats.org/officeDocument/2006/relationships/hyperlink" Target="https://upload.wikimedia.org/wikipedia/commons/b/bb/Algodon1.jpg" TargetMode="External"/><Relationship Id="rId2030" Type="http://schemas.openxmlformats.org/officeDocument/2006/relationships/hyperlink" Target="https://maps.google.com/?q=1.615202,-76.102569" TargetMode="External"/><Relationship Id="rId3362" Type="http://schemas.openxmlformats.org/officeDocument/2006/relationships/hyperlink" Target="https://commons.wikimedia.org/wiki/File:Melastomataceae_-_Julian_Barrera.jpg" TargetMode="External"/><Relationship Id="rId4693" Type="http://schemas.openxmlformats.org/officeDocument/2006/relationships/hyperlink" Target="https://maps.google.com/?q=4.668296,-74.097728" TargetMode="External"/><Relationship Id="rId2031" Type="http://schemas.openxmlformats.org/officeDocument/2006/relationships/hyperlink" Target="https://upload.wikimedia.org/wikipedia/commons/c/ce/Esperando_amor_-_PNN_Cueva_de_los_Guacharos_%28PRIMER_PLANO%29.jpg" TargetMode="External"/><Relationship Id="rId3361" Type="http://schemas.openxmlformats.org/officeDocument/2006/relationships/hyperlink" Target="https://upload.wikimedia.org/wikipedia/commons/4/48/Melastomataceae_-_Julian_Barrera.jpg" TargetMode="External"/><Relationship Id="rId4692" Type="http://schemas.openxmlformats.org/officeDocument/2006/relationships/hyperlink" Target="https://commons.wikimedia.org/wiki/File:Saltamontes_en_una_piedra.jpg" TargetMode="External"/><Relationship Id="rId2032" Type="http://schemas.openxmlformats.org/officeDocument/2006/relationships/hyperlink" Target="https://commons.wikimedia.org/wiki/File:Esperando_amor_-_PNN_Cueva_de_los_Guacharos_(PRIMER_PLANO).jpg" TargetMode="External"/><Relationship Id="rId3364" Type="http://schemas.openxmlformats.org/officeDocument/2006/relationships/hyperlink" Target="https://commons.wikimedia.org/wiki/File:Melocactus_curvispinus_en_el_suelo_erosionado_de_la_Tatacoa.jpg" TargetMode="External"/><Relationship Id="rId4695" Type="http://schemas.openxmlformats.org/officeDocument/2006/relationships/hyperlink" Target="https://commons.wikimedia.org/wiki/File:Saltapared_Com%C3%BAn_Sure%C3%B1o_(Troglodytes_musculus)_en_el_Jard%C3%ADn_Bot%C3%A1nico_de_Bogot%C3%A1.jpg" TargetMode="External"/><Relationship Id="rId2033" Type="http://schemas.openxmlformats.org/officeDocument/2006/relationships/hyperlink" Target="https://upload.wikimedia.org/wikipedia/commons/0/0a/Espiga_floral_del_acanto.jpg" TargetMode="External"/><Relationship Id="rId3363" Type="http://schemas.openxmlformats.org/officeDocument/2006/relationships/hyperlink" Target="https://upload.wikimedia.org/wikipedia/commons/0/0c/Melocactus_curvispinus_en_el_suelo_erosionado_de_la_Tatacoa.jpg" TargetMode="External"/><Relationship Id="rId4694" Type="http://schemas.openxmlformats.org/officeDocument/2006/relationships/hyperlink" Target="https://upload.wikimedia.org/wikipedia/commons/9/95/Saltapared_Com%C3%BAn_Sure%C3%B1o_%28Troglodytes_musculus%29_en_el_Jard%C3%ADn_Bot%C3%A1nico_de_Bogot%C3%A1.jpg" TargetMode="External"/><Relationship Id="rId114" Type="http://schemas.openxmlformats.org/officeDocument/2006/relationships/hyperlink" Target="https://commons.wikimedia.org/wiki/File:Algod%C3%B3n.jpg" TargetMode="External"/><Relationship Id="rId2034" Type="http://schemas.openxmlformats.org/officeDocument/2006/relationships/hyperlink" Target="https://commons.wikimedia.org/wiki/File:Espiga_floral_del_acanto.jpg" TargetMode="External"/><Relationship Id="rId3366" Type="http://schemas.openxmlformats.org/officeDocument/2006/relationships/hyperlink" Target="https://commons.wikimedia.org/wiki/File:Mesamphiagrion_en_el_Paramo_de_Viracacha.jpg" TargetMode="External"/><Relationship Id="rId4697" Type="http://schemas.openxmlformats.org/officeDocument/2006/relationships/hyperlink" Target="https://commons.wikimedia.org/wiki/File:Saltarin_Barbiamarillo.jpg" TargetMode="External"/><Relationship Id="rId113" Type="http://schemas.openxmlformats.org/officeDocument/2006/relationships/hyperlink" Target="https://upload.wikimedia.org/wikipedia/commons/4/4d/Algod%C3%B3n.jpg" TargetMode="External"/><Relationship Id="rId2035" Type="http://schemas.openxmlformats.org/officeDocument/2006/relationships/hyperlink" Target="https://upload.wikimedia.org/wikipedia/commons/2/2b/Espiguero_picocorto_%28Sporophila_minuta%29_en_Santander%2C_Colombia.jpg" TargetMode="External"/><Relationship Id="rId3365" Type="http://schemas.openxmlformats.org/officeDocument/2006/relationships/hyperlink" Target="https://upload.wikimedia.org/wikipedia/commons/6/63/Mesamphiagrion_en_el_Paramo_de_Viracacha.jpg" TargetMode="External"/><Relationship Id="rId4696" Type="http://schemas.openxmlformats.org/officeDocument/2006/relationships/hyperlink" Target="https://upload.wikimedia.org/wikipedia/commons/8/84/Saltarin_Barbiamarillo.jpg" TargetMode="External"/><Relationship Id="rId112" Type="http://schemas.openxmlformats.org/officeDocument/2006/relationships/hyperlink" Target="https://maps.google.com/?q=4.667750,-74.099944" TargetMode="External"/><Relationship Id="rId2036" Type="http://schemas.openxmlformats.org/officeDocument/2006/relationships/hyperlink" Target="https://commons.wikimedia.org/wiki/File:Espiguero_picocorto_(Sporophila_minuta)_en_Santander,_Colombia.jpg" TargetMode="External"/><Relationship Id="rId3368" Type="http://schemas.openxmlformats.org/officeDocument/2006/relationships/hyperlink" Target="https://commons.wikimedia.org/wiki/File:Miel_de_flor.jpg" TargetMode="External"/><Relationship Id="rId4699" Type="http://schemas.openxmlformats.org/officeDocument/2006/relationships/hyperlink" Target="https://commons.wikimedia.org/wiki/File:Saltar%C3%ADn_barbiblanco_hembra_(Manacus_manacus).jpg" TargetMode="External"/><Relationship Id="rId111" Type="http://schemas.openxmlformats.org/officeDocument/2006/relationships/hyperlink" Target="https://commons.wikimedia.org/wiki/File:Algodon1.jpg" TargetMode="External"/><Relationship Id="rId2037" Type="http://schemas.openxmlformats.org/officeDocument/2006/relationships/hyperlink" Target="https://maps.google.com/?q=4.562336,-73.989083" TargetMode="External"/><Relationship Id="rId3367" Type="http://schemas.openxmlformats.org/officeDocument/2006/relationships/hyperlink" Target="https://upload.wikimedia.org/wikipedia/commons/5/5d/Miel_de_flor.jpg" TargetMode="External"/><Relationship Id="rId4698" Type="http://schemas.openxmlformats.org/officeDocument/2006/relationships/hyperlink" Target="https://upload.wikimedia.org/wikipedia/commons/2/27/Saltar%C3%ADn_barbiblanco_hembra_%28Manacus_manacus%29.jpg" TargetMode="External"/><Relationship Id="rId3315" Type="http://schemas.openxmlformats.org/officeDocument/2006/relationships/hyperlink" Target="https://maps.google.com/?q=6.481908,-72.335053" TargetMode="External"/><Relationship Id="rId4646" Type="http://schemas.openxmlformats.org/officeDocument/2006/relationships/hyperlink" Target="https://upload.wikimedia.org/wikipedia/commons/c/c5/Rosashuila_03.jpg" TargetMode="External"/><Relationship Id="rId3314" Type="http://schemas.openxmlformats.org/officeDocument/2006/relationships/hyperlink" Target="https://commons.wikimedia.org/wiki/File:Mariquita_invasora.jpg" TargetMode="External"/><Relationship Id="rId4645" Type="http://schemas.openxmlformats.org/officeDocument/2006/relationships/hyperlink" Target="https://commons.wikimedia.org/wiki/File:Rosales_en_JBB.jpg" TargetMode="External"/><Relationship Id="rId3317" Type="http://schemas.openxmlformats.org/officeDocument/2006/relationships/hyperlink" Target="https://commons.wikimedia.org/wiki/File:Marta_escondida.jpg" TargetMode="External"/><Relationship Id="rId4648" Type="http://schemas.openxmlformats.org/officeDocument/2006/relationships/hyperlink" Target="https://upload.wikimedia.org/wikipedia/commons/2/24/Rostro_de_mujer.jpg" TargetMode="External"/><Relationship Id="rId3316" Type="http://schemas.openxmlformats.org/officeDocument/2006/relationships/hyperlink" Target="https://upload.wikimedia.org/wikipedia/commons/e/ec/Marta_escondida.jpg" TargetMode="External"/><Relationship Id="rId4647" Type="http://schemas.openxmlformats.org/officeDocument/2006/relationships/hyperlink" Target="https://commons.wikimedia.org/wiki/File:Rosashuila_03.jpg" TargetMode="External"/><Relationship Id="rId3319" Type="http://schemas.openxmlformats.org/officeDocument/2006/relationships/hyperlink" Target="https://upload.wikimedia.org/wikipedia/commons/a/ac/Masdevallia_amanda.jpg" TargetMode="External"/><Relationship Id="rId3318" Type="http://schemas.openxmlformats.org/officeDocument/2006/relationships/hyperlink" Target="https://maps.google.com/?q=4.870131,-74.367431" TargetMode="External"/><Relationship Id="rId4649" Type="http://schemas.openxmlformats.org/officeDocument/2006/relationships/hyperlink" Target="https://commons.wikimedia.org/wiki/File:Rostro_de_mujer.jpg" TargetMode="External"/><Relationship Id="rId4640" Type="http://schemas.openxmlformats.org/officeDocument/2006/relationships/hyperlink" Target="https://commons.wikimedia.org/wiki/File:Rosa_(99661).jpg" TargetMode="External"/><Relationship Id="rId3311" Type="http://schemas.openxmlformats.org/officeDocument/2006/relationships/hyperlink" Target="https://upload.wikimedia.org/wikipedia/commons/6/6f/Mariposa_%E2%80%9Cduendecillo_de_borde_rojo%E2%80%9D_%28Melanis_pixe%29_en_Villeta%2C_Cundinamarca.jpg" TargetMode="External"/><Relationship Id="rId4642" Type="http://schemas.openxmlformats.org/officeDocument/2006/relationships/hyperlink" Target="https://upload.wikimedia.org/wikipedia/commons/5/59/Rosa_Polyantha.jpg" TargetMode="External"/><Relationship Id="rId3310" Type="http://schemas.openxmlformats.org/officeDocument/2006/relationships/hyperlink" Target="https://commons.wikimedia.org/wiki/File:Mariposa_rev%C3%A9s.jpg" TargetMode="External"/><Relationship Id="rId4641" Type="http://schemas.openxmlformats.org/officeDocument/2006/relationships/hyperlink" Target="https://maps.google.com/?q=4.667880,-74.099779" TargetMode="External"/><Relationship Id="rId3313" Type="http://schemas.openxmlformats.org/officeDocument/2006/relationships/hyperlink" Target="https://upload.wikimedia.org/wikipedia/commons/f/fb/Mariquita_invasora.jpg" TargetMode="External"/><Relationship Id="rId4644" Type="http://schemas.openxmlformats.org/officeDocument/2006/relationships/hyperlink" Target="https://upload.wikimedia.org/wikipedia/commons/c/c6/Rosales_en_JBB.jpg" TargetMode="External"/><Relationship Id="rId3312" Type="http://schemas.openxmlformats.org/officeDocument/2006/relationships/hyperlink" Target="https://commons.wikimedia.org/wiki/File:Mariposa_%E2%80%9Cduendecillo_de_borde_rojo%E2%80%9D_(Melanis_pixe)_en_Villeta,_Cundinamarca.jpg" TargetMode="External"/><Relationship Id="rId4643" Type="http://schemas.openxmlformats.org/officeDocument/2006/relationships/hyperlink" Target="https://commons.wikimedia.org/wiki/File:Rosa_Polyantha.jpg" TargetMode="External"/><Relationship Id="rId3304" Type="http://schemas.openxmlformats.org/officeDocument/2006/relationships/hyperlink" Target="https://upload.wikimedia.org/wikipedia/commons/2/25/Mariposa_posada_en_un_flor.jpg" TargetMode="External"/><Relationship Id="rId4635" Type="http://schemas.openxmlformats.org/officeDocument/2006/relationships/hyperlink" Target="https://maps.google.com/?q=4.958695,-74.847861" TargetMode="External"/><Relationship Id="rId3303" Type="http://schemas.openxmlformats.org/officeDocument/2006/relationships/hyperlink" Target="https://commons.wikimedia.org/wiki/File:Mariposa_ochenta_y_nueve_(Diaethria_clymena)_en_Minca,_Santa_Marta.jpg" TargetMode="External"/><Relationship Id="rId4634" Type="http://schemas.openxmlformats.org/officeDocument/2006/relationships/hyperlink" Target="https://commons.wikimedia.org/wiki/File:Rooster_Ritual.jpg" TargetMode="External"/><Relationship Id="rId3306" Type="http://schemas.openxmlformats.org/officeDocument/2006/relationships/hyperlink" Target="https://upload.wikimedia.org/wikipedia/commons/c/ca/Mariposa_posando.jpg" TargetMode="External"/><Relationship Id="rId4637" Type="http://schemas.openxmlformats.org/officeDocument/2006/relationships/hyperlink" Target="https://commons.wikimedia.org/wiki/File:Rosa_(43191).jpg" TargetMode="External"/><Relationship Id="rId3305" Type="http://schemas.openxmlformats.org/officeDocument/2006/relationships/hyperlink" Target="https://commons.wikimedia.org/wiki/File:Mariposa_posada_en_un_flor.jpg" TargetMode="External"/><Relationship Id="rId4636" Type="http://schemas.openxmlformats.org/officeDocument/2006/relationships/hyperlink" Target="https://upload.wikimedia.org/wikipedia/commons/b/bd/Rosa_%2843191%29.jpg" TargetMode="External"/><Relationship Id="rId3308" Type="http://schemas.openxmlformats.org/officeDocument/2006/relationships/hyperlink" Target="https://maps.google.com/?q=9.123886,-76.185647" TargetMode="External"/><Relationship Id="rId4639" Type="http://schemas.openxmlformats.org/officeDocument/2006/relationships/hyperlink" Target="https://upload.wikimedia.org/wikipedia/commons/8/82/Rosa_%2899661%29.jpg" TargetMode="External"/><Relationship Id="rId3307" Type="http://schemas.openxmlformats.org/officeDocument/2006/relationships/hyperlink" Target="https://commons.wikimedia.org/wiki/File:Mariposa_posando.jpg" TargetMode="External"/><Relationship Id="rId4638" Type="http://schemas.openxmlformats.org/officeDocument/2006/relationships/hyperlink" Target="https://maps.google.com/?q=4.908044,-75.061289" TargetMode="External"/><Relationship Id="rId3309" Type="http://schemas.openxmlformats.org/officeDocument/2006/relationships/hyperlink" Target="https://upload.wikimedia.org/wikipedia/commons/f/f8/Mariposa_rev%C3%A9s.jpg" TargetMode="External"/><Relationship Id="rId3300" Type="http://schemas.openxmlformats.org/officeDocument/2006/relationships/hyperlink" Target="https://upload.wikimedia.org/wikipedia/commons/a/ae/Mariposa_monarca_mayo_2026.jpg" TargetMode="External"/><Relationship Id="rId4631" Type="http://schemas.openxmlformats.org/officeDocument/2006/relationships/hyperlink" Target="https://upload.wikimedia.org/wikipedia/commons/9/92/Rojashuila_17.jpg" TargetMode="External"/><Relationship Id="rId4630" Type="http://schemas.openxmlformats.org/officeDocument/2006/relationships/hyperlink" Target="https://commons.wikimedia.org/wiki/File:Rojashuila_02.jpg" TargetMode="External"/><Relationship Id="rId3302" Type="http://schemas.openxmlformats.org/officeDocument/2006/relationships/hyperlink" Target="https://upload.wikimedia.org/wikipedia/commons/3/32/Mariposa_ochenta_y_nueve_%28Diaethria_clymena%29_en_Minca%2C_Santa_Marta.jpg" TargetMode="External"/><Relationship Id="rId4633" Type="http://schemas.openxmlformats.org/officeDocument/2006/relationships/hyperlink" Target="https://upload.wikimedia.org/wikipedia/commons/9/9f/Rooster_Ritual.jpg" TargetMode="External"/><Relationship Id="rId3301" Type="http://schemas.openxmlformats.org/officeDocument/2006/relationships/hyperlink" Target="https://commons.wikimedia.org/wiki/File:Mariposa_monarca_mayo_2026.jpg" TargetMode="External"/><Relationship Id="rId4632" Type="http://schemas.openxmlformats.org/officeDocument/2006/relationships/hyperlink" Target="https://commons.wikimedia.org/wiki/File:Rojashuila_17.jpg" TargetMode="External"/><Relationship Id="rId2005" Type="http://schemas.openxmlformats.org/officeDocument/2006/relationships/hyperlink" Target="https://commons.wikimedia.org/wiki/File:Escuela_en_san_benito_de_abad.jpg" TargetMode="External"/><Relationship Id="rId3337" Type="http://schemas.openxmlformats.org/officeDocument/2006/relationships/hyperlink" Target="https://commons.wikimedia.org/wiki/File:Mayapo_Colombia.jpg" TargetMode="External"/><Relationship Id="rId4668" Type="http://schemas.openxmlformats.org/officeDocument/2006/relationships/hyperlink" Target="https://commons.wikimedia.org/wiki/File:R%C3%ADo_Magdalena_paisaje_5.jpg" TargetMode="External"/><Relationship Id="rId2006" Type="http://schemas.openxmlformats.org/officeDocument/2006/relationships/hyperlink" Target="https://upload.wikimedia.org/wikipedia/commons/0/02/Esculturas_minerales_en_el_Valle_de_los_Fantasmas_de_la_Tatacoa.jpg" TargetMode="External"/><Relationship Id="rId3336" Type="http://schemas.openxmlformats.org/officeDocument/2006/relationships/hyperlink" Target="https://upload.wikimedia.org/wikipedia/commons/8/80/Mayapo_Colombia.jpg" TargetMode="External"/><Relationship Id="rId4667" Type="http://schemas.openxmlformats.org/officeDocument/2006/relationships/hyperlink" Target="https://upload.wikimedia.org/wikipedia/commons/e/e7/R%C3%ADo_Magdalena_paisaje_5.jpg" TargetMode="External"/><Relationship Id="rId2007" Type="http://schemas.openxmlformats.org/officeDocument/2006/relationships/hyperlink" Target="https://commons.wikimedia.org/wiki/File:Esculturas_minerales_en_el_Valle_de_los_Fantasmas_de_la_Tatacoa.jpg" TargetMode="External"/><Relationship Id="rId3339" Type="http://schemas.openxmlformats.org/officeDocument/2006/relationships/hyperlink" Target="https://commons.wikimedia.org/wiki/File:Me_cautiva.jpg" TargetMode="External"/><Relationship Id="rId2008" Type="http://schemas.openxmlformats.org/officeDocument/2006/relationships/hyperlink" Target="https://maps.google.com/?q=4.594490,-74.070340" TargetMode="External"/><Relationship Id="rId3338" Type="http://schemas.openxmlformats.org/officeDocument/2006/relationships/hyperlink" Target="https://upload.wikimedia.org/wikipedia/commons/8/83/Me_cautiva.jpg" TargetMode="External"/><Relationship Id="rId4669" Type="http://schemas.openxmlformats.org/officeDocument/2006/relationships/hyperlink" Target="https://maps.google.com/?q=11.245217,-73.565117" TargetMode="External"/><Relationship Id="rId2009" Type="http://schemas.openxmlformats.org/officeDocument/2006/relationships/hyperlink" Target="https://upload.wikimedia.org/wikipedia/commons/f/f5/Esencia_Violeta.jpg" TargetMode="External"/><Relationship Id="rId4660" Type="http://schemas.openxmlformats.org/officeDocument/2006/relationships/hyperlink" Target="https://commons.wikimedia.org/wiki/File:R%C3%ADo_Magdalena_en_la_ma%C3%B1ana_paisaje_1.jpg" TargetMode="External"/><Relationship Id="rId3331" Type="http://schemas.openxmlformats.org/officeDocument/2006/relationships/hyperlink" Target="https://commons.wikimedia.org/wiki/File:Matacaballos.jpg" TargetMode="External"/><Relationship Id="rId4662" Type="http://schemas.openxmlformats.org/officeDocument/2006/relationships/hyperlink" Target="https://commons.wikimedia.org/wiki/File:R%C3%ADo_Magdalena_paisaje_2.jpg" TargetMode="External"/><Relationship Id="rId2000" Type="http://schemas.openxmlformats.org/officeDocument/2006/relationships/hyperlink" Target="https://commons.wikimedia.org/wiki/File:Escarabajo_longuicornio.jpg" TargetMode="External"/><Relationship Id="rId3330" Type="http://schemas.openxmlformats.org/officeDocument/2006/relationships/hyperlink" Target="https://upload.wikimedia.org/wikipedia/commons/5/53/Matacaballos.jpg" TargetMode="External"/><Relationship Id="rId4661" Type="http://schemas.openxmlformats.org/officeDocument/2006/relationships/hyperlink" Target="https://upload.wikimedia.org/wikipedia/commons/e/eb/R%C3%ADo_Magdalena_paisaje_2.jpg" TargetMode="External"/><Relationship Id="rId2001" Type="http://schemas.openxmlformats.org/officeDocument/2006/relationships/hyperlink" Target="https://maps.google.com/?q=4.970490,-74.290079" TargetMode="External"/><Relationship Id="rId3333" Type="http://schemas.openxmlformats.org/officeDocument/2006/relationships/hyperlink" Target="https://commons.wikimedia.org/wiki/File:Matices.jpg" TargetMode="External"/><Relationship Id="rId4664" Type="http://schemas.openxmlformats.org/officeDocument/2006/relationships/hyperlink" Target="https://commons.wikimedia.org/wiki/File:R%C3%ADo_Magdalena_paisaje_3.jpg" TargetMode="External"/><Relationship Id="rId2002" Type="http://schemas.openxmlformats.org/officeDocument/2006/relationships/hyperlink" Target="https://upload.wikimedia.org/wikipedia/commons/b/b0/Escarabajo_tortuga.jpg" TargetMode="External"/><Relationship Id="rId3332" Type="http://schemas.openxmlformats.org/officeDocument/2006/relationships/hyperlink" Target="https://upload.wikimedia.org/wikipedia/commons/4/4d/Matices.jpg" TargetMode="External"/><Relationship Id="rId4663" Type="http://schemas.openxmlformats.org/officeDocument/2006/relationships/hyperlink" Target="https://upload.wikimedia.org/wikipedia/commons/b/b6/R%C3%ADo_Magdalena_paisaje_3.jpg" TargetMode="External"/><Relationship Id="rId2003" Type="http://schemas.openxmlformats.org/officeDocument/2006/relationships/hyperlink" Target="https://commons.wikimedia.org/wiki/File:Escarabajo_tortuga.jpg" TargetMode="External"/><Relationship Id="rId3335" Type="http://schemas.openxmlformats.org/officeDocument/2006/relationships/hyperlink" Target="https://commons.wikimedia.org/wiki/File:Mating_pair_of_red_cracker_butterflies_(Hamadryas_amphinome)_on_a_tree_trunk,_Meta,_2025.jpg" TargetMode="External"/><Relationship Id="rId4666" Type="http://schemas.openxmlformats.org/officeDocument/2006/relationships/hyperlink" Target="https://commons.wikimedia.org/wiki/File:R%C3%ADo_Magdalena_paisaje_4.jpg" TargetMode="External"/><Relationship Id="rId2004" Type="http://schemas.openxmlformats.org/officeDocument/2006/relationships/hyperlink" Target="https://upload.wikimedia.org/wikipedia/commons/1/15/Escuela_en_san_benito_de_abad.jpg" TargetMode="External"/><Relationship Id="rId3334" Type="http://schemas.openxmlformats.org/officeDocument/2006/relationships/hyperlink" Target="https://upload.wikimedia.org/wikipedia/commons/d/d8/Mating_pair_of_red_cracker_butterflies_%28Hamadryas_amphinome%29_on_a_tree_trunk%2C_Meta%2C_2025.jpg" TargetMode="External"/><Relationship Id="rId4665" Type="http://schemas.openxmlformats.org/officeDocument/2006/relationships/hyperlink" Target="https://upload.wikimedia.org/wikipedia/commons/0/03/R%C3%ADo_Magdalena_paisaje_4.jpg" TargetMode="External"/><Relationship Id="rId3326" Type="http://schemas.openxmlformats.org/officeDocument/2006/relationships/hyperlink" Target="https://commons.wikimedia.org/wiki/File:Mastigodryas_danieli_2026.jpg" TargetMode="External"/><Relationship Id="rId4657" Type="http://schemas.openxmlformats.org/officeDocument/2006/relationships/hyperlink" Target="https://upload.wikimedia.org/wikipedia/commons/8/8b/R%C3%ADo_Lagunillas.jpg" TargetMode="External"/><Relationship Id="rId3325" Type="http://schemas.openxmlformats.org/officeDocument/2006/relationships/hyperlink" Target="https://upload.wikimedia.org/wikipedia/commons/9/98/Mastigodryas_danieli_2026.jpg" TargetMode="External"/><Relationship Id="rId4656" Type="http://schemas.openxmlformats.org/officeDocument/2006/relationships/hyperlink" Target="https://commons.wikimedia.org/wiki/File:R%C3%ADo_Cauca_en_su_paso_por_Caucasia.jpg" TargetMode="External"/><Relationship Id="rId3328" Type="http://schemas.openxmlformats.org/officeDocument/2006/relationships/hyperlink" Target="https://commons.wikimedia.org/wiki/File:Mata_de_platanillo_(Heliconia).jpg" TargetMode="External"/><Relationship Id="rId4659" Type="http://schemas.openxmlformats.org/officeDocument/2006/relationships/hyperlink" Target="https://upload.wikimedia.org/wikipedia/commons/3/3a/R%C3%ADo_Magdalena_en_la_ma%C3%B1ana_paisaje_1.jpg" TargetMode="External"/><Relationship Id="rId3327" Type="http://schemas.openxmlformats.org/officeDocument/2006/relationships/hyperlink" Target="https://upload.wikimedia.org/wikipedia/commons/8/85/Mata_de_platanillo_%28Heliconia%29.jpg" TargetMode="External"/><Relationship Id="rId4658" Type="http://schemas.openxmlformats.org/officeDocument/2006/relationships/hyperlink" Target="https://commons.wikimedia.org/wiki/File:R%C3%ADo_Lagunillas.jpg" TargetMode="External"/><Relationship Id="rId3329" Type="http://schemas.openxmlformats.org/officeDocument/2006/relationships/hyperlink" Target="https://maps.google.com/?q=5.959975,-75.098773" TargetMode="External"/><Relationship Id="rId3320" Type="http://schemas.openxmlformats.org/officeDocument/2006/relationships/hyperlink" Target="https://commons.wikimedia.org/wiki/File:Masdevallia_amanda.jpg" TargetMode="External"/><Relationship Id="rId4651" Type="http://schemas.openxmlformats.org/officeDocument/2006/relationships/hyperlink" Target="https://upload.wikimedia.org/wikipedia/commons/4/40/Rupornis_magnirostris_magnirostris_-_Barrancabermeja%2C_Santander%2C_Colombia_-_3_Jun_2025.jpg" TargetMode="External"/><Relationship Id="rId4650" Type="http://schemas.openxmlformats.org/officeDocument/2006/relationships/hyperlink" Target="https://maps.google.com/?q=7.085062,-73.864135" TargetMode="External"/><Relationship Id="rId3322" Type="http://schemas.openxmlformats.org/officeDocument/2006/relationships/hyperlink" Target="https://upload.wikimedia.org/wikipedia/commons/c/cc/Mastigodryas_danieli.jpg" TargetMode="External"/><Relationship Id="rId4653" Type="http://schemas.openxmlformats.org/officeDocument/2006/relationships/hyperlink" Target="https://upload.wikimedia.org/wikipedia/commons/b/ba/R%C3%ADo_Cauca%2C_Bajo_Cauca.jpg" TargetMode="External"/><Relationship Id="rId3321" Type="http://schemas.openxmlformats.org/officeDocument/2006/relationships/hyperlink" Target="https://maps.google.com/?q=5.862240,-74.870470" TargetMode="External"/><Relationship Id="rId4652" Type="http://schemas.openxmlformats.org/officeDocument/2006/relationships/hyperlink" Target="https://commons.wikimedia.org/wiki/File:Rupornis_magnirostris_magnirostris_-_Barrancabermeja,_Santander,_Colombia_-_3_Jun_2025.jpg" TargetMode="External"/><Relationship Id="rId3324" Type="http://schemas.openxmlformats.org/officeDocument/2006/relationships/hyperlink" Target="https://maps.google.com/?q=5.862240,-74.870470" TargetMode="External"/><Relationship Id="rId4655" Type="http://schemas.openxmlformats.org/officeDocument/2006/relationships/hyperlink" Target="https://upload.wikimedia.org/wikipedia/commons/5/5e/R%C3%ADo_Cauca_en_su_paso_por_Caucasia.jpg" TargetMode="External"/><Relationship Id="rId3323" Type="http://schemas.openxmlformats.org/officeDocument/2006/relationships/hyperlink" Target="https://commons.wikimedia.org/wiki/File:Mastigodryas_danieli.jpg" TargetMode="External"/><Relationship Id="rId4654" Type="http://schemas.openxmlformats.org/officeDocument/2006/relationships/hyperlink" Target="https://commons.wikimedia.org/wiki/File:R%C3%ADo_Cauca,_Bajo_Cauca.jpg" TargetMode="External"/><Relationship Id="rId5130" Type="http://schemas.openxmlformats.org/officeDocument/2006/relationships/hyperlink" Target="https://upload.wikimedia.org/wikipedia/commons/9/98/Trogon_caligatus.jpg" TargetMode="External"/><Relationship Id="rId5131" Type="http://schemas.openxmlformats.org/officeDocument/2006/relationships/hyperlink" Target="https://commons.wikimedia.org/wiki/File:Trogon_caligatus.jpg" TargetMode="External"/><Relationship Id="rId5134" Type="http://schemas.openxmlformats.org/officeDocument/2006/relationships/hyperlink" Target="https://upload.wikimedia.org/wikipedia/commons/a/a2/Tropical_Fork_Fern_%28Sticherus%29%2C_at_the_way_to_Cerro_Kennedy_from_Minca%2C_2025.jpg" TargetMode="External"/><Relationship Id="rId5135" Type="http://schemas.openxmlformats.org/officeDocument/2006/relationships/hyperlink" Target="https://commons.wikimedia.org/wiki/File:Tropical_Fork_Fern_(Sticherus),_at_the_way_to_Cerro_Kennedy_from_Minca,_2025.jpg" TargetMode="External"/><Relationship Id="rId5132" Type="http://schemas.openxmlformats.org/officeDocument/2006/relationships/hyperlink" Target="https://upload.wikimedia.org/wikipedia/commons/4/43/Tronco_%C3%A1rbol_Guayac%C3%A1n_de_Manizales.jpg" TargetMode="External"/><Relationship Id="rId5133" Type="http://schemas.openxmlformats.org/officeDocument/2006/relationships/hyperlink" Target="https://commons.wikimedia.org/wiki/File:Tronco_%C3%A1rbol_Guayac%C3%A1n_de_Manizales.jpg" TargetMode="External"/><Relationship Id="rId5138" Type="http://schemas.openxmlformats.org/officeDocument/2006/relationships/hyperlink" Target="https://upload.wikimedia.org/wikipedia/commons/c/c4/Tropicario_-_Jard%C3%ADn_bot%C3%A1nico.jpg" TargetMode="External"/><Relationship Id="rId5139" Type="http://schemas.openxmlformats.org/officeDocument/2006/relationships/hyperlink" Target="https://commons.wikimedia.org/wiki/File:Tropicario_-_Jard%C3%ADn_bot%C3%A1nico.jpg" TargetMode="External"/><Relationship Id="rId5136" Type="http://schemas.openxmlformats.org/officeDocument/2006/relationships/hyperlink" Target="https://upload.wikimedia.org/wikipedia/commons/7/7f/Tropical_butterfly_%28Perisama_sp.%29_mud-puddling_on_wet_river_stones_near_Minca%2C_2025.jpg" TargetMode="External"/><Relationship Id="rId5137" Type="http://schemas.openxmlformats.org/officeDocument/2006/relationships/hyperlink" Target="https://commons.wikimedia.org/wiki/File:Tropical_butterfly_(Perisama_sp.)_mud-puddling_on_wet_river_stones_near_Minca,_2025.jpg" TargetMode="External"/><Relationship Id="rId5129" Type="http://schemas.openxmlformats.org/officeDocument/2006/relationships/hyperlink" Target="https://maps.google.com/?q=5.862240,-74.870470" TargetMode="External"/><Relationship Id="rId2090" Type="http://schemas.openxmlformats.org/officeDocument/2006/relationships/hyperlink" Target="https://upload.wikimedia.org/wikipedia/commons/7/77/Familias_fung%C3%AD_2024.jpg" TargetMode="External"/><Relationship Id="rId2091" Type="http://schemas.openxmlformats.org/officeDocument/2006/relationships/hyperlink" Target="https://commons.wikimedia.org/wiki/File:Familias_fung%C3%AD_2024.jpg" TargetMode="External"/><Relationship Id="rId2092" Type="http://schemas.openxmlformats.org/officeDocument/2006/relationships/hyperlink" Target="https://upload.wikimedia.org/wikipedia/commons/1/1c/Farallones_del_Citar%C3%A1.jpg" TargetMode="External"/><Relationship Id="rId2093" Type="http://schemas.openxmlformats.org/officeDocument/2006/relationships/hyperlink" Target="https://commons.wikimedia.org/wiki/File:Farallones_del_Citar%C3%A1.jpg" TargetMode="External"/><Relationship Id="rId5120" Type="http://schemas.openxmlformats.org/officeDocument/2006/relationships/hyperlink" Target="https://commons.wikimedia.org/wiki/File:Trinitaria_Jard%C3%ADn_Barranquilla.jpg" TargetMode="External"/><Relationship Id="rId2094" Type="http://schemas.openxmlformats.org/officeDocument/2006/relationships/hyperlink" Target="https://maps.google.com/?q=4.864623,-74.048936" TargetMode="External"/><Relationship Id="rId2095" Type="http://schemas.openxmlformats.org/officeDocument/2006/relationships/hyperlink" Target="https://upload.wikimedia.org/wikipedia/commons/5/5f/Farolito_japon%C3%A9s.jpg" TargetMode="External"/><Relationship Id="rId2096" Type="http://schemas.openxmlformats.org/officeDocument/2006/relationships/hyperlink" Target="https://commons.wikimedia.org/wiki/File:Farolito_japon%C3%A9s.jpg" TargetMode="External"/><Relationship Id="rId5123" Type="http://schemas.openxmlformats.org/officeDocument/2006/relationships/hyperlink" Target="https://maps.google.com/?q=7.095537,-73.756142" TargetMode="External"/><Relationship Id="rId2097" Type="http://schemas.openxmlformats.org/officeDocument/2006/relationships/hyperlink" Target="https://upload.wikimedia.org/wikipedia/commons/9/9f/Farolito_japon%C3%A9s_%28Callianthe_picta%29.jpg" TargetMode="External"/><Relationship Id="rId5124" Type="http://schemas.openxmlformats.org/officeDocument/2006/relationships/hyperlink" Target="https://upload.wikimedia.org/wikipedia/commons/b/bb/Trochilidae_-_Barrancabermeja%2C_Santander%2C_Colombia_-_13_Jul_2025_-_Diferoch.jpg" TargetMode="External"/><Relationship Id="rId2098" Type="http://schemas.openxmlformats.org/officeDocument/2006/relationships/hyperlink" Target="https://commons.wikimedia.org/wiki/File:Farolito_japon%C3%A9s_(Callianthe_picta).jpg" TargetMode="External"/><Relationship Id="rId5121" Type="http://schemas.openxmlformats.org/officeDocument/2006/relationships/hyperlink" Target="https://upload.wikimedia.org/wikipedia/commons/0/00/Trochilidae.jpg" TargetMode="External"/><Relationship Id="rId2099" Type="http://schemas.openxmlformats.org/officeDocument/2006/relationships/hyperlink" Target="https://upload.wikimedia.org/wikipedia/commons/d/d7/Fauna%2C_Choc%C3%B3%2C_Colombia.jpg" TargetMode="External"/><Relationship Id="rId5122" Type="http://schemas.openxmlformats.org/officeDocument/2006/relationships/hyperlink" Target="https://commons.wikimedia.org/wiki/File:Trochilidae.jpg" TargetMode="External"/><Relationship Id="rId5127" Type="http://schemas.openxmlformats.org/officeDocument/2006/relationships/hyperlink" Target="https://upload.wikimedia.org/wikipedia/commons/d/d1/Trochilini_-_Piedecuesta%2C_Santander%2C_Colombia_-_8_Jun_2026_-_Diferoch.jpg" TargetMode="External"/><Relationship Id="rId5128" Type="http://schemas.openxmlformats.org/officeDocument/2006/relationships/hyperlink" Target="https://commons.wikimedia.org/wiki/File:Trochilini_-_Piedecuesta,_Santander,_Colombia_-_8_Jun_2026_-_Diferoch.jpg" TargetMode="External"/><Relationship Id="rId5125" Type="http://schemas.openxmlformats.org/officeDocument/2006/relationships/hyperlink" Target="https://commons.wikimedia.org/wiki/File:Trochilidae_-_Barrancabermeja,_Santander,_Colombia_-_13_Jul_2025_-_Diferoch.jpg" TargetMode="External"/><Relationship Id="rId5126" Type="http://schemas.openxmlformats.org/officeDocument/2006/relationships/hyperlink" Target="https://maps.google.com/?q=6.912815,-73.031182" TargetMode="External"/><Relationship Id="rId5152" Type="http://schemas.openxmlformats.org/officeDocument/2006/relationships/hyperlink" Target="https://maps.google.com/?q=4.599892,-74.063583" TargetMode="External"/><Relationship Id="rId5153" Type="http://schemas.openxmlformats.org/officeDocument/2006/relationships/hyperlink" Target="https://upload.wikimedia.org/wikipedia/commons/0/03/Turdus_fuscater_gigas_-_Bogot%C3%A1_D._C.%2C_Colombia_-_23_Aug_2025_-_Diferoch.jpg" TargetMode="External"/><Relationship Id="rId5150" Type="http://schemas.openxmlformats.org/officeDocument/2006/relationships/hyperlink" Target="https://upload.wikimedia.org/wikipedia/commons/b/b7/Turdus_fuscater_%28Mirla_Gris%29.jpg" TargetMode="External"/><Relationship Id="rId5151" Type="http://schemas.openxmlformats.org/officeDocument/2006/relationships/hyperlink" Target="https://commons.wikimedia.org/wiki/File:Turdus_fuscater_(Mirla_Gris).jpg" TargetMode="External"/><Relationship Id="rId5156" Type="http://schemas.openxmlformats.org/officeDocument/2006/relationships/hyperlink" Target="https://upload.wikimedia.org/wikipedia/commons/b/bb/Turdus_leucomelas_albiventer_-_Barrancabermeja%2C_Santander%2C_Colombia_-_20_Jul_2025_-_Diferoch_-_1.jpg" TargetMode="External"/><Relationship Id="rId5157" Type="http://schemas.openxmlformats.org/officeDocument/2006/relationships/hyperlink" Target="https://commons.wikimedia.org/wiki/File:Turdus_leucomelas_albiventer_-_Barrancabermeja,_Santander,_Colombia_-_20_Jul_2025_-_Diferoch_-_1.jpg" TargetMode="External"/><Relationship Id="rId5154" Type="http://schemas.openxmlformats.org/officeDocument/2006/relationships/hyperlink" Target="https://commons.wikimedia.org/wiki/File:Turdus_fuscater_gigas_-_Bogot%C3%A1_D._C.,_Colombia_-_23_Aug_2025_-_Diferoch.jpg" TargetMode="External"/><Relationship Id="rId5155" Type="http://schemas.openxmlformats.org/officeDocument/2006/relationships/hyperlink" Target="https://maps.google.com/?q=7.095956,-73.756335" TargetMode="External"/><Relationship Id="rId5158" Type="http://schemas.openxmlformats.org/officeDocument/2006/relationships/hyperlink" Target="https://maps.google.com/?q=7.095957,-73.756334" TargetMode="External"/><Relationship Id="rId5159" Type="http://schemas.openxmlformats.org/officeDocument/2006/relationships/hyperlink" Target="https://upload.wikimedia.org/wikipedia/commons/c/cd/Turdus_leucomelas_albiventer_-_Barrancabermeja%2C_Santander%2C_Colombia_-_20_Jul_2025_-_Diferoch_-_2.jpg" TargetMode="External"/><Relationship Id="rId5141" Type="http://schemas.openxmlformats.org/officeDocument/2006/relationships/hyperlink" Target="https://commons.wikimedia.org/wiki/File:Tropicario_jardin_botanico.jpg" TargetMode="External"/><Relationship Id="rId5142" Type="http://schemas.openxmlformats.org/officeDocument/2006/relationships/hyperlink" Target="https://upload.wikimedia.org/wikipedia/commons/6/63/Tucaneta_Esmeralda.jpg" TargetMode="External"/><Relationship Id="rId5140" Type="http://schemas.openxmlformats.org/officeDocument/2006/relationships/hyperlink" Target="https://upload.wikimedia.org/wikipedia/commons/d/d1/Tropicario_jardin_botanico.jpg" TargetMode="External"/><Relationship Id="rId5145" Type="http://schemas.openxmlformats.org/officeDocument/2006/relationships/hyperlink" Target="https://commons.wikimedia.org/wiki/File:Tulua_Views.jpg" TargetMode="External"/><Relationship Id="rId5146" Type="http://schemas.openxmlformats.org/officeDocument/2006/relationships/hyperlink" Target="https://upload.wikimedia.org/wikipedia/commons/a/a1/Tumaco.jpg" TargetMode="External"/><Relationship Id="rId5143" Type="http://schemas.openxmlformats.org/officeDocument/2006/relationships/hyperlink" Target="https://commons.wikimedia.org/wiki/File:Tucaneta_Esmeralda.jpg" TargetMode="External"/><Relationship Id="rId5144" Type="http://schemas.openxmlformats.org/officeDocument/2006/relationships/hyperlink" Target="https://upload.wikimedia.org/wikipedia/commons/6/60/Tulua_Views.jpg" TargetMode="External"/><Relationship Id="rId5149" Type="http://schemas.openxmlformats.org/officeDocument/2006/relationships/hyperlink" Target="https://commons.wikimedia.org/wiki/File:Turberas_y_zonas_de_recarga_h%C3%ADdrica_en_Sumapaz.jpg" TargetMode="External"/><Relationship Id="rId5147" Type="http://schemas.openxmlformats.org/officeDocument/2006/relationships/hyperlink" Target="https://commons.wikimedia.org/wiki/File:Tumaco.jpg" TargetMode="External"/><Relationship Id="rId5148" Type="http://schemas.openxmlformats.org/officeDocument/2006/relationships/hyperlink" Target="https://upload.wikimedia.org/wikipedia/commons/3/3b/Turberas_y_zonas_de_recarga_h%C3%ADdrica_en_Sumapaz.jpg" TargetMode="External"/><Relationship Id="rId3391" Type="http://schemas.openxmlformats.org/officeDocument/2006/relationships/hyperlink" Target="https://commons.wikimedia.org/wiki/File:Mirador,_Bogot%C3%A1,_Universidad_Externado.jpg" TargetMode="External"/><Relationship Id="rId2060" Type="http://schemas.openxmlformats.org/officeDocument/2006/relationships/hyperlink" Target="https://commons.wikimedia.org/wiki/File:Eufonia_piquigruesa_(Euphonia_laniirostris)_macho_en_Paque_Verde_Y_Agua,_Fusagasug%C3%A1,_(Cundinamarca).jpg" TargetMode="External"/><Relationship Id="rId3390" Type="http://schemas.openxmlformats.org/officeDocument/2006/relationships/hyperlink" Target="https://upload.wikimedia.org/wikipedia/commons/e/e4/Mirador%2C_Bogot%C3%A1%2C_Universidad_Externado.jpg" TargetMode="External"/><Relationship Id="rId2061" Type="http://schemas.openxmlformats.org/officeDocument/2006/relationships/hyperlink" Target="https://maps.google.com/?q=7.084965,-73.864013" TargetMode="External"/><Relationship Id="rId3393" Type="http://schemas.openxmlformats.org/officeDocument/2006/relationships/hyperlink" Target="https://commons.wikimedia.org/wiki/File:Mirador_Bella_Vista_Yopal_-_Casanare.jpg" TargetMode="External"/><Relationship Id="rId2062" Type="http://schemas.openxmlformats.org/officeDocument/2006/relationships/hyperlink" Target="https://upload.wikimedia.org/wikipedia/commons/1/17/Eumorpha_vitis_-_Barrancabermeja%2C_Santander%2C_Colombia_-_09_Jul_2025_-_Diferoch.jpg" TargetMode="External"/><Relationship Id="rId3392" Type="http://schemas.openxmlformats.org/officeDocument/2006/relationships/hyperlink" Target="https://upload.wikimedia.org/wikipedia/commons/f/fb/Mirador_Bella_Vista_Yopal_-_Casanare.jpg" TargetMode="External"/><Relationship Id="rId2063" Type="http://schemas.openxmlformats.org/officeDocument/2006/relationships/hyperlink" Target="https://commons.wikimedia.org/wiki/File:Eumorpha_vitis_-_Barrancabermeja,_Santander,_Colombia_-_09_Jul_2025_-_Diferoch.jpg" TargetMode="External"/><Relationship Id="rId3395" Type="http://schemas.openxmlformats.org/officeDocument/2006/relationships/hyperlink" Target="https://commons.wikimedia.org/wiki/File:Mirador_Usme.jpg" TargetMode="External"/><Relationship Id="rId2064" Type="http://schemas.openxmlformats.org/officeDocument/2006/relationships/hyperlink" Target="https://maps.google.com/?q=7.084988,-73.864052" TargetMode="External"/><Relationship Id="rId3394" Type="http://schemas.openxmlformats.org/officeDocument/2006/relationships/hyperlink" Target="https://upload.wikimedia.org/wikipedia/commons/8/8f/Mirador_Usme.jpg" TargetMode="External"/><Relationship Id="rId2065" Type="http://schemas.openxmlformats.org/officeDocument/2006/relationships/hyperlink" Target="https://upload.wikimedia.org/wikipedia/commons/7/79/Euphonia_laniirostris_crassirostris_-_Barrancabermeja%2C_Santander%2C_Colombia_-_2_Jun_2025.jpg" TargetMode="External"/><Relationship Id="rId3397" Type="http://schemas.openxmlformats.org/officeDocument/2006/relationships/hyperlink" Target="https://commons.wikimedia.org/wiki/File:Mirador_de_cartagena.jpg" TargetMode="External"/><Relationship Id="rId2066" Type="http://schemas.openxmlformats.org/officeDocument/2006/relationships/hyperlink" Target="https://commons.wikimedia.org/wiki/File:Euphonia_laniirostris_crassirostris_-_Barrancabermeja,_Santander,_Colombia_-_2_Jun_2025.jpg" TargetMode="External"/><Relationship Id="rId3396" Type="http://schemas.openxmlformats.org/officeDocument/2006/relationships/hyperlink" Target="https://upload.wikimedia.org/wikipedia/commons/d/dc/Mirador_de_cartagena.jpg" TargetMode="External"/><Relationship Id="rId2067" Type="http://schemas.openxmlformats.org/officeDocument/2006/relationships/hyperlink" Target="https://maps.google.com/?q=7.084900,-73.863900" TargetMode="External"/><Relationship Id="rId3399" Type="http://schemas.openxmlformats.org/officeDocument/2006/relationships/hyperlink" Target="https://commons.wikimedia.org/wiki/File:Miramelindos._Impatiens_walleriana.jpg" TargetMode="External"/><Relationship Id="rId2068" Type="http://schemas.openxmlformats.org/officeDocument/2006/relationships/hyperlink" Target="https://upload.wikimedia.org/wikipedia/commons/2/2f/Euphonia_laniirostris_crassirostris_-_Barrancabermeja%2C_Santander%2C_Colombia_-_4_Jun_2026_-_Diferoch.jpg" TargetMode="External"/><Relationship Id="rId3398" Type="http://schemas.openxmlformats.org/officeDocument/2006/relationships/hyperlink" Target="https://upload.wikimedia.org/wikipedia/commons/b/bc/Miramelindos._Impatiens_walleriana.jpg" TargetMode="External"/><Relationship Id="rId2069" Type="http://schemas.openxmlformats.org/officeDocument/2006/relationships/hyperlink" Target="https://commons.wikimedia.org/wiki/File:Euphonia_laniirostris_crassirostris_-_Barrancabermeja,_Santander,_Colombia_-_4_Jun_2026_-_Diferoch.jpg" TargetMode="External"/><Relationship Id="rId3380" Type="http://schemas.openxmlformats.org/officeDocument/2006/relationships/hyperlink" Target="https://upload.wikimedia.org/wikipedia/commons/9/96/Mina_de_carb%C3%B3n_cucunaba.jpg" TargetMode="External"/><Relationship Id="rId2050" Type="http://schemas.openxmlformats.org/officeDocument/2006/relationships/hyperlink" Target="https://maps.google.com/?q=5.029910,-74.282561" TargetMode="External"/><Relationship Id="rId3382" Type="http://schemas.openxmlformats.org/officeDocument/2006/relationships/hyperlink" Target="https://upload.wikimedia.org/wikipedia/commons/e/e9/Minca.jpg" TargetMode="External"/><Relationship Id="rId2051" Type="http://schemas.openxmlformats.org/officeDocument/2006/relationships/hyperlink" Target="https://upload.wikimedia.org/wikipedia/commons/d/dd/Etlingera_elatior-Baston_del_emperador.jpg" TargetMode="External"/><Relationship Id="rId3381" Type="http://schemas.openxmlformats.org/officeDocument/2006/relationships/hyperlink" Target="https://commons.wikimedia.org/wiki/File:Mina_de_carb%C3%B3n_cucunaba.jpg" TargetMode="External"/><Relationship Id="rId2052" Type="http://schemas.openxmlformats.org/officeDocument/2006/relationships/hyperlink" Target="https://commons.wikimedia.org/wiki/File:Etlingera_elatior-Baston_del_emperador.jpg" TargetMode="External"/><Relationship Id="rId3384" Type="http://schemas.openxmlformats.org/officeDocument/2006/relationships/hyperlink" Target="https://maps.google.com/?q=2.515034,-72.703980" TargetMode="External"/><Relationship Id="rId2053" Type="http://schemas.openxmlformats.org/officeDocument/2006/relationships/hyperlink" Target="https://upload.wikimedia.org/wikipedia/commons/e/e5/Eucalipto_%28Eucalyptus%29.jpg" TargetMode="External"/><Relationship Id="rId3383" Type="http://schemas.openxmlformats.org/officeDocument/2006/relationships/hyperlink" Target="https://commons.wikimedia.org/wiki/File:Minca.jpg" TargetMode="External"/><Relationship Id="rId2054" Type="http://schemas.openxmlformats.org/officeDocument/2006/relationships/hyperlink" Target="https://commons.wikimedia.org/wiki/File:Eucalipto_(Eucalyptus).jpg" TargetMode="External"/><Relationship Id="rId3386" Type="http://schemas.openxmlformats.org/officeDocument/2006/relationships/hyperlink" Target="https://commons.wikimedia.org/wiki/File:Miradas_de_Meliponinos.jpg" TargetMode="External"/><Relationship Id="rId2055" Type="http://schemas.openxmlformats.org/officeDocument/2006/relationships/hyperlink" Target="https://maps.google.com/?q=4.360644,-74.335404" TargetMode="External"/><Relationship Id="rId3385" Type="http://schemas.openxmlformats.org/officeDocument/2006/relationships/hyperlink" Target="https://upload.wikimedia.org/wikipedia/commons/f/ff/Miradas_de_Meliponinos.jpg" TargetMode="External"/><Relationship Id="rId2056" Type="http://schemas.openxmlformats.org/officeDocument/2006/relationships/hyperlink" Target="https://upload.wikimedia.org/wikipedia/commons/6/6d/Eufonia_piquigruesa_%28Euphonia_laniirostris%29_hembra_en_Paque_Verde_Y_Agua%2C_Fusagasug%C3%A1%2C_%28Cundinamarca%29.jpg" TargetMode="External"/><Relationship Id="rId3388" Type="http://schemas.openxmlformats.org/officeDocument/2006/relationships/hyperlink" Target="https://upload.wikimedia.org/wikipedia/commons/0/04/Miradas_del_Bosque_Mono_Maicero_en_el_Dosel.png" TargetMode="External"/><Relationship Id="rId2057" Type="http://schemas.openxmlformats.org/officeDocument/2006/relationships/hyperlink" Target="https://commons.wikimedia.org/wiki/File:Eufonia_piquigruesa_(Euphonia_laniirostris)_hembra_en_Paque_Verde_Y_Agua,_Fusagasug%C3%A1,_(Cundinamarca).jpg" TargetMode="External"/><Relationship Id="rId3387" Type="http://schemas.openxmlformats.org/officeDocument/2006/relationships/hyperlink" Target="https://maps.google.com/?q=4.091467,-73.502273" TargetMode="External"/><Relationship Id="rId2058" Type="http://schemas.openxmlformats.org/officeDocument/2006/relationships/hyperlink" Target="https://maps.google.com/?q=4.360644,-74.335404" TargetMode="External"/><Relationship Id="rId2059" Type="http://schemas.openxmlformats.org/officeDocument/2006/relationships/hyperlink" Target="https://upload.wikimedia.org/wikipedia/commons/1/13/Eufonia_piquigruesa_%28Euphonia_laniirostris%29_macho_en_Paque_Verde_Y_Agua%2C_Fusagasug%C3%A1%2C_%28Cundinamarca%29.jpg" TargetMode="External"/><Relationship Id="rId3389" Type="http://schemas.openxmlformats.org/officeDocument/2006/relationships/hyperlink" Target="https://commons.wikimedia.org/wiki/File:Miradas_del_Bosque_Mono_Maicero_en_el_Dosel.png" TargetMode="External"/><Relationship Id="rId5118" Type="http://schemas.openxmlformats.org/officeDocument/2006/relationships/hyperlink" Target="https://commons.wikimedia.org/wiki/File:Tringa_semipalmata_inornata_-_Nuqu%C3%AD,_Choc%C3%B3,_Colombia_-_23_Oct_2025_-_Diferoch.jpg" TargetMode="External"/><Relationship Id="rId5119" Type="http://schemas.openxmlformats.org/officeDocument/2006/relationships/hyperlink" Target="https://upload.wikimedia.org/wikipedia/commons/e/eb/Trinitaria_Jard%C3%ADn_Barranquilla.jpg" TargetMode="External"/><Relationship Id="rId2080" Type="http://schemas.openxmlformats.org/officeDocument/2006/relationships/hyperlink" Target="https://commons.wikimedia.org/wiki/File:Falso_camale%C3%B3n_(Anolis_heterodermus)_sobre_frailej%C3%B3n_en_el_Parque_Nacional_Natural_Chingaza.webp" TargetMode="External"/><Relationship Id="rId2081" Type="http://schemas.openxmlformats.org/officeDocument/2006/relationships/hyperlink" Target="https://upload.wikimedia.org/wikipedia/commons/a/a0/Falso_camale%C3%B3n_de_p%C3%A1ramo_%28Anolis_heterodermus%29_en_la_Reserva_Biol%C3%B3gica_Encenillo%2C_Colombia.jpg" TargetMode="External"/><Relationship Id="rId2082" Type="http://schemas.openxmlformats.org/officeDocument/2006/relationships/hyperlink" Target="https://commons.wikimedia.org/wiki/File:Falso_camale%C3%B3n_de_p%C3%A1ramo_(Anolis_heterodermus)_en_la_Reserva_Biol%C3%B3gica_Encenillo,_Colombia.jpg" TargetMode="External"/><Relationship Id="rId2083" Type="http://schemas.openxmlformats.org/officeDocument/2006/relationships/hyperlink" Target="https://upload.wikimedia.org/wikipedia/commons/f/f9/Falso_pimiento_%28Anacardiaceae%29.jpg" TargetMode="External"/><Relationship Id="rId2084" Type="http://schemas.openxmlformats.org/officeDocument/2006/relationships/hyperlink" Target="https://commons.wikimedia.org/wiki/File:Falso_pimiento_(Anacardiaceae).jpg" TargetMode="External"/><Relationship Id="rId2085" Type="http://schemas.openxmlformats.org/officeDocument/2006/relationships/hyperlink" Target="https://maps.google.com/?q=4.280661,-75.106225" TargetMode="External"/><Relationship Id="rId5112" Type="http://schemas.openxmlformats.org/officeDocument/2006/relationships/hyperlink" Target="https://commons.wikimedia.org/wiki/File:Trepatroncos_Monta%C3%B1ero_-_Lepidocolaptes_lacrymiger.jpg" TargetMode="External"/><Relationship Id="rId2086" Type="http://schemas.openxmlformats.org/officeDocument/2006/relationships/hyperlink" Target="https://upload.wikimedia.org/wikipedia/commons/9/9c/Familia_Anatidae.jpg" TargetMode="External"/><Relationship Id="rId5113" Type="http://schemas.openxmlformats.org/officeDocument/2006/relationships/hyperlink" Target="https://maps.google.com/?q=4.854792,-74.345214" TargetMode="External"/><Relationship Id="rId2087" Type="http://schemas.openxmlformats.org/officeDocument/2006/relationships/hyperlink" Target="https://commons.wikimedia.org/wiki/File:Familia_Anatidae.jpg" TargetMode="External"/><Relationship Id="rId5110" Type="http://schemas.openxmlformats.org/officeDocument/2006/relationships/hyperlink" Target="https://maps.google.com/?q=3.561100,-76.556900" TargetMode="External"/><Relationship Id="rId2088" Type="http://schemas.openxmlformats.org/officeDocument/2006/relationships/hyperlink" Target="https://upload.wikimedia.org/wikipedia/commons/d/d7/Familia_de_chig%C3%BCiros.jpg" TargetMode="External"/><Relationship Id="rId5111" Type="http://schemas.openxmlformats.org/officeDocument/2006/relationships/hyperlink" Target="https://upload.wikimedia.org/wikipedia/commons/d/d7/Trepatroncos_Monta%C3%B1ero_-_Lepidocolaptes_lacrymiger.jpg" TargetMode="External"/><Relationship Id="rId2089" Type="http://schemas.openxmlformats.org/officeDocument/2006/relationships/hyperlink" Target="https://commons.wikimedia.org/wiki/File:Familia_de_chig%C3%BCiros.jpg" TargetMode="External"/><Relationship Id="rId5116" Type="http://schemas.openxmlformats.org/officeDocument/2006/relationships/hyperlink" Target="https://maps.google.com/?q=5.619017,-77.429558" TargetMode="External"/><Relationship Id="rId5117" Type="http://schemas.openxmlformats.org/officeDocument/2006/relationships/hyperlink" Target="https://upload.wikimedia.org/wikipedia/commons/3/30/Tringa_semipalmata_inornata_-_Nuqu%C3%AD%2C_Choc%C3%B3%2C_Colombia_-_23_Oct_2025_-_Diferoch.jpg" TargetMode="External"/><Relationship Id="rId5114" Type="http://schemas.openxmlformats.org/officeDocument/2006/relationships/hyperlink" Target="https://upload.wikimedia.org/wikipedia/commons/1/18/Trichiales.jpg" TargetMode="External"/><Relationship Id="rId5115" Type="http://schemas.openxmlformats.org/officeDocument/2006/relationships/hyperlink" Target="https://commons.wikimedia.org/wiki/File:Trichiales.jpg" TargetMode="External"/><Relationship Id="rId5109" Type="http://schemas.openxmlformats.org/officeDocument/2006/relationships/hyperlink" Target="https://commons.wikimedia.org/wiki/File:Tremarctos_ornatus_en_la_Reserva_Chingaza_01.jpg" TargetMode="External"/><Relationship Id="rId5107" Type="http://schemas.openxmlformats.org/officeDocument/2006/relationships/hyperlink" Target="https://commons.wikimedia.org/wiki/File:Trees_thickly_covered_in_mosses_and_lichens-Bosque_musgo_y_liquenes.jpg" TargetMode="External"/><Relationship Id="rId5108" Type="http://schemas.openxmlformats.org/officeDocument/2006/relationships/hyperlink" Target="https://upload.wikimedia.org/wikipedia/commons/1/17/Tremarctos_ornatus_en_la_Reserva_Chingaza_01.jpg" TargetMode="External"/><Relationship Id="rId2070" Type="http://schemas.openxmlformats.org/officeDocument/2006/relationships/hyperlink" Target="https://maps.google.com/?q=7.095963,-73.756355" TargetMode="External"/><Relationship Id="rId2071" Type="http://schemas.openxmlformats.org/officeDocument/2006/relationships/hyperlink" Target="https://upload.wikimedia.org/wikipedia/commons/9/9b/Eupsittula_pertinax_aeruginosa_-_Barrancabermeja%2C_Santander%2C_Colombia_-_12_Jul_2025_-_Diferoch.jpg" TargetMode="External"/><Relationship Id="rId2072" Type="http://schemas.openxmlformats.org/officeDocument/2006/relationships/hyperlink" Target="https://commons.wikimedia.org/wiki/File:Eupsittula_pertinax_aeruginosa_-_Barrancabermeja,_Santander,_Colombia_-_12_Jul_2025_-_Diferoch.jpg" TargetMode="External"/><Relationship Id="rId2073" Type="http://schemas.openxmlformats.org/officeDocument/2006/relationships/hyperlink" Target="https://upload.wikimedia.org/wikipedia/commons/1/1e/FAUNA_CHOC%C3%93_COLOMBIA.jpg" TargetMode="External"/><Relationship Id="rId2074" Type="http://schemas.openxmlformats.org/officeDocument/2006/relationships/hyperlink" Target="https://commons.wikimedia.org/wiki/File:FAUNA_CHOC%C3%93_COLOMBIA.jpg" TargetMode="External"/><Relationship Id="rId5101" Type="http://schemas.openxmlformats.org/officeDocument/2006/relationships/hyperlink" Target="https://commons.wikimedia.org/wiki/File:Tree-dwelling_termite_nest_(Nasutitermes)_Coastal_forest,_Tayrona_National_Park.jpg" TargetMode="External"/><Relationship Id="rId2075" Type="http://schemas.openxmlformats.org/officeDocument/2006/relationships/hyperlink" Target="https://upload.wikimedia.org/wikipedia/commons/b/b7/FAUNA_Choc%C3%B3_Colombia.jpg" TargetMode="External"/><Relationship Id="rId5102" Type="http://schemas.openxmlformats.org/officeDocument/2006/relationships/hyperlink" Target="https://maps.google.com/?q=4.527990,-73.752840" TargetMode="External"/><Relationship Id="rId2076" Type="http://schemas.openxmlformats.org/officeDocument/2006/relationships/hyperlink" Target="https://commons.wikimedia.org/wiki/File:FAUNA_Choc%C3%B3_Colombia.jpg" TargetMode="External"/><Relationship Id="rId2077" Type="http://schemas.openxmlformats.org/officeDocument/2006/relationships/hyperlink" Target="https://upload.wikimedia.org/wikipedia/commons/3/34/FLOR_AMARRILLA.jpg" TargetMode="External"/><Relationship Id="rId5100" Type="http://schemas.openxmlformats.org/officeDocument/2006/relationships/hyperlink" Target="https://upload.wikimedia.org/wikipedia/commons/3/37/Tree-dwelling_termite_nest_%28Nasutitermes%29_Coastal_forest%2C_Tayrona_National_Park.jpg" TargetMode="External"/><Relationship Id="rId2078" Type="http://schemas.openxmlformats.org/officeDocument/2006/relationships/hyperlink" Target="https://commons.wikimedia.org/wiki/File:FLOR_AMARRILLA.jpg" TargetMode="External"/><Relationship Id="rId5105" Type="http://schemas.openxmlformats.org/officeDocument/2006/relationships/hyperlink" Target="https://maps.google.com/?q=4.527990,-73.752840" TargetMode="External"/><Relationship Id="rId2079" Type="http://schemas.openxmlformats.org/officeDocument/2006/relationships/hyperlink" Target="https://upload.wikimedia.org/wikipedia/commons/b/bb/Falso_camale%C3%B3n_%28Anolis_heterodermus%29_sobre_frailej%C3%B3n_en_el_Parque_Nacional_Natural_Chingaza.webp" TargetMode="External"/><Relationship Id="rId5106" Type="http://schemas.openxmlformats.org/officeDocument/2006/relationships/hyperlink" Target="https://upload.wikimedia.org/wikipedia/commons/4/4c/Trees_thickly_covered_in_mosses_and_lichens-Bosque_musgo_y_liquenes.jpg" TargetMode="External"/><Relationship Id="rId5103" Type="http://schemas.openxmlformats.org/officeDocument/2006/relationships/hyperlink" Target="https://upload.wikimedia.org/wikipedia/commons/3/32/Trees_shown_are_covered_in_lichens%2C_which_are_common_epiphytes-Red_bromeliads.jpg" TargetMode="External"/><Relationship Id="rId5104" Type="http://schemas.openxmlformats.org/officeDocument/2006/relationships/hyperlink" Target="https://commons.wikimedia.org/wiki/File:Trees_shown_are_covered_in_lichens,_which_are_common_epiphytes-Red_bromeliads.jpg" TargetMode="External"/><Relationship Id="rId2940" Type="http://schemas.openxmlformats.org/officeDocument/2006/relationships/hyperlink" Target="https://upload.wikimedia.org/wikipedia/commons/8/8b/Lago_chico.jpg" TargetMode="External"/><Relationship Id="rId1610" Type="http://schemas.openxmlformats.org/officeDocument/2006/relationships/hyperlink" Target="https://upload.wikimedia.org/wikipedia/commons/1/1b/Curso_del_R%C3%ADo_In%C3%ADrida_en_la_Reserva_Nacional_Natural_Puinawai%2C_Guain%C3%ADa_05.jpg" TargetMode="External"/><Relationship Id="rId2941" Type="http://schemas.openxmlformats.org/officeDocument/2006/relationships/hyperlink" Target="https://commons.wikimedia.org/wiki/File:Lago_chico.jpg" TargetMode="External"/><Relationship Id="rId1611" Type="http://schemas.openxmlformats.org/officeDocument/2006/relationships/hyperlink" Target="https://commons.wikimedia.org/wiki/File:Curso_del_R%C3%ADo_In%C3%ADrida_en_la_Reserva_Nacional_Natural_Puinawai,_Guain%C3%ADa_05.jpg" TargetMode="External"/><Relationship Id="rId2942" Type="http://schemas.openxmlformats.org/officeDocument/2006/relationships/hyperlink" Target="https://upload.wikimedia.org/wikipedia/commons/6/67/Lago_de_Villa_de_Leyva_%28Boyac%C3%A1%29.jpg" TargetMode="External"/><Relationship Id="rId1612" Type="http://schemas.openxmlformats.org/officeDocument/2006/relationships/hyperlink" Target="https://upload.wikimedia.org/wikipedia/commons/8/87/Curso_del_R%C3%ADo_In%C3%ADrida_en_la_Reserva_Nacional_Natural_Puinawai%2C_Guain%C3%ADa_06.jpg" TargetMode="External"/><Relationship Id="rId2943" Type="http://schemas.openxmlformats.org/officeDocument/2006/relationships/hyperlink" Target="https://commons.wikimedia.org/wiki/File:Lago_de_Villa_de_Leyva_(Boyac%C3%A1).jpg" TargetMode="External"/><Relationship Id="rId1613" Type="http://schemas.openxmlformats.org/officeDocument/2006/relationships/hyperlink" Target="https://commons.wikimedia.org/wiki/File:Curso_del_R%C3%ADo_In%C3%ADrida_en_la_Reserva_Nacional_Natural_Puinawai,_Guain%C3%ADa_06.jpg" TargetMode="External"/><Relationship Id="rId2944" Type="http://schemas.openxmlformats.org/officeDocument/2006/relationships/hyperlink" Target="https://upload.wikimedia.org/wikipedia/commons/d/d5/Lago_del_Jard%C3%ADn_Bot%C3%A1nico_de_Bogot%C3%A1.jpg" TargetMode="External"/><Relationship Id="rId1614" Type="http://schemas.openxmlformats.org/officeDocument/2006/relationships/hyperlink" Target="https://upload.wikimedia.org/wikipedia/commons/8/8a/Curso_del_R%C3%ADo_In%C3%ADrida_en_la_Reserva_Nacional_Natural_Puinawai%2C_Guain%C3%ADa_07.jpg" TargetMode="External"/><Relationship Id="rId2945" Type="http://schemas.openxmlformats.org/officeDocument/2006/relationships/hyperlink" Target="https://commons.wikimedia.org/wiki/File:Lago_del_Jard%C3%ADn_Bot%C3%A1nico_de_Bogot%C3%A1.jpg" TargetMode="External"/><Relationship Id="rId1615" Type="http://schemas.openxmlformats.org/officeDocument/2006/relationships/hyperlink" Target="https://commons.wikimedia.org/wiki/File:Curso_del_R%C3%ADo_In%C3%ADrida_en_la_Reserva_Nacional_Natural_Puinawai,_Guain%C3%ADa_07.jpg" TargetMode="External"/><Relationship Id="rId2946" Type="http://schemas.openxmlformats.org/officeDocument/2006/relationships/hyperlink" Target="https://upload.wikimedia.org/wikipedia/commons/4/41/Lago_del_parque_sim%C3%B3n_bol%C3%ADvar.jpg" TargetMode="External"/><Relationship Id="rId1616" Type="http://schemas.openxmlformats.org/officeDocument/2006/relationships/hyperlink" Target="https://upload.wikimedia.org/wikipedia/commons/6/68/Curso_del_R%C3%ADo_In%C3%ADrida_en_la_Reserva_Nacional_Natural_Puinawai%2C_Guain%C3%ADa_08.jpg" TargetMode="External"/><Relationship Id="rId2947" Type="http://schemas.openxmlformats.org/officeDocument/2006/relationships/hyperlink" Target="https://commons.wikimedia.org/wiki/File:Lago_del_parque_sim%C3%B3n_bol%C3%ADvar.jpg" TargetMode="External"/><Relationship Id="rId907" Type="http://schemas.openxmlformats.org/officeDocument/2006/relationships/hyperlink" Target="https://commons.wikimedia.org/wiki/File:Caracol_brillante.jpg" TargetMode="External"/><Relationship Id="rId1617" Type="http://schemas.openxmlformats.org/officeDocument/2006/relationships/hyperlink" Target="https://commons.wikimedia.org/wiki/File:Curso_del_R%C3%ADo_In%C3%ADrida_en_la_Reserva_Nacional_Natural_Puinawai,_Guain%C3%ADa_08.jpg" TargetMode="External"/><Relationship Id="rId2948" Type="http://schemas.openxmlformats.org/officeDocument/2006/relationships/hyperlink" Target="https://upload.wikimedia.org/wikipedia/commons/2/28/Lago_en_la_Hacienda_N%C3%A1poles_%28Colombia%29.jpg" TargetMode="External"/><Relationship Id="rId906" Type="http://schemas.openxmlformats.org/officeDocument/2006/relationships/hyperlink" Target="https://upload.wikimedia.org/wikipedia/commons/b/b9/Caracol_brillante.jpg" TargetMode="External"/><Relationship Id="rId1618" Type="http://schemas.openxmlformats.org/officeDocument/2006/relationships/hyperlink" Target="https://upload.wikimedia.org/wikipedia/commons/f/f3/Curso_del_R%C3%ADo_In%C3%ADrida_en_la_Reserva_Nacional_Natural_Puinawai%2C_Guain%C3%ADa_09.jpg" TargetMode="External"/><Relationship Id="rId2949" Type="http://schemas.openxmlformats.org/officeDocument/2006/relationships/hyperlink" Target="https://commons.wikimedia.org/wiki/File:Lago_en_la_Hacienda_N%C3%A1poles_(Colombia).jpg" TargetMode="External"/><Relationship Id="rId905" Type="http://schemas.openxmlformats.org/officeDocument/2006/relationships/hyperlink" Target="https://commons.wikimedia.org/wiki/File:Caracol_Cantera_2.jpg" TargetMode="External"/><Relationship Id="rId1619" Type="http://schemas.openxmlformats.org/officeDocument/2006/relationships/hyperlink" Target="https://commons.wikimedia.org/wiki/File:Curso_del_R%C3%ADo_In%C3%ADrida_en_la_Reserva_Nacional_Natural_Puinawai,_Guain%C3%ADa_09.jpg" TargetMode="External"/><Relationship Id="rId904" Type="http://schemas.openxmlformats.org/officeDocument/2006/relationships/hyperlink" Target="https://upload.wikimedia.org/wikipedia/commons/d/d9/Caracol_Cantera_2.jpg" TargetMode="External"/><Relationship Id="rId909" Type="http://schemas.openxmlformats.org/officeDocument/2006/relationships/hyperlink" Target="https://commons.wikimedia.org/wiki/File:Caracol_de_Jard%C3%ADn.jpg" TargetMode="External"/><Relationship Id="rId908" Type="http://schemas.openxmlformats.org/officeDocument/2006/relationships/hyperlink" Target="https://upload.wikimedia.org/wikipedia/commons/f/f2/Caracol_de_Jard%C3%ADn.jpg" TargetMode="External"/><Relationship Id="rId903" Type="http://schemas.openxmlformats.org/officeDocument/2006/relationships/hyperlink" Target="https://commons.wikimedia.org/wiki/File:Caracol_Cantera.jpg" TargetMode="External"/><Relationship Id="rId902" Type="http://schemas.openxmlformats.org/officeDocument/2006/relationships/hyperlink" Target="https://upload.wikimedia.org/wikipedia/commons/a/a4/Caracol_Cantera.jpg" TargetMode="External"/><Relationship Id="rId901" Type="http://schemas.openxmlformats.org/officeDocument/2006/relationships/hyperlink" Target="https://commons.wikimedia.org/wiki/File:Caracara_chimachima_(Daptrius_chimachima).jpg" TargetMode="External"/><Relationship Id="rId900" Type="http://schemas.openxmlformats.org/officeDocument/2006/relationships/hyperlink" Target="https://upload.wikimedia.org/wikipedia/commons/3/34/Caracara_chimachima_%28Daptrius_chimachima%29.jpg" TargetMode="External"/><Relationship Id="rId2930" Type="http://schemas.openxmlformats.org/officeDocument/2006/relationships/hyperlink" Target="https://commons.wikimedia.org/wiki/File:Laberintos_de_arcilla_en_el_Desierto_de_la_Tatacoa.jpg" TargetMode="External"/><Relationship Id="rId1600" Type="http://schemas.openxmlformats.org/officeDocument/2006/relationships/hyperlink" Target="https://upload.wikimedia.org/wikipedia/commons/0/00/Curiosidad_en_el_Dosel%2C_Mono_Maicero_de_la_Orinoqu%C3%ADa.png" TargetMode="External"/><Relationship Id="rId2931" Type="http://schemas.openxmlformats.org/officeDocument/2006/relationships/hyperlink" Target="https://maps.google.com/?q=4.575927,-74.047900" TargetMode="External"/><Relationship Id="rId1601" Type="http://schemas.openxmlformats.org/officeDocument/2006/relationships/hyperlink" Target="https://commons.wikimedia.org/wiki/File:Curiosidad_en_el_Dosel,_Mono_Maicero_de_la_Orinoqu%C3%ADa.png" TargetMode="External"/><Relationship Id="rId2932" Type="http://schemas.openxmlformats.org/officeDocument/2006/relationships/hyperlink" Target="https://upload.wikimedia.org/wikipedia/commons/d/dc/Lacaria_%28Laccaria_laccata%29.jpg" TargetMode="External"/><Relationship Id="rId1602" Type="http://schemas.openxmlformats.org/officeDocument/2006/relationships/hyperlink" Target="https://upload.wikimedia.org/wikipedia/commons/b/bc/Curso_del_R%C3%ADo_In%C3%ADrida_en_la_Reserva_Nacional_Natural_Puinawai%2C_Guain%C3%ADa_01.jpg" TargetMode="External"/><Relationship Id="rId2933" Type="http://schemas.openxmlformats.org/officeDocument/2006/relationships/hyperlink" Target="https://commons.wikimedia.org/wiki/File:Lacaria_(Laccaria_laccata).jpg" TargetMode="External"/><Relationship Id="rId1603" Type="http://schemas.openxmlformats.org/officeDocument/2006/relationships/hyperlink" Target="https://commons.wikimedia.org/wiki/File:Curso_del_R%C3%ADo_In%C3%ADrida_en_la_Reserva_Nacional_Natural_Puinawai,_Guain%C3%ADa_01.jpg" TargetMode="External"/><Relationship Id="rId2934" Type="http://schemas.openxmlformats.org/officeDocument/2006/relationships/hyperlink" Target="https://upload.wikimedia.org/wikipedia/commons/f/f8/Ladera_alta_llena_de_Fraiilejones_en_el_Nevado_del_Ruiz.jpg" TargetMode="External"/><Relationship Id="rId1604" Type="http://schemas.openxmlformats.org/officeDocument/2006/relationships/hyperlink" Target="https://upload.wikimedia.org/wikipedia/commons/d/da/Curso_del_R%C3%ADo_In%C3%ADrida_en_la_Reserva_Nacional_Natural_Puinawai%2C_Guain%C3%ADa_02.jpg" TargetMode="External"/><Relationship Id="rId2935" Type="http://schemas.openxmlformats.org/officeDocument/2006/relationships/hyperlink" Target="https://commons.wikimedia.org/wiki/File:Ladera_alta_llena_de_Fraiilejones_en_el_Nevado_del_Ruiz.jpg" TargetMode="External"/><Relationship Id="rId1605" Type="http://schemas.openxmlformats.org/officeDocument/2006/relationships/hyperlink" Target="https://commons.wikimedia.org/wiki/File:Curso_del_R%C3%ADo_In%C3%ADrida_en_la_Reserva_Nacional_Natural_Puinawai,_Guain%C3%ADa_02.jpg" TargetMode="External"/><Relationship Id="rId2936" Type="http://schemas.openxmlformats.org/officeDocument/2006/relationships/hyperlink" Target="https://upload.wikimedia.org/wikipedia/commons/e/eb/Laderas_de_subp%C3%A1ramo_y_relieve_monta%C3%B1oso_en_Sumapaz.jpg" TargetMode="External"/><Relationship Id="rId1606" Type="http://schemas.openxmlformats.org/officeDocument/2006/relationships/hyperlink" Target="https://upload.wikimedia.org/wikipedia/commons/e/e8/Curso_del_R%C3%ADo_In%C3%ADrida_en_la_Reserva_Nacional_Natural_Puinawai%2C_Guain%C3%ADa_03.jpg" TargetMode="External"/><Relationship Id="rId2937" Type="http://schemas.openxmlformats.org/officeDocument/2006/relationships/hyperlink" Target="https://commons.wikimedia.org/wiki/File:Laderas_de_subp%C3%A1ramo_y_relieve_monta%C3%B1oso_en_Sumapaz.jpg" TargetMode="External"/><Relationship Id="rId1607" Type="http://schemas.openxmlformats.org/officeDocument/2006/relationships/hyperlink" Target="https://commons.wikimedia.org/wiki/File:Curso_del_R%C3%ADo_In%C3%ADrida_en_la_Reserva_Nacional_Natural_Puinawai,_Guain%C3%ADa_03.jpg" TargetMode="External"/><Relationship Id="rId2938" Type="http://schemas.openxmlformats.org/officeDocument/2006/relationships/hyperlink" Target="https://upload.wikimedia.org/wikipedia/commons/f/f8/Ladrilleros.jpg" TargetMode="External"/><Relationship Id="rId1608" Type="http://schemas.openxmlformats.org/officeDocument/2006/relationships/hyperlink" Target="https://upload.wikimedia.org/wikipedia/commons/3/33/Curso_del_R%C3%ADo_In%C3%ADrida_en_la_Reserva_Nacional_Natural_Puinawai%2C_Guain%C3%ADa_04.jpg" TargetMode="External"/><Relationship Id="rId2939" Type="http://schemas.openxmlformats.org/officeDocument/2006/relationships/hyperlink" Target="https://commons.wikimedia.org/wiki/File:Ladrilleros.jpg" TargetMode="External"/><Relationship Id="rId1609" Type="http://schemas.openxmlformats.org/officeDocument/2006/relationships/hyperlink" Target="https://commons.wikimedia.org/wiki/File:Curso_del_R%C3%ADo_In%C3%ADrida_en_la_Reserva_Nacional_Natural_Puinawai,_Guain%C3%ADa_04.jpg" TargetMode="External"/><Relationship Id="rId1631" Type="http://schemas.openxmlformats.org/officeDocument/2006/relationships/hyperlink" Target="https://commons.wikimedia.org/wiki/File:Curso_del_R%C3%ADo_In%C3%ADrida_en_la_Reserva_Nacional_Natural_Puinawai,_Guain%C3%ADa_15.jpg" TargetMode="External"/><Relationship Id="rId2962" Type="http://schemas.openxmlformats.org/officeDocument/2006/relationships/hyperlink" Target="https://upload.wikimedia.org/wikipedia/commons/a/a4/Laguna_Matarredonda.jpg" TargetMode="External"/><Relationship Id="rId1632" Type="http://schemas.openxmlformats.org/officeDocument/2006/relationships/hyperlink" Target="https://upload.wikimedia.org/wikipedia/commons/a/ac/Curso_del_R%C3%ADo_In%C3%ADrida_en_la_Reserva_Nacional_Natural_Puinawai%2C_Guain%C3%ADa_16.jpg" TargetMode="External"/><Relationship Id="rId2963" Type="http://schemas.openxmlformats.org/officeDocument/2006/relationships/hyperlink" Target="https://commons.wikimedia.org/wiki/File:Laguna_Matarredonda.jpg" TargetMode="External"/><Relationship Id="rId1633" Type="http://schemas.openxmlformats.org/officeDocument/2006/relationships/hyperlink" Target="https://commons.wikimedia.org/wiki/File:Curso_del_R%C3%ADo_In%C3%ADrida_en_la_Reserva_Nacional_Natural_Puinawai,_Guain%C3%ADa_16.jpg" TargetMode="External"/><Relationship Id="rId2964" Type="http://schemas.openxmlformats.org/officeDocument/2006/relationships/hyperlink" Target="https://upload.wikimedia.org/wikipedia/commons/6/6e/Laguna_Negra%2C_Ocet%C3%A1.jpg" TargetMode="External"/><Relationship Id="rId1634" Type="http://schemas.openxmlformats.org/officeDocument/2006/relationships/hyperlink" Target="https://upload.wikimedia.org/wikipedia/commons/b/bf/Curso_del_R%C3%ADo_In%C3%ADrida_en_la_Reserva_Nacional_Natural_Puinawai%2C_Guain%C3%ADa_17.jpg" TargetMode="External"/><Relationship Id="rId2965" Type="http://schemas.openxmlformats.org/officeDocument/2006/relationships/hyperlink" Target="https://commons.wikimedia.org/wiki/File:Laguna_Negra,_Ocet%C3%A1.jpg" TargetMode="External"/><Relationship Id="rId1635" Type="http://schemas.openxmlformats.org/officeDocument/2006/relationships/hyperlink" Target="https://commons.wikimedia.org/wiki/File:Curso_del_R%C3%ADo_In%C3%ADrida_en_la_Reserva_Nacional_Natural_Puinawai,_Guain%C3%ADa_17.jpg" TargetMode="External"/><Relationship Id="rId2966" Type="http://schemas.openxmlformats.org/officeDocument/2006/relationships/hyperlink" Target="https://upload.wikimedia.org/wikipedia/commons/6/69/Laguna_Negra%2C_Parque_Los_Nevados.jpg" TargetMode="External"/><Relationship Id="rId1636" Type="http://schemas.openxmlformats.org/officeDocument/2006/relationships/hyperlink" Target="https://upload.wikimedia.org/wikipedia/commons/f/f6/Curso_del_R%C3%ADo_In%C3%ADrida_en_la_Reserva_Nacional_Natural_Puinawai%2C_Guain%C3%ADa_18.jpg" TargetMode="External"/><Relationship Id="rId2967" Type="http://schemas.openxmlformats.org/officeDocument/2006/relationships/hyperlink" Target="https://commons.wikimedia.org/wiki/File:Laguna_Negra,_Parque_Los_Nevados.jpg" TargetMode="External"/><Relationship Id="rId1637" Type="http://schemas.openxmlformats.org/officeDocument/2006/relationships/hyperlink" Target="https://commons.wikimedia.org/wiki/File:Curso_del_R%C3%ADo_In%C3%ADrida_en_la_Reserva_Nacional_Natural_Puinawai,_Guain%C3%ADa_18.jpg" TargetMode="External"/><Relationship Id="rId2968" Type="http://schemas.openxmlformats.org/officeDocument/2006/relationships/hyperlink" Target="https://upload.wikimedia.org/wikipedia/commons/9/96/Laguna_PNN_Sumapaz.jpg" TargetMode="External"/><Relationship Id="rId1638" Type="http://schemas.openxmlformats.org/officeDocument/2006/relationships/hyperlink" Target="https://upload.wikimedia.org/wikipedia/commons/5/55/Curso_del_R%C3%ADo_In%C3%ADrida_en_la_Reserva_Nacional_Natural_Puinawai%2C_Guain%C3%ADa_19.jpg" TargetMode="External"/><Relationship Id="rId2969" Type="http://schemas.openxmlformats.org/officeDocument/2006/relationships/hyperlink" Target="https://commons.wikimedia.org/wiki/File:Laguna_PNN_Sumapaz.jpg" TargetMode="External"/><Relationship Id="rId929" Type="http://schemas.openxmlformats.org/officeDocument/2006/relationships/hyperlink" Target="https://upload.wikimedia.org/wikipedia/commons/d/d0/Carpintero_libando.jpg" TargetMode="External"/><Relationship Id="rId1639" Type="http://schemas.openxmlformats.org/officeDocument/2006/relationships/hyperlink" Target="https://commons.wikimedia.org/wiki/File:Curso_del_R%C3%ADo_In%C3%ADrida_en_la_Reserva_Nacional_Natural_Puinawai,_Guain%C3%ADa_19.jpg" TargetMode="External"/><Relationship Id="rId928" Type="http://schemas.openxmlformats.org/officeDocument/2006/relationships/hyperlink" Target="https://commons.wikimedia.org/wiki/File:Carpintero_en_casa.jpg" TargetMode="External"/><Relationship Id="rId927" Type="http://schemas.openxmlformats.org/officeDocument/2006/relationships/hyperlink" Target="https://upload.wikimedia.org/wikipedia/commons/0/0b/Carpintero_en_casa.jpg" TargetMode="External"/><Relationship Id="rId926" Type="http://schemas.openxmlformats.org/officeDocument/2006/relationships/hyperlink" Target="https://maps.google.com/?q=11.306367,-74.065745" TargetMode="External"/><Relationship Id="rId921" Type="http://schemas.openxmlformats.org/officeDocument/2006/relationships/hyperlink" Target="https://upload.wikimedia.org/wikipedia/commons/4/46/Carpentiro_habado_-_Melanerpes_rubricapillus.jpg" TargetMode="External"/><Relationship Id="rId920" Type="http://schemas.openxmlformats.org/officeDocument/2006/relationships/hyperlink" Target="https://commons.wikimedia.org/wiki/File:Card%C3%B3n_de_p%C3%A1ramo_(Puya_sp.).jpg" TargetMode="External"/><Relationship Id="rId925" Type="http://schemas.openxmlformats.org/officeDocument/2006/relationships/hyperlink" Target="https://commons.wikimedia.org/wiki/File:Carpintero_Bellotero_-_Melanerpes_formicivorus.jpg" TargetMode="External"/><Relationship Id="rId924" Type="http://schemas.openxmlformats.org/officeDocument/2006/relationships/hyperlink" Target="https://upload.wikimedia.org/wikipedia/commons/7/7c/Carpintero_Bellotero_-_Melanerpes_formicivorus.jpg" TargetMode="External"/><Relationship Id="rId923" Type="http://schemas.openxmlformats.org/officeDocument/2006/relationships/hyperlink" Target="https://maps.google.com/?q=3.561100,-76.556900" TargetMode="External"/><Relationship Id="rId922" Type="http://schemas.openxmlformats.org/officeDocument/2006/relationships/hyperlink" Target="https://commons.wikimedia.org/wiki/File:Carpentiro_habado_-_Melanerpes_rubricapillus.jpg" TargetMode="External"/><Relationship Id="rId2960" Type="http://schemas.openxmlformats.org/officeDocument/2006/relationships/hyperlink" Target="https://upload.wikimedia.org/wikipedia/commons/e/e1/Laguna_El_Tabacal_la_Vega-Bosque_de_guadua-reserva_natural_y_%C3%A1rea_de_conservaci%C3%B3n.jpg" TargetMode="External"/><Relationship Id="rId1630" Type="http://schemas.openxmlformats.org/officeDocument/2006/relationships/hyperlink" Target="https://upload.wikimedia.org/wikipedia/commons/a/ab/Curso_del_R%C3%ADo_In%C3%ADrida_en_la_Reserva_Nacional_Natural_Puinawai%2C_Guain%C3%ADa_15.jpg" TargetMode="External"/><Relationship Id="rId2961" Type="http://schemas.openxmlformats.org/officeDocument/2006/relationships/hyperlink" Target="https://commons.wikimedia.org/wiki/File:Laguna_El_Tabacal_la_Vega-Bosque_de_guadua-reserva_natural_y_%C3%A1rea_de_conservaci%C3%B3n.jpg" TargetMode="External"/><Relationship Id="rId1620" Type="http://schemas.openxmlformats.org/officeDocument/2006/relationships/hyperlink" Target="https://upload.wikimedia.org/wikipedia/commons/d/d0/Curso_del_R%C3%ADo_In%C3%ADrida_en_la_Reserva_Nacional_Natural_Puinawai%2C_Guain%C3%ADa_10.jpg" TargetMode="External"/><Relationship Id="rId2951" Type="http://schemas.openxmlformats.org/officeDocument/2006/relationships/hyperlink" Target="https://commons.wikimedia.org/wiki/File:Lago_en_sumapaz.jpg" TargetMode="External"/><Relationship Id="rId1621" Type="http://schemas.openxmlformats.org/officeDocument/2006/relationships/hyperlink" Target="https://commons.wikimedia.org/wiki/File:Curso_del_R%C3%ADo_In%C3%ADrida_en_la_Reserva_Nacional_Natural_Puinawai,_Guain%C3%ADa_10.jpg" TargetMode="External"/><Relationship Id="rId2952" Type="http://schemas.openxmlformats.org/officeDocument/2006/relationships/hyperlink" Target="https://upload.wikimedia.org/wikipedia/commons/5/58/Lagos_de_Villa_de_Leyva.jpg" TargetMode="External"/><Relationship Id="rId1622" Type="http://schemas.openxmlformats.org/officeDocument/2006/relationships/hyperlink" Target="https://upload.wikimedia.org/wikipedia/commons/3/3b/Curso_del_R%C3%ADo_In%C3%ADrida_en_la_Reserva_Nacional_Natural_Puinawai%2C_Guain%C3%ADa_11.jpg" TargetMode="External"/><Relationship Id="rId2953" Type="http://schemas.openxmlformats.org/officeDocument/2006/relationships/hyperlink" Target="https://commons.wikimedia.org/wiki/File:Lagos_de_Villa_de_Leyva.jpg" TargetMode="External"/><Relationship Id="rId1623" Type="http://schemas.openxmlformats.org/officeDocument/2006/relationships/hyperlink" Target="https://commons.wikimedia.org/wiki/File:Curso_del_R%C3%ADo_In%C3%ADrida_en_la_Reserva_Nacional_Natural_Puinawai,_Guain%C3%ADa_11.jpg" TargetMode="External"/><Relationship Id="rId2954" Type="http://schemas.openxmlformats.org/officeDocument/2006/relationships/hyperlink" Target="https://maps.google.com/?q=1.675855,-73.627109" TargetMode="External"/><Relationship Id="rId1624" Type="http://schemas.openxmlformats.org/officeDocument/2006/relationships/hyperlink" Target="https://upload.wikimedia.org/wikipedia/commons/7/7d/Curso_del_R%C3%ADo_In%C3%ADrida_en_la_Reserva_Nacional_Natural_Puinawai%2C_Guain%C3%ADa_12.jpg" TargetMode="External"/><Relationship Id="rId2955" Type="http://schemas.openxmlformats.org/officeDocument/2006/relationships/hyperlink" Target="https://upload.wikimedia.org/wikipedia/commons/8/85/Lagothrix_lagotricha_lagotricha.jpg" TargetMode="External"/><Relationship Id="rId1625" Type="http://schemas.openxmlformats.org/officeDocument/2006/relationships/hyperlink" Target="https://commons.wikimedia.org/wiki/File:Curso_del_R%C3%ADo_In%C3%ADrida_en_la_Reserva_Nacional_Natural_Puinawai,_Guain%C3%ADa_12.jpg" TargetMode="External"/><Relationship Id="rId2956" Type="http://schemas.openxmlformats.org/officeDocument/2006/relationships/hyperlink" Target="https://commons.wikimedia.org/wiki/File:Lagothrix_lagotricha_lagotricha.jpg" TargetMode="External"/><Relationship Id="rId1626" Type="http://schemas.openxmlformats.org/officeDocument/2006/relationships/hyperlink" Target="https://upload.wikimedia.org/wikipedia/commons/c/c9/Curso_del_R%C3%ADo_In%C3%ADrida_en_la_Reserva_Nacional_Natural_Puinawai%2C_Guain%C3%ADa_13.jpg" TargetMode="External"/><Relationship Id="rId2957" Type="http://schemas.openxmlformats.org/officeDocument/2006/relationships/hyperlink" Target="https://upload.wikimedia.org/wikipedia/commons/1/1a/Laguna_20260528_144415.jpg" TargetMode="External"/><Relationship Id="rId1627" Type="http://schemas.openxmlformats.org/officeDocument/2006/relationships/hyperlink" Target="https://commons.wikimedia.org/wiki/File:Curso_del_R%C3%ADo_In%C3%ADrida_en_la_Reserva_Nacional_Natural_Puinawai,_Guain%C3%ADa_13.jpg" TargetMode="External"/><Relationship Id="rId2958" Type="http://schemas.openxmlformats.org/officeDocument/2006/relationships/hyperlink" Target="https://commons.wikimedia.org/wiki/File:Laguna_20260528_144415.jpg" TargetMode="External"/><Relationship Id="rId918" Type="http://schemas.openxmlformats.org/officeDocument/2006/relationships/hyperlink" Target="https://maps.google.com/?q=4.546010,-73.965653" TargetMode="External"/><Relationship Id="rId1628" Type="http://schemas.openxmlformats.org/officeDocument/2006/relationships/hyperlink" Target="https://upload.wikimedia.org/wikipedia/commons/4/47/Curso_del_R%C3%ADo_In%C3%ADrida_en_la_Reserva_Nacional_Natural_Puinawai%2C_Guain%C3%ADa_14.jpg" TargetMode="External"/><Relationship Id="rId2959" Type="http://schemas.openxmlformats.org/officeDocument/2006/relationships/hyperlink" Target="https://maps.google.com/?q=5.029400,-74.327600" TargetMode="External"/><Relationship Id="rId917" Type="http://schemas.openxmlformats.org/officeDocument/2006/relationships/hyperlink" Target="https://commons.wikimedia.org/wiki/File:Caracol_terrestre.jpg" TargetMode="External"/><Relationship Id="rId1629" Type="http://schemas.openxmlformats.org/officeDocument/2006/relationships/hyperlink" Target="https://commons.wikimedia.org/wiki/File:Curso_del_R%C3%ADo_In%C3%ADrida_en_la_Reserva_Nacional_Natural_Puinawai,_Guain%C3%ADa_14.jpg" TargetMode="External"/><Relationship Id="rId916" Type="http://schemas.openxmlformats.org/officeDocument/2006/relationships/hyperlink" Target="https://upload.wikimedia.org/wikipedia/commons/e/e2/Caracol_terrestre.jpg" TargetMode="External"/><Relationship Id="rId915" Type="http://schemas.openxmlformats.org/officeDocument/2006/relationships/hyperlink" Target="https://commons.wikimedia.org/wiki/File:Caracol_junio_2025_1.jpg" TargetMode="External"/><Relationship Id="rId919" Type="http://schemas.openxmlformats.org/officeDocument/2006/relationships/hyperlink" Target="https://upload.wikimedia.org/wikipedia/commons/d/d6/Card%C3%B3n_de_p%C3%A1ramo_%28Puya_sp.%29.jpg" TargetMode="External"/><Relationship Id="rId910" Type="http://schemas.openxmlformats.org/officeDocument/2006/relationships/hyperlink" Target="https://maps.google.com/?q=4.867486,-74.376092" TargetMode="External"/><Relationship Id="rId914" Type="http://schemas.openxmlformats.org/officeDocument/2006/relationships/hyperlink" Target="https://upload.wikimedia.org/wikipedia/commons/f/f8/Caracol_junio_2025_1.jpg" TargetMode="External"/><Relationship Id="rId913" Type="http://schemas.openxmlformats.org/officeDocument/2006/relationships/hyperlink" Target="https://maps.google.com/?q=4.666700,-75.500000" TargetMode="External"/><Relationship Id="rId912" Type="http://schemas.openxmlformats.org/officeDocument/2006/relationships/hyperlink" Target="https://commons.wikimedia.org/wiki/File:Caracol_diminuto.jpg" TargetMode="External"/><Relationship Id="rId911" Type="http://schemas.openxmlformats.org/officeDocument/2006/relationships/hyperlink" Target="https://upload.wikimedia.org/wikipedia/commons/8/83/Caracol_diminuto.jpg" TargetMode="External"/><Relationship Id="rId2950" Type="http://schemas.openxmlformats.org/officeDocument/2006/relationships/hyperlink" Target="https://upload.wikimedia.org/wikipedia/commons/1/13/Lago_en_sumapaz.jpg" TargetMode="External"/><Relationship Id="rId2900" Type="http://schemas.openxmlformats.org/officeDocument/2006/relationships/hyperlink" Target="https://upload.wikimedia.org/wikipedia/commons/d/de/LA_TOMA_SEVILLA_VALLE_DEL_CAUCA_FORESTAL.jpg" TargetMode="External"/><Relationship Id="rId2901" Type="http://schemas.openxmlformats.org/officeDocument/2006/relationships/hyperlink" Target="https://commons.wikimedia.org/wiki/File:LA_TOMA_SEVILLA_VALLE_DEL_CAUCA_FORESTAL.jpg" TargetMode="External"/><Relationship Id="rId2902" Type="http://schemas.openxmlformats.org/officeDocument/2006/relationships/hyperlink" Target="https://maps.google.com/?q=4.258757,-75.923736" TargetMode="External"/><Relationship Id="rId2903" Type="http://schemas.openxmlformats.org/officeDocument/2006/relationships/hyperlink" Target="https://upload.wikimedia.org/wikipedia/commons/8/83/LA_TOMA_SEVILLA_VALLE_DEL_CAUCA_SENDERO.jpg" TargetMode="External"/><Relationship Id="rId2904" Type="http://schemas.openxmlformats.org/officeDocument/2006/relationships/hyperlink" Target="https://commons.wikimedia.org/wiki/File:LA_TOMA_SEVILLA_VALLE_DEL_CAUCA_SENDERO.jpg" TargetMode="External"/><Relationship Id="rId2905" Type="http://schemas.openxmlformats.org/officeDocument/2006/relationships/hyperlink" Target="https://maps.google.com/?q=4.258757,-75.923736" TargetMode="External"/><Relationship Id="rId2906" Type="http://schemas.openxmlformats.org/officeDocument/2006/relationships/hyperlink" Target="https://upload.wikimedia.org/wikipedia/commons/e/ed/LA_TOMA_SEVILLA_VALLE_DEL_CAUCA_SENDERO_2.jpg" TargetMode="External"/><Relationship Id="rId2907" Type="http://schemas.openxmlformats.org/officeDocument/2006/relationships/hyperlink" Target="https://commons.wikimedia.org/wiki/File:LA_TOMA_SEVILLA_VALLE_DEL_CAUCA_SENDERO_2.jpg" TargetMode="External"/><Relationship Id="rId2908" Type="http://schemas.openxmlformats.org/officeDocument/2006/relationships/hyperlink" Target="https://maps.google.com/?q=4.258757,-75.923736" TargetMode="External"/><Relationship Id="rId2909" Type="http://schemas.openxmlformats.org/officeDocument/2006/relationships/hyperlink" Target="https://upload.wikimedia.org/wikipedia/commons/a/ac/LA_TOMA_SEVILLA_VALLE_DEL_CAUCA_SUELO.jpg" TargetMode="External"/><Relationship Id="rId5170" Type="http://schemas.openxmlformats.org/officeDocument/2006/relationships/hyperlink" Target="https://commons.wikimedia.org/wiki/File:Tyrannus_melancholicus_melancholicus_-_Barrancabermeja,_Santander,_Colombia_-_3_Jun_2025.jpg" TargetMode="External"/><Relationship Id="rId5171" Type="http://schemas.openxmlformats.org/officeDocument/2006/relationships/hyperlink" Target="https://maps.google.com/?q=6.896558,-73.021705" TargetMode="External"/><Relationship Id="rId5174" Type="http://schemas.openxmlformats.org/officeDocument/2006/relationships/hyperlink" Target="https://maps.google.com/?q=6.896565,-73.021613" TargetMode="External"/><Relationship Id="rId5175" Type="http://schemas.openxmlformats.org/officeDocument/2006/relationships/hyperlink" Target="https://upload.wikimedia.org/wikipedia/commons/a/af/Tyrannus_savana_-_Piedecuesta%2C_Santander%2C_Colombia_-_7_Jun_2026_-_Diferoch_-_2.jpg" TargetMode="External"/><Relationship Id="rId5172" Type="http://schemas.openxmlformats.org/officeDocument/2006/relationships/hyperlink" Target="https://upload.wikimedia.org/wikipedia/commons/9/94/Tyrannus_savana_-_Piedecuesta%2C_Santander%2C_Colombia_-_7_Jun_2026_-_Diferoch_-_1.jpg" TargetMode="External"/><Relationship Id="rId5173" Type="http://schemas.openxmlformats.org/officeDocument/2006/relationships/hyperlink" Target="https://commons.wikimedia.org/wiki/File:Tyrannus_savana_-_Piedecuesta,_Santander,_Colombia_-_7_Jun_2026_-_Diferoch_-_1.jpg" TargetMode="External"/><Relationship Id="rId5178" Type="http://schemas.openxmlformats.org/officeDocument/2006/relationships/hyperlink" Target="https://upload.wikimedia.org/wikipedia/commons/6/69/T%C3%A1ngara_Dorada_-_Tangara_arthus.jpg" TargetMode="External"/><Relationship Id="rId5179" Type="http://schemas.openxmlformats.org/officeDocument/2006/relationships/hyperlink" Target="https://commons.wikimedia.org/wiki/File:T%C3%A1ngara_Dorada_-_Tangara_arthus.jpg" TargetMode="External"/><Relationship Id="rId5176" Type="http://schemas.openxmlformats.org/officeDocument/2006/relationships/hyperlink" Target="https://commons.wikimedia.org/wiki/File:Tyrannus_savana_-_Piedecuesta,_Santander,_Colombia_-_7_Jun_2026_-_Diferoch_-_2.jpg" TargetMode="External"/><Relationship Id="rId5177" Type="http://schemas.openxmlformats.org/officeDocument/2006/relationships/hyperlink" Target="https://maps.google.com/?q=3.561100,-76.556900" TargetMode="External"/><Relationship Id="rId5160" Type="http://schemas.openxmlformats.org/officeDocument/2006/relationships/hyperlink" Target="https://commons.wikimedia.org/wiki/File:Turdus_leucomelas_albiventer_-_Barrancabermeja,_Santander,_Colombia_-_20_Jul_2025_-_Diferoch_-_2.jpg" TargetMode="External"/><Relationship Id="rId5163" Type="http://schemas.openxmlformats.org/officeDocument/2006/relationships/hyperlink" Target="https://upload.wikimedia.org/wikipedia/commons/3/3e/Turquoise_dreams_in_San_Andr%C3%A9s.jpg" TargetMode="External"/><Relationship Id="rId5164" Type="http://schemas.openxmlformats.org/officeDocument/2006/relationships/hyperlink" Target="https://commons.wikimedia.org/wiki/File:Turquoise_dreams_in_San_Andr%C3%A9s.jpg" TargetMode="External"/><Relationship Id="rId5161" Type="http://schemas.openxmlformats.org/officeDocument/2006/relationships/hyperlink" Target="https://upload.wikimedia.org/wikipedia/commons/0/0c/Turismo_ecuestre_en_el_paisaje_de_la_Tatacoa.jpg" TargetMode="External"/><Relationship Id="rId5162" Type="http://schemas.openxmlformats.org/officeDocument/2006/relationships/hyperlink" Target="https://commons.wikimedia.org/wiki/File:Turismo_ecuestre_en_el_paisaje_de_la_Tatacoa.jpg" TargetMode="External"/><Relationship Id="rId5167" Type="http://schemas.openxmlformats.org/officeDocument/2006/relationships/hyperlink" Target="https://commons.wikimedia.org/wiki/File:Tyrannus_melancholicus_melancholicus_-_Barrancabermeja,_Santander,_Colombia_-_14_Jun_2026_-_Diferoch.jpg" TargetMode="External"/><Relationship Id="rId5168" Type="http://schemas.openxmlformats.org/officeDocument/2006/relationships/hyperlink" Target="https://maps.google.com/?q=7.084797,-73.863937" TargetMode="External"/><Relationship Id="rId5165" Type="http://schemas.openxmlformats.org/officeDocument/2006/relationships/hyperlink" Target="https://maps.google.com/?q=7.096000,-73.756221" TargetMode="External"/><Relationship Id="rId5166" Type="http://schemas.openxmlformats.org/officeDocument/2006/relationships/hyperlink" Target="https://upload.wikimedia.org/wikipedia/commons/f/f1/Tyrannus_melancholicus_melancholicus_-_Barrancabermeja%2C_Santander%2C_Colombia_-_14_Jun_2026_-_Diferoch.jpg" TargetMode="External"/><Relationship Id="rId5169" Type="http://schemas.openxmlformats.org/officeDocument/2006/relationships/hyperlink" Target="https://upload.wikimedia.org/wikipedia/commons/e/e2/Tyrannus_melancholicus_melancholicus_-_Barrancabermeja%2C_Santander%2C_Colombia_-_3_Jun_2025.jpg" TargetMode="External"/><Relationship Id="rId2920" Type="http://schemas.openxmlformats.org/officeDocument/2006/relationships/hyperlink" Target="https://upload.wikimedia.org/wikipedia/commons/0/06/La_tricolor_%28Cattleya_trianae%29.jpg" TargetMode="External"/><Relationship Id="rId2921" Type="http://schemas.openxmlformats.org/officeDocument/2006/relationships/hyperlink" Target="https://commons.wikimedia.org/wiki/File:La_tricolor_(Cattleya_trianae).jpg" TargetMode="External"/><Relationship Id="rId2922" Type="http://schemas.openxmlformats.org/officeDocument/2006/relationships/hyperlink" Target="https://maps.google.com/?q=8.072169,-74.786253" TargetMode="External"/><Relationship Id="rId2923" Type="http://schemas.openxmlformats.org/officeDocument/2006/relationships/hyperlink" Target="https://upload.wikimedia.org/wikipedia/commons/5/53/La_vaca_que_come.jpg" TargetMode="External"/><Relationship Id="rId2924" Type="http://schemas.openxmlformats.org/officeDocument/2006/relationships/hyperlink" Target="https://commons.wikimedia.org/wiki/File:La_vaca_que_come.jpg" TargetMode="External"/><Relationship Id="rId2925" Type="http://schemas.openxmlformats.org/officeDocument/2006/relationships/hyperlink" Target="https://upload.wikimedia.org/wikipedia/commons/f/f2/La_vida_a_nivel_micro.jpg" TargetMode="External"/><Relationship Id="rId2926" Type="http://schemas.openxmlformats.org/officeDocument/2006/relationships/hyperlink" Target="https://commons.wikimedia.org/wiki/File:La_vida_a_nivel_micro.jpg" TargetMode="External"/><Relationship Id="rId2927" Type="http://schemas.openxmlformats.org/officeDocument/2006/relationships/hyperlink" Target="https://upload.wikimedia.org/wikipedia/commons/e/e6/Laberinto_de_c%C3%A1rcavas_en_el_sector_de_Cuzco.jpg" TargetMode="External"/><Relationship Id="rId2928" Type="http://schemas.openxmlformats.org/officeDocument/2006/relationships/hyperlink" Target="https://commons.wikimedia.org/wiki/File:Laberinto_de_c%C3%A1rcavas_en_el_sector_de_Cuzco.jpg" TargetMode="External"/><Relationship Id="rId2929" Type="http://schemas.openxmlformats.org/officeDocument/2006/relationships/hyperlink" Target="https://upload.wikimedia.org/wikipedia/commons/4/44/Laberintos_de_arcilla_en_el_Desierto_de_la_Tatacoa.jpg" TargetMode="External"/><Relationship Id="rId5192" Type="http://schemas.openxmlformats.org/officeDocument/2006/relationships/hyperlink" Target="https://maps.google.com/?q=8.073269,-74.785186" TargetMode="External"/><Relationship Id="rId5193" Type="http://schemas.openxmlformats.org/officeDocument/2006/relationships/hyperlink" Target="https://upload.wikimedia.org/wikipedia/commons/f/f2/Un_d%C3%ADa_con_mucho_sol.jpg" TargetMode="External"/><Relationship Id="rId5190" Type="http://schemas.openxmlformats.org/officeDocument/2006/relationships/hyperlink" Target="https://upload.wikimedia.org/wikipedia/commons/7/79/Un_caracol_vacio.jpg" TargetMode="External"/><Relationship Id="rId5191" Type="http://schemas.openxmlformats.org/officeDocument/2006/relationships/hyperlink" Target="https://commons.wikimedia.org/wiki/File:Un_caracol_vacio.jpg" TargetMode="External"/><Relationship Id="rId5196" Type="http://schemas.openxmlformats.org/officeDocument/2006/relationships/hyperlink" Target="https://upload.wikimedia.org/wikipedia/commons/7/7b/Un_d%C3%ADa_normal.jpg" TargetMode="External"/><Relationship Id="rId5197" Type="http://schemas.openxmlformats.org/officeDocument/2006/relationships/hyperlink" Target="https://commons.wikimedia.org/wiki/File:Un_d%C3%ADa_normal.jpg" TargetMode="External"/><Relationship Id="rId5194" Type="http://schemas.openxmlformats.org/officeDocument/2006/relationships/hyperlink" Target="https://commons.wikimedia.org/wiki/File:Un_d%C3%ADa_con_mucho_sol.jpg" TargetMode="External"/><Relationship Id="rId5195" Type="http://schemas.openxmlformats.org/officeDocument/2006/relationships/hyperlink" Target="https://maps.google.com/?q=8.072164,-74.786261" TargetMode="External"/><Relationship Id="rId5198" Type="http://schemas.openxmlformats.org/officeDocument/2006/relationships/hyperlink" Target="https://upload.wikimedia.org/wikipedia/commons/4/47/Un_escandalo_del_carriqui_-_PNN_Los_Nevados_%28PRIMER_PLANO%29.jpg" TargetMode="External"/><Relationship Id="rId5199" Type="http://schemas.openxmlformats.org/officeDocument/2006/relationships/hyperlink" Target="https://commons.wikimedia.org/wiki/File:Un_escandalo_del_carriqui_-_PNN_Los_Nevados_(PRIMER_PLANO).jpg" TargetMode="External"/><Relationship Id="rId2910" Type="http://schemas.openxmlformats.org/officeDocument/2006/relationships/hyperlink" Target="https://commons.wikimedia.org/wiki/File:LA_TOMA_SEVILLA_VALLE_DEL_CAUCA_SUELO.jpg" TargetMode="External"/><Relationship Id="rId2911" Type="http://schemas.openxmlformats.org/officeDocument/2006/relationships/hyperlink" Target="https://maps.google.com/?q=4.258757,-75.923736" TargetMode="External"/><Relationship Id="rId2912" Type="http://schemas.openxmlformats.org/officeDocument/2006/relationships/hyperlink" Target="https://upload.wikimedia.org/wikipedia/commons/6/62/LA_TOMA_SEVILLA_VALLE_DEL_CAUCA_VEGETACI%C3%93N.jpg" TargetMode="External"/><Relationship Id="rId2913" Type="http://schemas.openxmlformats.org/officeDocument/2006/relationships/hyperlink" Target="https://commons.wikimedia.org/wiki/File:LA_TOMA_SEVILLA_VALLE_DEL_CAUCA_VEGETACI%C3%93N.jpg" TargetMode="External"/><Relationship Id="rId2914" Type="http://schemas.openxmlformats.org/officeDocument/2006/relationships/hyperlink" Target="https://upload.wikimedia.org/wikipedia/commons/d/d5/La_Sierra_a_lo_lejos.jpg" TargetMode="External"/><Relationship Id="rId2915" Type="http://schemas.openxmlformats.org/officeDocument/2006/relationships/hyperlink" Target="https://commons.wikimedia.org/wiki/File:La_Sierra_a_lo_lejos.jpg" TargetMode="External"/><Relationship Id="rId2916" Type="http://schemas.openxmlformats.org/officeDocument/2006/relationships/hyperlink" Target="https://upload.wikimedia.org/wikipedia/commons/7/71/La_quinta_escondida.jpg" TargetMode="External"/><Relationship Id="rId2917" Type="http://schemas.openxmlformats.org/officeDocument/2006/relationships/hyperlink" Target="https://commons.wikimedia.org/wiki/File:La_quinta_escondida.jpg" TargetMode="External"/><Relationship Id="rId2918" Type="http://schemas.openxmlformats.org/officeDocument/2006/relationships/hyperlink" Target="https://upload.wikimedia.org/wikipedia/commons/2/22/La_transformaci%C3%B3n_de_los_extremos_-_PNN_los_Nevados.jpg" TargetMode="External"/><Relationship Id="rId2919" Type="http://schemas.openxmlformats.org/officeDocument/2006/relationships/hyperlink" Target="https://commons.wikimedia.org/wiki/File:La_transformaci%C3%B3n_de_los_extremos_-_PNN_los_Nevados.jpg" TargetMode="External"/><Relationship Id="rId5181" Type="http://schemas.openxmlformats.org/officeDocument/2006/relationships/hyperlink" Target="https://upload.wikimedia.org/wikipedia/commons/8/88/T%C3%BA_grandeza.jpg" TargetMode="External"/><Relationship Id="rId5182" Type="http://schemas.openxmlformats.org/officeDocument/2006/relationships/hyperlink" Target="https://commons.wikimedia.org/wiki/File:T%C3%BA_grandeza.jpg" TargetMode="External"/><Relationship Id="rId5180" Type="http://schemas.openxmlformats.org/officeDocument/2006/relationships/hyperlink" Target="https://maps.google.com/?q=8.094869,-74.773153" TargetMode="External"/><Relationship Id="rId5185" Type="http://schemas.openxmlformats.org/officeDocument/2006/relationships/hyperlink" Target="https://commons.wikimedia.org/wiki/File:T%C3%BA_inmensidad.jpg" TargetMode="External"/><Relationship Id="rId5186" Type="http://schemas.openxmlformats.org/officeDocument/2006/relationships/hyperlink" Target="https://maps.google.com/?q=4.719324,-74.404778" TargetMode="External"/><Relationship Id="rId5183" Type="http://schemas.openxmlformats.org/officeDocument/2006/relationships/hyperlink" Target="https://maps.google.com/?q=8.094922,-74.773175" TargetMode="External"/><Relationship Id="rId5184" Type="http://schemas.openxmlformats.org/officeDocument/2006/relationships/hyperlink" Target="https://upload.wikimedia.org/wikipedia/commons/7/7b/T%C3%BA_inmensidad.jpg" TargetMode="External"/><Relationship Id="rId5189" Type="http://schemas.openxmlformats.org/officeDocument/2006/relationships/hyperlink" Target="https://maps.google.com/?q=4.719324,-74.404778" TargetMode="External"/><Relationship Id="rId5187" Type="http://schemas.openxmlformats.org/officeDocument/2006/relationships/hyperlink" Target="https://upload.wikimedia.org/wikipedia/commons/3/3f/Un_GRAN_peque%C3%B1o.jpg" TargetMode="External"/><Relationship Id="rId5188" Type="http://schemas.openxmlformats.org/officeDocument/2006/relationships/hyperlink" Target="https://commons.wikimedia.org/wiki/File:Un_GRAN_peque%C3%B1o.jpg" TargetMode="External"/><Relationship Id="rId1697" Type="http://schemas.openxmlformats.org/officeDocument/2006/relationships/hyperlink" Target="https://maps.google.com/?q=5.862240,-74.870470" TargetMode="External"/><Relationship Id="rId4723" Type="http://schemas.openxmlformats.org/officeDocument/2006/relationships/hyperlink" Target="https://maps.google.com/?q=4.973435,-74.288473" TargetMode="External"/><Relationship Id="rId1698" Type="http://schemas.openxmlformats.org/officeDocument/2006/relationships/hyperlink" Target="https://upload.wikimedia.org/wikipedia/commons/6/6a/Dendrobates_truncatus_2026-2.jpg" TargetMode="External"/><Relationship Id="rId4722" Type="http://schemas.openxmlformats.org/officeDocument/2006/relationships/hyperlink" Target="https://commons.wikimedia.org/wiki/File:San_Francisco,_Cundinamarca_(17922).jpg" TargetMode="External"/><Relationship Id="rId1699" Type="http://schemas.openxmlformats.org/officeDocument/2006/relationships/hyperlink" Target="https://commons.wikimedia.org/wiki/File:Dendrobates_truncatus_2026-2.jpg" TargetMode="External"/><Relationship Id="rId4725" Type="http://schemas.openxmlformats.org/officeDocument/2006/relationships/hyperlink" Target="https://commons.wikimedia.org/wiki/File:San_Francisco,_Cundinamarca_(59573).jpg" TargetMode="External"/><Relationship Id="rId4724" Type="http://schemas.openxmlformats.org/officeDocument/2006/relationships/hyperlink" Target="https://upload.wikimedia.org/wikipedia/commons/0/0c/San_Francisco%2C_Cundinamarca_%2859573%29.jpg" TargetMode="External"/><Relationship Id="rId4727" Type="http://schemas.openxmlformats.org/officeDocument/2006/relationships/hyperlink" Target="https://upload.wikimedia.org/wikipedia/commons/9/91/San_Francisco%2C_Cundinamarca_%2865266%29.jpg" TargetMode="External"/><Relationship Id="rId4726" Type="http://schemas.openxmlformats.org/officeDocument/2006/relationships/hyperlink" Target="https://maps.google.com/?q=4.977303,-74.298337" TargetMode="External"/><Relationship Id="rId4729" Type="http://schemas.openxmlformats.org/officeDocument/2006/relationships/hyperlink" Target="https://maps.google.com/?q=6.715038,-74.136398" TargetMode="External"/><Relationship Id="rId4728" Type="http://schemas.openxmlformats.org/officeDocument/2006/relationships/hyperlink" Target="https://commons.wikimedia.org/wiki/File:San_Francisco,_Cundinamarca_(65266).jpg" TargetMode="External"/><Relationship Id="rId866" Type="http://schemas.openxmlformats.org/officeDocument/2006/relationships/hyperlink" Target="https://commons.wikimedia.org/wiki/File:Calz%C3%B3n_de_b%C3%BAho.jpg" TargetMode="External"/><Relationship Id="rId865" Type="http://schemas.openxmlformats.org/officeDocument/2006/relationships/hyperlink" Target="https://upload.wikimedia.org/wikipedia/commons/0/0a/Calz%C3%B3n_de_b%C3%BAho.jpg" TargetMode="External"/><Relationship Id="rId864" Type="http://schemas.openxmlformats.org/officeDocument/2006/relationships/hyperlink" Target="https://maps.google.com/?q=4.820536,-74.401208" TargetMode="External"/><Relationship Id="rId863" Type="http://schemas.openxmlformats.org/officeDocument/2006/relationships/hyperlink" Target="https://commons.wikimedia.org/wiki/File:Callystemon.jpg" TargetMode="External"/><Relationship Id="rId869" Type="http://schemas.openxmlformats.org/officeDocument/2006/relationships/hyperlink" Target="https://upload.wikimedia.org/wikipedia/commons/9/93/Camino_cascadas_del_fin_del_mundo.jpg" TargetMode="External"/><Relationship Id="rId868" Type="http://schemas.openxmlformats.org/officeDocument/2006/relationships/hyperlink" Target="https://commons.wikimedia.org/wiki/File:Camarones_Guajira_Colombia.jpg" TargetMode="External"/><Relationship Id="rId867" Type="http://schemas.openxmlformats.org/officeDocument/2006/relationships/hyperlink" Target="https://upload.wikimedia.org/wikipedia/commons/b/b6/Camarones_Guajira_Colombia.jpg" TargetMode="External"/><Relationship Id="rId1690" Type="http://schemas.openxmlformats.org/officeDocument/2006/relationships/hyperlink" Target="https://upload.wikimedia.org/wikipedia/commons/1/1c/De_la_civilizaci%C3%B3n_a_los_cerros.jpg" TargetMode="External"/><Relationship Id="rId1691" Type="http://schemas.openxmlformats.org/officeDocument/2006/relationships/hyperlink" Target="https://commons.wikimedia.org/wiki/File:De_la_civilizaci%C3%B3n_a_los_cerros.jpg" TargetMode="External"/><Relationship Id="rId1692" Type="http://schemas.openxmlformats.org/officeDocument/2006/relationships/hyperlink" Target="https://maps.google.com/?q=11.283333,-74.183333" TargetMode="External"/><Relationship Id="rId862" Type="http://schemas.openxmlformats.org/officeDocument/2006/relationships/hyperlink" Target="https://upload.wikimedia.org/wikipedia/commons/f/f2/Callystemon.jpg" TargetMode="External"/><Relationship Id="rId1693" Type="http://schemas.openxmlformats.org/officeDocument/2006/relationships/hyperlink" Target="https://upload.wikimedia.org/wikipedia/commons/3/35/Dead_brain_coral_colony_Leptoria.jpg" TargetMode="External"/><Relationship Id="rId861" Type="http://schemas.openxmlformats.org/officeDocument/2006/relationships/hyperlink" Target="https://maps.google.com/?q=4.960986,-75.027090" TargetMode="External"/><Relationship Id="rId1694" Type="http://schemas.openxmlformats.org/officeDocument/2006/relationships/hyperlink" Target="https://commons.wikimedia.org/wiki/File:Dead_brain_coral_colony_Leptoria.jpg" TargetMode="External"/><Relationship Id="rId860" Type="http://schemas.openxmlformats.org/officeDocument/2006/relationships/hyperlink" Target="https://commons.wikimedia.org/wiki/File:Calliandra_trinervia_Benth.jpg" TargetMode="External"/><Relationship Id="rId1695" Type="http://schemas.openxmlformats.org/officeDocument/2006/relationships/hyperlink" Target="https://upload.wikimedia.org/wikipedia/commons/3/36/Delosperma_Cooperi_28_de_marzo_2025.jpg" TargetMode="External"/><Relationship Id="rId4721" Type="http://schemas.openxmlformats.org/officeDocument/2006/relationships/hyperlink" Target="https://upload.wikimedia.org/wikipedia/commons/5/54/San_Francisco%2C_Cundinamarca_%2817922%29.jpg" TargetMode="External"/><Relationship Id="rId1696" Type="http://schemas.openxmlformats.org/officeDocument/2006/relationships/hyperlink" Target="https://commons.wikimedia.org/wiki/File:Delosperma_Cooperi_28_de_marzo_2025.jpg" TargetMode="External"/><Relationship Id="rId4720" Type="http://schemas.openxmlformats.org/officeDocument/2006/relationships/hyperlink" Target="https://maps.google.com/?q=4.973558,-74.296436" TargetMode="External"/><Relationship Id="rId1686" Type="http://schemas.openxmlformats.org/officeDocument/2006/relationships/hyperlink" Target="https://commons.wikimedia.org/wiki/File:Day_In_Playa_Blanca.jpg" TargetMode="External"/><Relationship Id="rId4712" Type="http://schemas.openxmlformats.org/officeDocument/2006/relationships/hyperlink" Target="https://upload.wikimedia.org/wikipedia/commons/9/9b/San_Cipriano_pozo_cristalino.jpg" TargetMode="External"/><Relationship Id="rId1687" Type="http://schemas.openxmlformats.org/officeDocument/2006/relationships/hyperlink" Target="https://upload.wikimedia.org/wikipedia/commons/1/15/De_Monserrate_a_Guadalupe.jpg" TargetMode="External"/><Relationship Id="rId4711" Type="http://schemas.openxmlformats.org/officeDocument/2006/relationships/hyperlink" Target="https://commons.wikimedia.org/wiki/File:San_Cipriano_(5).jpg" TargetMode="External"/><Relationship Id="rId1688" Type="http://schemas.openxmlformats.org/officeDocument/2006/relationships/hyperlink" Target="https://commons.wikimedia.org/wiki/File:De_Monserrate_a_Guadalupe.jpg" TargetMode="External"/><Relationship Id="rId4714" Type="http://schemas.openxmlformats.org/officeDocument/2006/relationships/hyperlink" Target="https://maps.google.com/?q=4.972726,-74.265165" TargetMode="External"/><Relationship Id="rId1689" Type="http://schemas.openxmlformats.org/officeDocument/2006/relationships/hyperlink" Target="https://maps.google.com/?q=3.457897,-67.969261" TargetMode="External"/><Relationship Id="rId4713" Type="http://schemas.openxmlformats.org/officeDocument/2006/relationships/hyperlink" Target="https://commons.wikimedia.org/wiki/File:San_Cipriano_pozo_cristalino.jpg" TargetMode="External"/><Relationship Id="rId4716" Type="http://schemas.openxmlformats.org/officeDocument/2006/relationships/hyperlink" Target="https://commons.wikimedia.org/wiki/File:San_Francisco,_Cundinamarca.jpg" TargetMode="External"/><Relationship Id="rId4715" Type="http://schemas.openxmlformats.org/officeDocument/2006/relationships/hyperlink" Target="https://upload.wikimedia.org/wikipedia/commons/1/18/San_Francisco%2C_Cundinamarca.jpg" TargetMode="External"/><Relationship Id="rId4718" Type="http://schemas.openxmlformats.org/officeDocument/2006/relationships/hyperlink" Target="https://upload.wikimedia.org/wikipedia/commons/4/41/San_Francisco%2C_Cundinamarca_%2814634%29.jpg" TargetMode="External"/><Relationship Id="rId4717" Type="http://schemas.openxmlformats.org/officeDocument/2006/relationships/hyperlink" Target="https://maps.google.com/?q=4.979121,-74.298682" TargetMode="External"/><Relationship Id="rId4719" Type="http://schemas.openxmlformats.org/officeDocument/2006/relationships/hyperlink" Target="https://commons.wikimedia.org/wiki/File:San_Francisco,_Cundinamarca_(14634).jpg" TargetMode="External"/><Relationship Id="rId855" Type="http://schemas.openxmlformats.org/officeDocument/2006/relationships/hyperlink" Target="https://upload.wikimedia.org/wikipedia/commons/5/57/Caldas.jpg" TargetMode="External"/><Relationship Id="rId854" Type="http://schemas.openxmlformats.org/officeDocument/2006/relationships/hyperlink" Target="https://maps.google.com/?q=5.572411,-74.904481" TargetMode="External"/><Relationship Id="rId853" Type="http://schemas.openxmlformats.org/officeDocument/2006/relationships/hyperlink" Target="https://commons.wikimedia.org/wiki/File:Calaguala_(Pleopeltis_macrocarpa).jpg" TargetMode="External"/><Relationship Id="rId852" Type="http://schemas.openxmlformats.org/officeDocument/2006/relationships/hyperlink" Target="https://upload.wikimedia.org/wikipedia/commons/0/0b/Calaguala_%28Pleopeltis_macrocarpa%29.jpg" TargetMode="External"/><Relationship Id="rId859" Type="http://schemas.openxmlformats.org/officeDocument/2006/relationships/hyperlink" Target="https://upload.wikimedia.org/wikipedia/commons/6/6a/Calliandra_trinervia_Benth.jpg" TargetMode="External"/><Relationship Id="rId858" Type="http://schemas.openxmlformats.org/officeDocument/2006/relationships/hyperlink" Target="https://commons.wikimedia.org/wiki/File:Calliandra_trinervia.jpg" TargetMode="External"/><Relationship Id="rId857" Type="http://schemas.openxmlformats.org/officeDocument/2006/relationships/hyperlink" Target="https://upload.wikimedia.org/wikipedia/commons/a/a9/Calliandra_trinervia.jpg" TargetMode="External"/><Relationship Id="rId856" Type="http://schemas.openxmlformats.org/officeDocument/2006/relationships/hyperlink" Target="https://commons.wikimedia.org/wiki/File:Caldas.jpg" TargetMode="External"/><Relationship Id="rId1680" Type="http://schemas.openxmlformats.org/officeDocument/2006/relationships/hyperlink" Target="https://commons.wikimedia.org/wiki/File:Daptrius_chimachima_juvenil.jpg" TargetMode="External"/><Relationship Id="rId1681" Type="http://schemas.openxmlformats.org/officeDocument/2006/relationships/hyperlink" Target="https://upload.wikimedia.org/wikipedia/commons/4/49/Darse_en_la_cabeza.jpg" TargetMode="External"/><Relationship Id="rId851" Type="http://schemas.openxmlformats.org/officeDocument/2006/relationships/hyperlink" Target="https://commons.wikimedia.org/wiki/File:Cajeto_(Citharexylum_subflavescens).jpg" TargetMode="External"/><Relationship Id="rId1682" Type="http://schemas.openxmlformats.org/officeDocument/2006/relationships/hyperlink" Target="https://commons.wikimedia.org/wiki/File:Darse_en_la_cabeza.jpg" TargetMode="External"/><Relationship Id="rId850" Type="http://schemas.openxmlformats.org/officeDocument/2006/relationships/hyperlink" Target="https://upload.wikimedia.org/wikipedia/commons/c/c8/Cajeto_%28Citharexylum_subflavescens%29.jpg" TargetMode="External"/><Relationship Id="rId1683" Type="http://schemas.openxmlformats.org/officeDocument/2006/relationships/hyperlink" Target="https://upload.wikimedia.org/wikipedia/commons/e/e6/Dawn_at_the_commercial_port_of_Cartagena_de_Indias%2C_Bol%C3%ADvar%2C_Colombia.jpg" TargetMode="External"/><Relationship Id="rId1684" Type="http://schemas.openxmlformats.org/officeDocument/2006/relationships/hyperlink" Target="https://commons.wikimedia.org/wiki/File:Dawn_at_the_commercial_port_of_Cartagena_de_Indias,_Bol%C3%ADvar,_Colombia.jpg" TargetMode="External"/><Relationship Id="rId4710" Type="http://schemas.openxmlformats.org/officeDocument/2006/relationships/hyperlink" Target="https://upload.wikimedia.org/wikipedia/commons/c/ce/San_Cipriano_%285%29.jpg" TargetMode="External"/><Relationship Id="rId1685" Type="http://schemas.openxmlformats.org/officeDocument/2006/relationships/hyperlink" Target="https://upload.wikimedia.org/wikipedia/commons/1/13/Day_In_Playa_Blanca.jpg" TargetMode="External"/><Relationship Id="rId3414" Type="http://schemas.openxmlformats.org/officeDocument/2006/relationships/hyperlink" Target="https://maps.google.com/?q=8.070706,-74.789261" TargetMode="External"/><Relationship Id="rId4745" Type="http://schemas.openxmlformats.org/officeDocument/2006/relationships/hyperlink" Target="https://upload.wikimedia.org/wikipedia/commons/7/74/Santander_en_contraste.jpg" TargetMode="External"/><Relationship Id="rId3413" Type="http://schemas.openxmlformats.org/officeDocument/2006/relationships/hyperlink" Target="https://commons.wikimedia.org/wiki/File:Mirla_patinaranja_-_turdus_fuscater.jpg" TargetMode="External"/><Relationship Id="rId4744" Type="http://schemas.openxmlformats.org/officeDocument/2006/relationships/hyperlink" Target="https://commons.wikimedia.org/wiki/File:Santa_marta_Colombia.jpg" TargetMode="External"/><Relationship Id="rId3416" Type="http://schemas.openxmlformats.org/officeDocument/2006/relationships/hyperlink" Target="https://commons.wikimedia.org/wiki/File:Mitad_del_camino.jpg" TargetMode="External"/><Relationship Id="rId4747" Type="http://schemas.openxmlformats.org/officeDocument/2006/relationships/hyperlink" Target="https://upload.wikimedia.org/wikipedia/commons/9/9e/Santuario_de_las_Garzas.jpg" TargetMode="External"/><Relationship Id="rId3415" Type="http://schemas.openxmlformats.org/officeDocument/2006/relationships/hyperlink" Target="https://upload.wikimedia.org/wikipedia/commons/3/33/Mitad_del_camino.jpg" TargetMode="External"/><Relationship Id="rId4746" Type="http://schemas.openxmlformats.org/officeDocument/2006/relationships/hyperlink" Target="https://commons.wikimedia.org/wiki/File:Santander_en_contraste.jpg" TargetMode="External"/><Relationship Id="rId3418" Type="http://schemas.openxmlformats.org/officeDocument/2006/relationships/hyperlink" Target="https://commons.wikimedia.org/wiki/File:Mmm_que_delicia.jpg" TargetMode="External"/><Relationship Id="rId4749" Type="http://schemas.openxmlformats.org/officeDocument/2006/relationships/hyperlink" Target="https://upload.wikimedia.org/wikipedia/commons/8/84/Sapo_gigante_%28Rhinella_marina%29_en_Santander%2C_Colombia.jpg" TargetMode="External"/><Relationship Id="rId3417" Type="http://schemas.openxmlformats.org/officeDocument/2006/relationships/hyperlink" Target="https://upload.wikimedia.org/wikipedia/commons/b/b8/Mmm_que_delicia.jpg" TargetMode="External"/><Relationship Id="rId4748" Type="http://schemas.openxmlformats.org/officeDocument/2006/relationships/hyperlink" Target="https://commons.wikimedia.org/wiki/File:Santuario_de_las_Garzas.jpg" TargetMode="External"/><Relationship Id="rId3419" Type="http://schemas.openxmlformats.org/officeDocument/2006/relationships/hyperlink" Target="https://maps.google.com/?q=4.667750,-74.099940" TargetMode="External"/><Relationship Id="rId888" Type="http://schemas.openxmlformats.org/officeDocument/2006/relationships/hyperlink" Target="https://upload.wikimedia.org/wikipedia/commons/4/4e/Cantos_de_medio_d%C3%ADa.jpg" TargetMode="External"/><Relationship Id="rId887" Type="http://schemas.openxmlformats.org/officeDocument/2006/relationships/hyperlink" Target="https://commons.wikimedia.org/wiki/File:Cane_toad_(Rhinella_horribilis)_on_the_leaf-littered_forest_floor_in_Tayrona_National_Park,_2025.jpg" TargetMode="External"/><Relationship Id="rId886" Type="http://schemas.openxmlformats.org/officeDocument/2006/relationships/hyperlink" Target="https://upload.wikimedia.org/wikipedia/commons/7/75/Cane_toad_%28Rhinella_horribilis%29_on_the_leaf-littered_forest_floor_in_Tayrona_National_Park%2C_2025.jpg" TargetMode="External"/><Relationship Id="rId885" Type="http://schemas.openxmlformats.org/officeDocument/2006/relationships/hyperlink" Target="https://commons.wikimedia.org/wiki/File:Campylorhynchus_griseus_bicolor_-_Barrancabermeja,_Santander,_Colombia_-_14_Jun_2026_-_Diferoch.jpg" TargetMode="External"/><Relationship Id="rId889" Type="http://schemas.openxmlformats.org/officeDocument/2006/relationships/hyperlink" Target="https://commons.wikimedia.org/wiki/File:Cantos_de_medio_d%C3%ADa.jpg" TargetMode="External"/><Relationship Id="rId880" Type="http://schemas.openxmlformats.org/officeDocument/2006/relationships/hyperlink" Target="https://commons.wikimedia.org/wiki/File:Campo_colombiano.jpg" TargetMode="External"/><Relationship Id="rId884" Type="http://schemas.openxmlformats.org/officeDocument/2006/relationships/hyperlink" Target="https://upload.wikimedia.org/wikipedia/commons/f/f9/Campylorhynchus_griseus_bicolor_-_Barrancabermeja%2C_Santander%2C_Colombia_-_14_Jun_2026_-_Diferoch.jpg" TargetMode="External"/><Relationship Id="rId3410" Type="http://schemas.openxmlformats.org/officeDocument/2006/relationships/hyperlink" Target="https://commons.wikimedia.org/wiki/File:Mirla_patinaranja_(Turdus_fuscater)_en_el_Jard%C3%ADn_Bot%C3%A1nico_de_Bogot%C3%A1_2.jpg" TargetMode="External"/><Relationship Id="rId4741" Type="http://schemas.openxmlformats.org/officeDocument/2006/relationships/hyperlink" Target="https://upload.wikimedia.org/wikipedia/commons/2/25/Santa_Marta_3_de_febrero_de_2023.jpg" TargetMode="External"/><Relationship Id="rId883" Type="http://schemas.openxmlformats.org/officeDocument/2006/relationships/hyperlink" Target="https://maps.google.com/?q=7.096003,-73.756218" TargetMode="External"/><Relationship Id="rId4740" Type="http://schemas.openxmlformats.org/officeDocument/2006/relationships/hyperlink" Target="https://commons.wikimedia.org/wiki/File:Sangregado.jpg" TargetMode="External"/><Relationship Id="rId882" Type="http://schemas.openxmlformats.org/officeDocument/2006/relationships/hyperlink" Target="https://commons.wikimedia.org/wiki/File:Campos_de_Cundinamarca.jpg" TargetMode="External"/><Relationship Id="rId3412" Type="http://schemas.openxmlformats.org/officeDocument/2006/relationships/hyperlink" Target="https://upload.wikimedia.org/wikipedia/commons/0/08/Mirla_patinaranja_-_turdus_fuscater.jpg" TargetMode="External"/><Relationship Id="rId4743" Type="http://schemas.openxmlformats.org/officeDocument/2006/relationships/hyperlink" Target="https://upload.wikimedia.org/wikipedia/commons/9/90/Santa_marta_Colombia.jpg" TargetMode="External"/><Relationship Id="rId881" Type="http://schemas.openxmlformats.org/officeDocument/2006/relationships/hyperlink" Target="https://upload.wikimedia.org/wikipedia/commons/2/28/Campos_de_Cundinamarca.jpg" TargetMode="External"/><Relationship Id="rId3411" Type="http://schemas.openxmlformats.org/officeDocument/2006/relationships/hyperlink" Target="https://maps.google.com/?q=4.610147,-74.075608" TargetMode="External"/><Relationship Id="rId4742" Type="http://schemas.openxmlformats.org/officeDocument/2006/relationships/hyperlink" Target="https://commons.wikimedia.org/wiki/File:Santa_Marta_3_de_febrero_de_2023.jpg" TargetMode="External"/><Relationship Id="rId3403" Type="http://schemas.openxmlformats.org/officeDocument/2006/relationships/hyperlink" Target="https://upload.wikimedia.org/wikipedia/commons/4/4d/Mirasol_mexicano.jpg" TargetMode="External"/><Relationship Id="rId4734" Type="http://schemas.openxmlformats.org/officeDocument/2006/relationships/hyperlink" Target="https://upload.wikimedia.org/wikipedia/commons/e/e9/San_Pablin.jpg" TargetMode="External"/><Relationship Id="rId3402" Type="http://schemas.openxmlformats.org/officeDocument/2006/relationships/hyperlink" Target="https://maps.google.com/?q=4.732630,-74.049042" TargetMode="External"/><Relationship Id="rId4733" Type="http://schemas.openxmlformats.org/officeDocument/2006/relationships/hyperlink" Target="https://commons.wikimedia.org/wiki/File:San_Luis_de_palenque.jpg" TargetMode="External"/><Relationship Id="rId3405" Type="http://schemas.openxmlformats.org/officeDocument/2006/relationships/hyperlink" Target="https://maps.google.com/?q=4.668296,-74.097728" TargetMode="External"/><Relationship Id="rId4736" Type="http://schemas.openxmlformats.org/officeDocument/2006/relationships/hyperlink" Target="https://upload.wikimedia.org/wikipedia/commons/a/aa/San_Pedro_de_los_Milagros.jpg" TargetMode="External"/><Relationship Id="rId3404" Type="http://schemas.openxmlformats.org/officeDocument/2006/relationships/hyperlink" Target="https://commons.wikimedia.org/wiki/File:Mirasol_mexicano.jpg" TargetMode="External"/><Relationship Id="rId4735" Type="http://schemas.openxmlformats.org/officeDocument/2006/relationships/hyperlink" Target="https://commons.wikimedia.org/wiki/File:San_Pablin.jpg" TargetMode="External"/><Relationship Id="rId3407" Type="http://schemas.openxmlformats.org/officeDocument/2006/relationships/hyperlink" Target="https://commons.wikimedia.org/wiki/File:Mirla_patinaranja_(Turdus_fuscater)_en_el_Jard%C3%ADn_Bot%C3%A1nico_de_Bogot%C3%A1.jpg" TargetMode="External"/><Relationship Id="rId4738" Type="http://schemas.openxmlformats.org/officeDocument/2006/relationships/hyperlink" Target="https://maps.google.com/?q=4.968572,-74.263662" TargetMode="External"/><Relationship Id="rId3406" Type="http://schemas.openxmlformats.org/officeDocument/2006/relationships/hyperlink" Target="https://upload.wikimedia.org/wikipedia/commons/c/ce/Mirla_patinaranja_%28Turdus_fuscater%29_en_el_Jard%C3%ADn_Bot%C3%A1nico_de_Bogot%C3%A1.jpg" TargetMode="External"/><Relationship Id="rId4737" Type="http://schemas.openxmlformats.org/officeDocument/2006/relationships/hyperlink" Target="https://commons.wikimedia.org/wiki/File:San_Pedro_de_los_Milagros.jpg" TargetMode="External"/><Relationship Id="rId3409" Type="http://schemas.openxmlformats.org/officeDocument/2006/relationships/hyperlink" Target="https://upload.wikimedia.org/wikipedia/commons/2/27/Mirla_patinaranja_%28Turdus_fuscater%29_en_el_Jard%C3%ADn_Bot%C3%A1nico_de_Bogot%C3%A1_2.jpg" TargetMode="External"/><Relationship Id="rId3408" Type="http://schemas.openxmlformats.org/officeDocument/2006/relationships/hyperlink" Target="https://maps.google.com/?q=4.668296,-74.097728" TargetMode="External"/><Relationship Id="rId4739" Type="http://schemas.openxmlformats.org/officeDocument/2006/relationships/hyperlink" Target="https://upload.wikimedia.org/wikipedia/commons/c/c7/Sangregado.jpg" TargetMode="External"/><Relationship Id="rId877" Type="http://schemas.openxmlformats.org/officeDocument/2006/relationships/hyperlink" Target="https://upload.wikimedia.org/wikipedia/commons/a/a6/Campanillashuila_06.jpg" TargetMode="External"/><Relationship Id="rId876" Type="http://schemas.openxmlformats.org/officeDocument/2006/relationships/hyperlink" Target="https://commons.wikimedia.org/wiki/File:Campanilla._Thevetia_peruviana.jpg" TargetMode="External"/><Relationship Id="rId875" Type="http://schemas.openxmlformats.org/officeDocument/2006/relationships/hyperlink" Target="https://upload.wikimedia.org/wikipedia/commons/5/5e/Campanilla._Thevetia_peruviana.jpg" TargetMode="External"/><Relationship Id="rId874" Type="http://schemas.openxmlformats.org/officeDocument/2006/relationships/hyperlink" Target="https://commons.wikimedia.org/wiki/File:Campanahuila_15.jpg" TargetMode="External"/><Relationship Id="rId879" Type="http://schemas.openxmlformats.org/officeDocument/2006/relationships/hyperlink" Target="https://upload.wikimedia.org/wikipedia/commons/f/f0/Campo_colombiano.jpg" TargetMode="External"/><Relationship Id="rId878" Type="http://schemas.openxmlformats.org/officeDocument/2006/relationships/hyperlink" Target="https://commons.wikimedia.org/wiki/File:Campanillashuila_06.jpg" TargetMode="External"/><Relationship Id="rId873" Type="http://schemas.openxmlformats.org/officeDocument/2006/relationships/hyperlink" Target="https://upload.wikimedia.org/wikipedia/commons/7/75/Campanahuila_15.jpg" TargetMode="External"/><Relationship Id="rId4730" Type="http://schemas.openxmlformats.org/officeDocument/2006/relationships/hyperlink" Target="https://upload.wikimedia.org/wikipedia/commons/2/27/San_Juan_River_in_Cimitarra%2C_Santander%2C_Colombia_-_03_Oct_2025_-_Diferoch.jpg" TargetMode="External"/><Relationship Id="rId872" Type="http://schemas.openxmlformats.org/officeDocument/2006/relationships/hyperlink" Target="https://commons.wikimedia.org/wiki/File:Camino_cascadas_del_fin_del_mundo_putumayo.jpg" TargetMode="External"/><Relationship Id="rId871" Type="http://schemas.openxmlformats.org/officeDocument/2006/relationships/hyperlink" Target="https://upload.wikimedia.org/wikipedia/commons/e/e2/Camino_cascadas_del_fin_del_mundo_putumayo.jpg" TargetMode="External"/><Relationship Id="rId3401" Type="http://schemas.openxmlformats.org/officeDocument/2006/relationships/hyperlink" Target="https://commons.wikimedia.org/wiki/File:Mirando_al_Tropicario.jpg" TargetMode="External"/><Relationship Id="rId4732" Type="http://schemas.openxmlformats.org/officeDocument/2006/relationships/hyperlink" Target="https://upload.wikimedia.org/wikipedia/commons/4/45/San_Luis_de_palenque.jpg" TargetMode="External"/><Relationship Id="rId870" Type="http://schemas.openxmlformats.org/officeDocument/2006/relationships/hyperlink" Target="https://commons.wikimedia.org/wiki/File:Camino_cascadas_del_fin_del_mundo.jpg" TargetMode="External"/><Relationship Id="rId3400" Type="http://schemas.openxmlformats.org/officeDocument/2006/relationships/hyperlink" Target="https://upload.wikimedia.org/wikipedia/commons/3/35/Mirando_al_Tropicario.jpg" TargetMode="External"/><Relationship Id="rId4731" Type="http://schemas.openxmlformats.org/officeDocument/2006/relationships/hyperlink" Target="https://commons.wikimedia.org/wiki/File:San_Juan_River_in_Cimitarra,_Santander,_Colombia_-_03_Oct_2025_-_Diferoch.jpg" TargetMode="External"/><Relationship Id="rId1653" Type="http://schemas.openxmlformats.org/officeDocument/2006/relationships/hyperlink" Target="https://upload.wikimedia.org/wikipedia/commons/b/b6/Dalia_20026.jpg" TargetMode="External"/><Relationship Id="rId2984" Type="http://schemas.openxmlformats.org/officeDocument/2006/relationships/hyperlink" Target="https://maps.google.com/?q=5.628797,-73.555839" TargetMode="External"/><Relationship Id="rId1654" Type="http://schemas.openxmlformats.org/officeDocument/2006/relationships/hyperlink" Target="https://commons.wikimedia.org/wiki/File:Dalia_20026.jpg" TargetMode="External"/><Relationship Id="rId2985" Type="http://schemas.openxmlformats.org/officeDocument/2006/relationships/hyperlink" Target="https://upload.wikimedia.org/wikipedia/commons/4/47/Laguna_de_hojas.jpg" TargetMode="External"/><Relationship Id="rId1655" Type="http://schemas.openxmlformats.org/officeDocument/2006/relationships/hyperlink" Target="https://upload.wikimedia.org/wikipedia/commons/8/80/Dalia_2026.jpg" TargetMode="External"/><Relationship Id="rId2986" Type="http://schemas.openxmlformats.org/officeDocument/2006/relationships/hyperlink" Target="https://commons.wikimedia.org/wiki/File:Laguna_de_hojas.jpg" TargetMode="External"/><Relationship Id="rId1656" Type="http://schemas.openxmlformats.org/officeDocument/2006/relationships/hyperlink" Target="https://commons.wikimedia.org/wiki/File:Dalia_2026.jpg" TargetMode="External"/><Relationship Id="rId2987" Type="http://schemas.openxmlformats.org/officeDocument/2006/relationships/hyperlink" Target="https://upload.wikimedia.org/wikipedia/commons/0/07/Laguna_de_la_cocha_tormentosa_y_caudalosa.jpg" TargetMode="External"/><Relationship Id="rId1657" Type="http://schemas.openxmlformats.org/officeDocument/2006/relationships/hyperlink" Target="https://upload.wikimedia.org/wikipedia/commons/c/cf/Dalia_de_gallo_%28Dahlia_tenuicaulis%29.jpg" TargetMode="External"/><Relationship Id="rId2988" Type="http://schemas.openxmlformats.org/officeDocument/2006/relationships/hyperlink" Target="https://commons.wikimedia.org/wiki/File:Laguna_de_la_cocha_tormentosa_y_caudalosa.jpg" TargetMode="External"/><Relationship Id="rId1658" Type="http://schemas.openxmlformats.org/officeDocument/2006/relationships/hyperlink" Target="https://commons.wikimedia.org/wiki/File:Dalia_de_gallo_(Dahlia_tenuicaulis).jpg" TargetMode="External"/><Relationship Id="rId2989" Type="http://schemas.openxmlformats.org/officeDocument/2006/relationships/hyperlink" Target="https://upload.wikimedia.org/wikipedia/commons/9/9e/Laguna_de_tota.jpg" TargetMode="External"/><Relationship Id="rId1659" Type="http://schemas.openxmlformats.org/officeDocument/2006/relationships/hyperlink" Target="https://upload.wikimedia.org/wikipedia/commons/3/3c/Dalia_doble.jpg" TargetMode="External"/><Relationship Id="rId829" Type="http://schemas.openxmlformats.org/officeDocument/2006/relationships/hyperlink" Target="https://upload.wikimedia.org/wikipedia/commons/5/50/Cactus_blanco%2C_Colombia.jpg" TargetMode="External"/><Relationship Id="rId828" Type="http://schemas.openxmlformats.org/officeDocument/2006/relationships/hyperlink" Target="https://maps.google.com/?q=4.690000,-74.061000" TargetMode="External"/><Relationship Id="rId827" Type="http://schemas.openxmlformats.org/officeDocument/2006/relationships/hyperlink" Target="https://commons.wikimedia.org/wiki/File:Cabritos_acostados.jpg" TargetMode="External"/><Relationship Id="rId822" Type="http://schemas.openxmlformats.org/officeDocument/2006/relationships/hyperlink" Target="https://upload.wikimedia.org/wikipedia/commons/0/0a/Cabo_de_la_vela_mirador_del_pil%C3%B3n_de_az%C3%BAcar.jpg" TargetMode="External"/><Relationship Id="rId821" Type="http://schemas.openxmlformats.org/officeDocument/2006/relationships/hyperlink" Target="https://commons.wikimedia.org/wiki/File:Cabo_de_la_vela_ascenso_al_pil%C3%B3n_de_az%C3%BAcar.jpg" TargetMode="External"/><Relationship Id="rId820" Type="http://schemas.openxmlformats.org/officeDocument/2006/relationships/hyperlink" Target="https://upload.wikimedia.org/wikipedia/commons/0/07/Cabo_de_la_vela_ascenso_al_pil%C3%B3n_de_az%C3%BAcar.jpg" TargetMode="External"/><Relationship Id="rId826" Type="http://schemas.openxmlformats.org/officeDocument/2006/relationships/hyperlink" Target="https://upload.wikimedia.org/wikipedia/commons/f/f9/Cabritos_acostados.jpg" TargetMode="External"/><Relationship Id="rId825" Type="http://schemas.openxmlformats.org/officeDocument/2006/relationships/hyperlink" Target="https://commons.wikimedia.org/wiki/File:Cabo_de_la_vela_playa_del_pil%C3%B3n_de_az%C3%BAcar.jpg" TargetMode="External"/><Relationship Id="rId824" Type="http://schemas.openxmlformats.org/officeDocument/2006/relationships/hyperlink" Target="https://upload.wikimedia.org/wikipedia/commons/4/46/Cabo_de_la_vela_playa_del_pil%C3%B3n_de_az%C3%BAcar.jpg" TargetMode="External"/><Relationship Id="rId823" Type="http://schemas.openxmlformats.org/officeDocument/2006/relationships/hyperlink" Target="https://commons.wikimedia.org/wiki/File:Cabo_de_la_vela_mirador_del_pil%C3%B3n_de_az%C3%BAcar.jpg" TargetMode="External"/><Relationship Id="rId2980" Type="http://schemas.openxmlformats.org/officeDocument/2006/relationships/hyperlink" Target="https://upload.wikimedia.org/wikipedia/commons/7/79/Laguna_de_Iguaque_Boyac%C3%A1.jpg" TargetMode="External"/><Relationship Id="rId1650" Type="http://schemas.openxmlformats.org/officeDocument/2006/relationships/hyperlink" Target="https://commons.wikimedia.org/wiki/File:C%C3%A1%C3%B1amo_de_Mauricio_(Furcraea_foetida).jpg" TargetMode="External"/><Relationship Id="rId2981" Type="http://schemas.openxmlformats.org/officeDocument/2006/relationships/hyperlink" Target="https://commons.wikimedia.org/wiki/File:Laguna_de_Iguaque_Boyac%C3%A1.jpg" TargetMode="External"/><Relationship Id="rId1651" Type="http://schemas.openxmlformats.org/officeDocument/2006/relationships/hyperlink" Target="https://upload.wikimedia.org/wikipedia/commons/8/8c/C%C3%B3ndor_andino_%28Vultur_gryphus%29_en_el_Parque_Nacional_Natural_Chingaza.jpg" TargetMode="External"/><Relationship Id="rId2982" Type="http://schemas.openxmlformats.org/officeDocument/2006/relationships/hyperlink" Target="https://upload.wikimedia.org/wikipedia/commons/9/9b/Laguna_de_Ortices_-_Santander.jpg" TargetMode="External"/><Relationship Id="rId1652" Type="http://schemas.openxmlformats.org/officeDocument/2006/relationships/hyperlink" Target="https://commons.wikimedia.org/wiki/File:C%C3%B3ndor_andino_(Vultur_gryphus)_en_el_Parque_Nacional_Natural_Chingaza.jpg" TargetMode="External"/><Relationship Id="rId2983" Type="http://schemas.openxmlformats.org/officeDocument/2006/relationships/hyperlink" Target="https://commons.wikimedia.org/wiki/File:Laguna_de_Ortices_-_Santander.jpg" TargetMode="External"/><Relationship Id="rId1642" Type="http://schemas.openxmlformats.org/officeDocument/2006/relationships/hyperlink" Target="https://commons.wikimedia.org/wiki/File:Curso_del_R%C3%ADo_In%C3%ADrida_en_la_Reserva_Nacional_Natural_Puinawai,_Guain%C3%ADa_20.jpg" TargetMode="External"/><Relationship Id="rId2973" Type="http://schemas.openxmlformats.org/officeDocument/2006/relationships/hyperlink" Target="https://upload.wikimedia.org/wikipedia/commons/9/9d/Laguna_cocuy.jpg" TargetMode="External"/><Relationship Id="rId1643" Type="http://schemas.openxmlformats.org/officeDocument/2006/relationships/hyperlink" Target="https://upload.wikimedia.org/wikipedia/commons/7/7b/Curso_del_R%C3%ADo_In%C3%ADrida_en_la_Reserva_Nacional_Natural_Puinawai%2C_Guain%C3%ADa_21.jpg" TargetMode="External"/><Relationship Id="rId2974" Type="http://schemas.openxmlformats.org/officeDocument/2006/relationships/hyperlink" Target="https://commons.wikimedia.org/wiki/File:Laguna_cocuy.jpg" TargetMode="External"/><Relationship Id="rId1644" Type="http://schemas.openxmlformats.org/officeDocument/2006/relationships/hyperlink" Target="https://commons.wikimedia.org/wiki/File:Curso_del_R%C3%ADo_In%C3%ADrida_en_la_Reserva_Nacional_Natural_Puinawai,_Guain%C3%ADa_21.jpg" TargetMode="External"/><Relationship Id="rId2975" Type="http://schemas.openxmlformats.org/officeDocument/2006/relationships/hyperlink" Target="https://upload.wikimedia.org/wikipedia/commons/4/41/Laguna_de_Chingaza.jpg" TargetMode="External"/><Relationship Id="rId1645" Type="http://schemas.openxmlformats.org/officeDocument/2006/relationships/hyperlink" Target="https://upload.wikimedia.org/wikipedia/commons/f/fb/Curso_del_R%C3%ADo_Magdalena_entre_sistemas_monta%C3%B1osos.jpg" TargetMode="External"/><Relationship Id="rId2976" Type="http://schemas.openxmlformats.org/officeDocument/2006/relationships/hyperlink" Target="https://commons.wikimedia.org/wiki/File:Laguna_de_Chingaza.jpg" TargetMode="External"/><Relationship Id="rId1646" Type="http://schemas.openxmlformats.org/officeDocument/2006/relationships/hyperlink" Target="https://commons.wikimedia.org/wiki/File:Curso_del_R%C3%ADo_Magdalena_entre_sistemas_monta%C3%B1osos.jpg" TargetMode="External"/><Relationship Id="rId2977" Type="http://schemas.openxmlformats.org/officeDocument/2006/relationships/hyperlink" Target="https://maps.google.com/?q=1.960833,-76.073889" TargetMode="External"/><Relationship Id="rId1647" Type="http://schemas.openxmlformats.org/officeDocument/2006/relationships/hyperlink" Target="https://upload.wikimedia.org/wikipedia/commons/f/fd/C%C3%A1scara_papir%C3%A1cea_de_uchuva_seco_e_intacto.jpg" TargetMode="External"/><Relationship Id="rId2978" Type="http://schemas.openxmlformats.org/officeDocument/2006/relationships/hyperlink" Target="https://upload.wikimedia.org/wikipedia/commons/0/0c/Laguna_de_Guaitip%C3%A1n%2C_near_Pitalito%2C_Huila%2C_2025.jpg" TargetMode="External"/><Relationship Id="rId1648" Type="http://schemas.openxmlformats.org/officeDocument/2006/relationships/hyperlink" Target="https://commons.wikimedia.org/wiki/File:C%C3%A1scara_papir%C3%A1cea_de_uchuva_seco_e_intacto.jpg" TargetMode="External"/><Relationship Id="rId2979" Type="http://schemas.openxmlformats.org/officeDocument/2006/relationships/hyperlink" Target="https://commons.wikimedia.org/wiki/File:Laguna_de_Guaitip%C3%A1n,_near_Pitalito,_Huila,_2025.jpg" TargetMode="External"/><Relationship Id="rId1649" Type="http://schemas.openxmlformats.org/officeDocument/2006/relationships/hyperlink" Target="https://upload.wikimedia.org/wikipedia/commons/6/63/C%C3%A1%C3%B1amo_de_Mauricio_%28Furcraea_foetida%29.jpg" TargetMode="External"/><Relationship Id="rId819" Type="http://schemas.openxmlformats.org/officeDocument/2006/relationships/hyperlink" Target="https://commons.wikimedia.org/wiki/File:Cabo_de_la_Vela_Guajira_Colombia_Caserio.jpg" TargetMode="External"/><Relationship Id="rId818" Type="http://schemas.openxmlformats.org/officeDocument/2006/relationships/hyperlink" Target="https://upload.wikimedia.org/wikipedia/commons/0/06/Cabo_de_la_Vela_Guajira_Colombia_Caserio.jpg" TargetMode="External"/><Relationship Id="rId817" Type="http://schemas.openxmlformats.org/officeDocument/2006/relationships/hyperlink" Target="https://commons.wikimedia.org/wiki/File:Cabo_de_la_Vela,_Guajira.jpg" TargetMode="External"/><Relationship Id="rId816" Type="http://schemas.openxmlformats.org/officeDocument/2006/relationships/hyperlink" Target="https://upload.wikimedia.org/wikipedia/commons/9/97/Cabo_de_la_Vela%2C_Guajira.jpg" TargetMode="External"/><Relationship Id="rId811" Type="http://schemas.openxmlformats.org/officeDocument/2006/relationships/hyperlink" Target="https://commons.wikimedia.org/wiki/File:Cabo_San_Juan_Rocky_View_(2024).jpg" TargetMode="External"/><Relationship Id="rId810" Type="http://schemas.openxmlformats.org/officeDocument/2006/relationships/hyperlink" Target="https://upload.wikimedia.org/wikipedia/commons/b/b0/Cabo_San_Juan_Rocky_View_%282024%29.jpg" TargetMode="External"/><Relationship Id="rId815" Type="http://schemas.openxmlformats.org/officeDocument/2006/relationships/hyperlink" Target="https://commons.wikimedia.org/wiki/File:Cabo_Tiburon_en_Frontera_entre_Colombia_y_Panama.jpg" TargetMode="External"/><Relationship Id="rId814" Type="http://schemas.openxmlformats.org/officeDocument/2006/relationships/hyperlink" Target="https://upload.wikimedia.org/wikipedia/commons/8/87/Cabo_Tiburon_en_Frontera_entre_Colombia_y_Panama.jpg" TargetMode="External"/><Relationship Id="rId813" Type="http://schemas.openxmlformats.org/officeDocument/2006/relationships/hyperlink" Target="https://commons.wikimedia.org/wiki/File:Cabo_San_Juan_Splashing_Rock_(2024).jpg" TargetMode="External"/><Relationship Id="rId812" Type="http://schemas.openxmlformats.org/officeDocument/2006/relationships/hyperlink" Target="https://upload.wikimedia.org/wikipedia/commons/6/68/Cabo_San_Juan_Splashing_Rock_%282024%29.jpg" TargetMode="External"/><Relationship Id="rId2970" Type="http://schemas.openxmlformats.org/officeDocument/2006/relationships/hyperlink" Target="https://upload.wikimedia.org/wikipedia/commons/2/26/Laguna_chico_en_Bogot%C3%A1.jpg" TargetMode="External"/><Relationship Id="rId1640" Type="http://schemas.openxmlformats.org/officeDocument/2006/relationships/hyperlink" Target="https://maps.google.com/?q=2.266171,-69.918742" TargetMode="External"/><Relationship Id="rId2971" Type="http://schemas.openxmlformats.org/officeDocument/2006/relationships/hyperlink" Target="https://commons.wikimedia.org/wiki/File:Laguna_chico_en_Bogot%C3%A1.jpg" TargetMode="External"/><Relationship Id="rId1641" Type="http://schemas.openxmlformats.org/officeDocument/2006/relationships/hyperlink" Target="https://upload.wikimedia.org/wikipedia/commons/1/1c/Curso_del_R%C3%ADo_In%C3%ADrida_en_la_Reserva_Nacional_Natural_Puinawai%2C_Guain%C3%ADa_20.jpg" TargetMode="External"/><Relationship Id="rId2972" Type="http://schemas.openxmlformats.org/officeDocument/2006/relationships/hyperlink" Target="https://maps.google.com/?q=6.397117,-72.317877" TargetMode="External"/><Relationship Id="rId1675" Type="http://schemas.openxmlformats.org/officeDocument/2006/relationships/hyperlink" Target="https://commons.wikimedia.org/wiki/File:Danza_Colgante.jpg" TargetMode="External"/><Relationship Id="rId4701" Type="http://schemas.openxmlformats.org/officeDocument/2006/relationships/hyperlink" Target="https://commons.wikimedia.org/wiki/File:Salto_del_Tequendama_27_de_agosto.jpg" TargetMode="External"/><Relationship Id="rId1676" Type="http://schemas.openxmlformats.org/officeDocument/2006/relationships/hyperlink" Target="https://maps.google.com/?q=7.085000,-73.863883" TargetMode="External"/><Relationship Id="rId4700" Type="http://schemas.openxmlformats.org/officeDocument/2006/relationships/hyperlink" Target="https://upload.wikimedia.org/wikipedia/commons/a/a0/Salto_del_Tequendama_27_de_agosto.jpg" TargetMode="External"/><Relationship Id="rId1677" Type="http://schemas.openxmlformats.org/officeDocument/2006/relationships/hyperlink" Target="https://upload.wikimedia.org/wikipedia/commons/a/a8/Daptrius_chimachima_cordatus_-_Barrancabermeja%2C_Santander%2C_Colombia_-_01_Jul_2026_-_Diferoch.jpg" TargetMode="External"/><Relationship Id="rId4703" Type="http://schemas.openxmlformats.org/officeDocument/2006/relationships/hyperlink" Target="https://commons.wikimedia.org/wiki/File:Salvia_20260529_091831.jpg" TargetMode="External"/><Relationship Id="rId1678" Type="http://schemas.openxmlformats.org/officeDocument/2006/relationships/hyperlink" Target="https://commons.wikimedia.org/wiki/File:Daptrius_chimachima_cordatus_-_Barrancabermeja,_Santander,_Colombia_-_01_Jul_2026_-_Diferoch.jpg" TargetMode="External"/><Relationship Id="rId4702" Type="http://schemas.openxmlformats.org/officeDocument/2006/relationships/hyperlink" Target="https://upload.wikimedia.org/wikipedia/commons/a/a5/Salvia_20260529_091831.jpg" TargetMode="External"/><Relationship Id="rId1679" Type="http://schemas.openxmlformats.org/officeDocument/2006/relationships/hyperlink" Target="https://upload.wikimedia.org/wikipedia/commons/c/c6/Daptrius_chimachima_juvenil.jpg" TargetMode="External"/><Relationship Id="rId4705" Type="http://schemas.openxmlformats.org/officeDocument/2006/relationships/hyperlink" Target="https://commons.wikimedia.org/wiki/File:Salvinia_sp._and_Myriophyllum_aquaticum.jpg" TargetMode="External"/><Relationship Id="rId4704" Type="http://schemas.openxmlformats.org/officeDocument/2006/relationships/hyperlink" Target="https://upload.wikimedia.org/wikipedia/commons/b/b6/Salvinia_sp._and_Myriophyllum_aquaticum.jpg" TargetMode="External"/><Relationship Id="rId4707" Type="http://schemas.openxmlformats.org/officeDocument/2006/relationships/hyperlink" Target="https://commons.wikimedia.org/wiki/File:San_Andres_Isla.jpg" TargetMode="External"/><Relationship Id="rId4706" Type="http://schemas.openxmlformats.org/officeDocument/2006/relationships/hyperlink" Target="https://upload.wikimedia.org/wikipedia/commons/8/80/San_Andres_Isla.jpg" TargetMode="External"/><Relationship Id="rId4709" Type="http://schemas.openxmlformats.org/officeDocument/2006/relationships/hyperlink" Target="https://commons.wikimedia.org/wiki/File:San_Andres_islas.jpg" TargetMode="External"/><Relationship Id="rId4708" Type="http://schemas.openxmlformats.org/officeDocument/2006/relationships/hyperlink" Target="https://upload.wikimedia.org/wikipedia/commons/5/5d/San_Andres_islas.jpg" TargetMode="External"/><Relationship Id="rId849" Type="http://schemas.openxmlformats.org/officeDocument/2006/relationships/hyperlink" Target="https://commons.wikimedia.org/wiki/File:Caim%C3%A1n_llanero_(Crocodylus_intermedius)_tomando_el_sol_en_Casanare,_Colombia.jpg" TargetMode="External"/><Relationship Id="rId844" Type="http://schemas.openxmlformats.org/officeDocument/2006/relationships/hyperlink" Target="https://commons.wikimedia.org/wiki/File:Caim%C3%A1n_Caucano.jpg" TargetMode="External"/><Relationship Id="rId843" Type="http://schemas.openxmlformats.org/officeDocument/2006/relationships/hyperlink" Target="https://upload.wikimedia.org/wikipedia/commons/8/87/Caim%C3%A1n_Caucano.jpg" TargetMode="External"/><Relationship Id="rId842" Type="http://schemas.openxmlformats.org/officeDocument/2006/relationships/hyperlink" Target="https://commons.wikimedia.org/wiki/File:Cafetos_20260530_124600.jpg" TargetMode="External"/><Relationship Id="rId841" Type="http://schemas.openxmlformats.org/officeDocument/2006/relationships/hyperlink" Target="https://upload.wikimedia.org/wikipedia/commons/a/a3/Cafetos_20260530_124600.jpg" TargetMode="External"/><Relationship Id="rId848" Type="http://schemas.openxmlformats.org/officeDocument/2006/relationships/hyperlink" Target="https://upload.wikimedia.org/wikipedia/commons/e/ea/Caim%C3%A1n_llanero_%28Crocodylus_intermedius%29_tomando_el_sol_en_Casanare%2C_Colombia.jpg" TargetMode="External"/><Relationship Id="rId847" Type="http://schemas.openxmlformats.org/officeDocument/2006/relationships/hyperlink" Target="https://commons.wikimedia.org/wiki/File:Caim%C3%A1n_en_el_lago_de_las_garzas.jpg" TargetMode="External"/><Relationship Id="rId846" Type="http://schemas.openxmlformats.org/officeDocument/2006/relationships/hyperlink" Target="https://upload.wikimedia.org/wikipedia/commons/9/96/Caim%C3%A1n_en_el_lago_de_las_garzas.jpg" TargetMode="External"/><Relationship Id="rId845" Type="http://schemas.openxmlformats.org/officeDocument/2006/relationships/hyperlink" Target="https://maps.google.com/?q=9.134017,-76.179847" TargetMode="External"/><Relationship Id="rId1670" Type="http://schemas.openxmlformats.org/officeDocument/2006/relationships/hyperlink" Target="https://commons.wikimedia.org/wiki/File:Dalia_y_abeja_2.jpg" TargetMode="External"/><Relationship Id="rId840" Type="http://schemas.openxmlformats.org/officeDocument/2006/relationships/hyperlink" Target="https://commons.wikimedia.org/wiki/File:Cadillo_rocero.jpg" TargetMode="External"/><Relationship Id="rId1671" Type="http://schemas.openxmlformats.org/officeDocument/2006/relationships/hyperlink" Target="https://upload.wikimedia.org/wikipedia/commons/9/98/Danaus_erippus_-_Mariposa_monarca.jpg" TargetMode="External"/><Relationship Id="rId1672" Type="http://schemas.openxmlformats.org/officeDocument/2006/relationships/hyperlink" Target="https://commons.wikimedia.org/wiki/File:Danaus_erippus_-_Mariposa_monarca.jpg" TargetMode="External"/><Relationship Id="rId1673" Type="http://schemas.openxmlformats.org/officeDocument/2006/relationships/hyperlink" Target="https://maps.google.com/?q=4.594490,-74.070340" TargetMode="External"/><Relationship Id="rId1674" Type="http://schemas.openxmlformats.org/officeDocument/2006/relationships/hyperlink" Target="https://upload.wikimedia.org/wikipedia/commons/8/89/Danza_Colgante.jpg" TargetMode="External"/><Relationship Id="rId1664" Type="http://schemas.openxmlformats.org/officeDocument/2006/relationships/hyperlink" Target="https://upload.wikimedia.org/wikipedia/commons/6/61/Dalia_silvestre_%2835311%29.jpg" TargetMode="External"/><Relationship Id="rId2995" Type="http://schemas.openxmlformats.org/officeDocument/2006/relationships/hyperlink" Target="https://upload.wikimedia.org/wikipedia/commons/5/5f/Laguna_glacial_del_Ruiz_bajo_el_manto_de_niebla_andina.jpg" TargetMode="External"/><Relationship Id="rId1665" Type="http://schemas.openxmlformats.org/officeDocument/2006/relationships/hyperlink" Target="https://commons.wikimedia.org/wiki/File:Dalia_silvestre_(35311).jpg" TargetMode="External"/><Relationship Id="rId2996" Type="http://schemas.openxmlformats.org/officeDocument/2006/relationships/hyperlink" Target="https://commons.wikimedia.org/wiki/File:Laguna_glacial_del_Ruiz_bajo_el_manto_de_niebla_andina.jpg" TargetMode="External"/><Relationship Id="rId1666" Type="http://schemas.openxmlformats.org/officeDocument/2006/relationships/hyperlink" Target="https://upload.wikimedia.org/wikipedia/commons/a/a8/Dalia_y_abeja.jpg" TargetMode="External"/><Relationship Id="rId2997" Type="http://schemas.openxmlformats.org/officeDocument/2006/relationships/hyperlink" Target="https://upload.wikimedia.org/wikipedia/commons/b/ba/Laguna_glacial_y_macizo_rocoso_bajo_la_niebla_en_Sumapaz.jpg" TargetMode="External"/><Relationship Id="rId1667" Type="http://schemas.openxmlformats.org/officeDocument/2006/relationships/hyperlink" Target="https://commons.wikimedia.org/wiki/File:Dalia_y_abeja.jpg" TargetMode="External"/><Relationship Id="rId2998" Type="http://schemas.openxmlformats.org/officeDocument/2006/relationships/hyperlink" Target="https://commons.wikimedia.org/wiki/File:Laguna_glacial_y_macizo_rocoso_bajo_la_niebla_en_Sumapaz.jpg" TargetMode="External"/><Relationship Id="rId1668" Type="http://schemas.openxmlformats.org/officeDocument/2006/relationships/hyperlink" Target="https://maps.google.com/?q=4.172187,-74.146794" TargetMode="External"/><Relationship Id="rId2999" Type="http://schemas.openxmlformats.org/officeDocument/2006/relationships/hyperlink" Target="https://maps.google.com/?q=6.397117,-72.317877" TargetMode="External"/><Relationship Id="rId1669" Type="http://schemas.openxmlformats.org/officeDocument/2006/relationships/hyperlink" Target="https://upload.wikimedia.org/wikipedia/commons/b/be/Dalia_y_abeja_2.jpg" TargetMode="External"/><Relationship Id="rId839" Type="http://schemas.openxmlformats.org/officeDocument/2006/relationships/hyperlink" Target="https://upload.wikimedia.org/wikipedia/commons/3/36/Cadillo_rocero.jpg" TargetMode="External"/><Relationship Id="rId838" Type="http://schemas.openxmlformats.org/officeDocument/2006/relationships/hyperlink" Target="https://commons.wikimedia.org/wiki/File:Cactus_orquidea,_Colombia.jpg" TargetMode="External"/><Relationship Id="rId833" Type="http://schemas.openxmlformats.org/officeDocument/2006/relationships/hyperlink" Target="https://commons.wikimedia.org/wiki/File:Cactus_cabecinegro_en_Los_Hoyos.jpg" TargetMode="External"/><Relationship Id="rId832" Type="http://schemas.openxmlformats.org/officeDocument/2006/relationships/hyperlink" Target="https://upload.wikimedia.org/wikipedia/commons/e/e8/Cactus_cabecinegro_en_Los_Hoyos.jpg" TargetMode="External"/><Relationship Id="rId831" Type="http://schemas.openxmlformats.org/officeDocument/2006/relationships/hyperlink" Target="https://maps.google.com/?q=3.237648,-75.118296" TargetMode="External"/><Relationship Id="rId830" Type="http://schemas.openxmlformats.org/officeDocument/2006/relationships/hyperlink" Target="https://commons.wikimedia.org/wiki/File:Cactus_blanco,_Colombia.jpg" TargetMode="External"/><Relationship Id="rId837" Type="http://schemas.openxmlformats.org/officeDocument/2006/relationships/hyperlink" Target="https://upload.wikimedia.org/wikipedia/commons/d/d4/Cactus_orquidea%2C_Colombia.jpg" TargetMode="External"/><Relationship Id="rId836" Type="http://schemas.openxmlformats.org/officeDocument/2006/relationships/hyperlink" Target="https://maps.google.com/?q=4.840000,-73.880000" TargetMode="External"/><Relationship Id="rId835" Type="http://schemas.openxmlformats.org/officeDocument/2006/relationships/hyperlink" Target="https://commons.wikimedia.org/wiki/File:Cactus_globular_entre_formaciones_rocosas_en_Los_Hoyos.jpg" TargetMode="External"/><Relationship Id="rId834" Type="http://schemas.openxmlformats.org/officeDocument/2006/relationships/hyperlink" Target="https://upload.wikimedia.org/wikipedia/commons/a/a0/Cactus_globular_entre_formaciones_rocosas_en_Los_Hoyos.jpg" TargetMode="External"/><Relationship Id="rId2990" Type="http://schemas.openxmlformats.org/officeDocument/2006/relationships/hyperlink" Target="https://commons.wikimedia.org/wiki/File:Laguna_de_tota.jpg" TargetMode="External"/><Relationship Id="rId1660" Type="http://schemas.openxmlformats.org/officeDocument/2006/relationships/hyperlink" Target="https://commons.wikimedia.org/wiki/File:Dalia_doble.jpg" TargetMode="External"/><Relationship Id="rId2991" Type="http://schemas.openxmlformats.org/officeDocument/2006/relationships/hyperlink" Target="https://upload.wikimedia.org/wikipedia/commons/7/7c/Laguna_del_Amor.jpg" TargetMode="External"/><Relationship Id="rId1661" Type="http://schemas.openxmlformats.org/officeDocument/2006/relationships/hyperlink" Target="https://maps.google.com/?q=4.975199,-74.304805" TargetMode="External"/><Relationship Id="rId2992" Type="http://schemas.openxmlformats.org/officeDocument/2006/relationships/hyperlink" Target="https://commons.wikimedia.org/wiki/File:Laguna_del_Amor.jpg" TargetMode="External"/><Relationship Id="rId1662" Type="http://schemas.openxmlformats.org/officeDocument/2006/relationships/hyperlink" Target="https://upload.wikimedia.org/wikipedia/commons/d/d4/Dalia_silvestre.jpg" TargetMode="External"/><Relationship Id="rId2993" Type="http://schemas.openxmlformats.org/officeDocument/2006/relationships/hyperlink" Target="https://upload.wikimedia.org/wikipedia/commons/5/52/Laguna_en_el_Parque_Nacional_Natural_El_Cocuy.jpg" TargetMode="External"/><Relationship Id="rId1663" Type="http://schemas.openxmlformats.org/officeDocument/2006/relationships/hyperlink" Target="https://commons.wikimedia.org/wiki/File:Dalia_silvestre.jpg" TargetMode="External"/><Relationship Id="rId2994" Type="http://schemas.openxmlformats.org/officeDocument/2006/relationships/hyperlink" Target="https://commons.wikimedia.org/wiki/File:Laguna_en_el_Parque_Nacional_Natural_El_Cocuy.jpg" TargetMode="External"/><Relationship Id="rId2148" Type="http://schemas.openxmlformats.org/officeDocument/2006/relationships/hyperlink" Target="https://upload.wikimedia.org/wikipedia/commons/8/87/Filodendro1.jpg" TargetMode="External"/><Relationship Id="rId2149" Type="http://schemas.openxmlformats.org/officeDocument/2006/relationships/hyperlink" Target="https://commons.wikimedia.org/wiki/File:Filodendro1.jpg" TargetMode="External"/><Relationship Id="rId3479" Type="http://schemas.openxmlformats.org/officeDocument/2006/relationships/hyperlink" Target="https://maps.google.com/?q=5.714889,-75.306350" TargetMode="External"/><Relationship Id="rId3470" Type="http://schemas.openxmlformats.org/officeDocument/2006/relationships/hyperlink" Target="https://commons.wikimedia.org/wiki/File:Monochaetum_vulcanicum_rosa.jpg" TargetMode="External"/><Relationship Id="rId2140" Type="http://schemas.openxmlformats.org/officeDocument/2006/relationships/hyperlink" Target="https://commons.wikimedia.org/wiki/File:Fauna_y_Flora_Boyacense.jpg" TargetMode="External"/><Relationship Id="rId3472" Type="http://schemas.openxmlformats.org/officeDocument/2006/relationships/hyperlink" Target="https://commons.wikimedia.org/wiki/File:Monos_titis.jpg" TargetMode="External"/><Relationship Id="rId2141" Type="http://schemas.openxmlformats.org/officeDocument/2006/relationships/hyperlink" Target="https://upload.wikimedia.org/wikipedia/commons/3/34/Female_Megasoma_mars_on_the_beach_of_Nuqu%C3%AD%2C_Choc%C3%B3%2C_Colombia.jpg" TargetMode="External"/><Relationship Id="rId3471" Type="http://schemas.openxmlformats.org/officeDocument/2006/relationships/hyperlink" Target="https://upload.wikimedia.org/wikipedia/commons/a/ae/Monos_titis.jpg" TargetMode="External"/><Relationship Id="rId2142" Type="http://schemas.openxmlformats.org/officeDocument/2006/relationships/hyperlink" Target="https://commons.wikimedia.org/wiki/File:Female_Megasoma_mars_on_the_beach_of_Nuqu%C3%AD,_Choc%C3%B3,_Colombia.jpg" TargetMode="External"/><Relationship Id="rId3474" Type="http://schemas.openxmlformats.org/officeDocument/2006/relationships/hyperlink" Target="https://commons.wikimedia.org/wiki/File:Monserrate,_Bogot%C3%A1,_teleferico.jpg" TargetMode="External"/><Relationship Id="rId2143" Type="http://schemas.openxmlformats.org/officeDocument/2006/relationships/hyperlink" Target="https://upload.wikimedia.org/wikipedia/commons/b/b1/Female_golden_silk_orb-weaver_%28Trichonephila_clavipes%29_in_its_web%2C_2025.jpg" TargetMode="External"/><Relationship Id="rId3473" Type="http://schemas.openxmlformats.org/officeDocument/2006/relationships/hyperlink" Target="https://upload.wikimedia.org/wikipedia/commons/e/e6/Monserrate%2C_Bogot%C3%A1%2C_teleferico.jpg" TargetMode="External"/><Relationship Id="rId2144" Type="http://schemas.openxmlformats.org/officeDocument/2006/relationships/hyperlink" Target="https://commons.wikimedia.org/wiki/File:Female_golden_silk_orb-weaver_(Trichonephila_clavipes)_in_its_web,_2025.jpg" TargetMode="External"/><Relationship Id="rId3476" Type="http://schemas.openxmlformats.org/officeDocument/2006/relationships/hyperlink" Target="https://commons.wikimedia.org/wiki/File:Monserrate,_vista_desde_la_iglesia.jpg" TargetMode="External"/><Relationship Id="rId2145" Type="http://schemas.openxmlformats.org/officeDocument/2006/relationships/hyperlink" Target="https://upload.wikimedia.org/wikipedia/commons/9/93/Fen%C3%B3meno_%C3%B3ptico_de_Gloria_o_Espectro_de_Brocken_en_Sumapaz.jpg" TargetMode="External"/><Relationship Id="rId3475" Type="http://schemas.openxmlformats.org/officeDocument/2006/relationships/hyperlink" Target="https://upload.wikimedia.org/wikipedia/commons/2/27/Monserrate%2C_vista_desde_la_iglesia.jpg" TargetMode="External"/><Relationship Id="rId2146" Type="http://schemas.openxmlformats.org/officeDocument/2006/relationships/hyperlink" Target="https://commons.wikimedia.org/wiki/File:Fen%C3%B3meno_%C3%B3ptico_de_Gloria_o_Espectro_de_Brocken_en_Sumapaz.jpg" TargetMode="External"/><Relationship Id="rId3478" Type="http://schemas.openxmlformats.org/officeDocument/2006/relationships/hyperlink" Target="https://commons.wikimedia.org/wiki/File:Monta%C3%B1as_desde_San_Francisco_(Cundinamarca).jpg" TargetMode="External"/><Relationship Id="rId2147" Type="http://schemas.openxmlformats.org/officeDocument/2006/relationships/hyperlink" Target="https://maps.google.com/?q=4.667750,-74.099944" TargetMode="External"/><Relationship Id="rId3477" Type="http://schemas.openxmlformats.org/officeDocument/2006/relationships/hyperlink" Target="https://upload.wikimedia.org/wikipedia/commons/7/7f/Monta%C3%B1as_desde_San_Francisco_%28Cundinamarca%29.jpg" TargetMode="External"/><Relationship Id="rId2137" Type="http://schemas.openxmlformats.org/officeDocument/2006/relationships/hyperlink" Target="https://upload.wikimedia.org/wikipedia/commons/f/f8/Fauna_Choc%C3%B3_colombia.jpg" TargetMode="External"/><Relationship Id="rId3469" Type="http://schemas.openxmlformats.org/officeDocument/2006/relationships/hyperlink" Target="https://upload.wikimedia.org/wikipedia/commons/4/4b/Monochaetum_vulcanicum_rosa.jpg" TargetMode="External"/><Relationship Id="rId2138" Type="http://schemas.openxmlformats.org/officeDocument/2006/relationships/hyperlink" Target="https://commons.wikimedia.org/wiki/File:Fauna_Choc%C3%B3_colombia.jpg" TargetMode="External"/><Relationship Id="rId3468" Type="http://schemas.openxmlformats.org/officeDocument/2006/relationships/hyperlink" Target="https://commons.wikimedia.org/wiki/File:Mono_curioso.jpg" TargetMode="External"/><Relationship Id="rId4799" Type="http://schemas.openxmlformats.org/officeDocument/2006/relationships/hyperlink" Target="https://upload.wikimedia.org/wikipedia/commons/d/d8/Serpiente_caracolera_Sna_cipriano.jpg" TargetMode="External"/><Relationship Id="rId2139" Type="http://schemas.openxmlformats.org/officeDocument/2006/relationships/hyperlink" Target="https://upload.wikimedia.org/wikipedia/commons/0/0e/Fauna_y_Flora_Boyacense.jpg" TargetMode="External"/><Relationship Id="rId4790" Type="http://schemas.openxmlformats.org/officeDocument/2006/relationships/hyperlink" Target="https://commons.wikimedia.org/wiki/File:Sendero_arborizado_Jard%C3%ADn_Bot%C3%A1nico_de_Bogot%C3%A1_1.jpg" TargetMode="External"/><Relationship Id="rId3461" Type="http://schemas.openxmlformats.org/officeDocument/2006/relationships/hyperlink" Target="https://upload.wikimedia.org/wikipedia/commons/b/b2/Mono_Capuchino_Cara_Blanca-Parque_Nacional_Natural_Tayrona-Colombia-9.jpg" TargetMode="External"/><Relationship Id="rId4792" Type="http://schemas.openxmlformats.org/officeDocument/2006/relationships/hyperlink" Target="https://commons.wikimedia.org/wiki/File:Sendero_peatonal_laguna_del_amor.jpg" TargetMode="External"/><Relationship Id="rId2130" Type="http://schemas.openxmlformats.org/officeDocument/2006/relationships/hyperlink" Target="https://upload.wikimedia.org/wikipedia/commons/2/2e/Fauna_Choc%C3%B3%3B_Colombia.jpg" TargetMode="External"/><Relationship Id="rId3460" Type="http://schemas.openxmlformats.org/officeDocument/2006/relationships/hyperlink" Target="https://commons.wikimedia.org/wiki/File:Mono_Capuchino_Cara_Blanca-Parque_Nacional_Natural_Tayrona-Colombia-8.jpg" TargetMode="External"/><Relationship Id="rId4791" Type="http://schemas.openxmlformats.org/officeDocument/2006/relationships/hyperlink" Target="https://upload.wikimedia.org/wikipedia/commons/d/d8/Sendero_peatonal_laguna_del_amor.jpg" TargetMode="External"/><Relationship Id="rId2131" Type="http://schemas.openxmlformats.org/officeDocument/2006/relationships/hyperlink" Target="https://commons.wikimedia.org/wiki/File:Fauna_Choc%C3%B3;_Colombia.jpg" TargetMode="External"/><Relationship Id="rId3463" Type="http://schemas.openxmlformats.org/officeDocument/2006/relationships/hyperlink" Target="https://upload.wikimedia.org/wikipedia/commons/4/4f/Mono_ardilla_y_su_beb%C3%A9_dormil%C3%B3n.jpg" TargetMode="External"/><Relationship Id="rId4794" Type="http://schemas.openxmlformats.org/officeDocument/2006/relationships/hyperlink" Target="https://upload.wikimedia.org/wikipedia/commons/f/f9/Senecio_niveoaureus-%C3%81rnica_blanca.jpg" TargetMode="External"/><Relationship Id="rId2132" Type="http://schemas.openxmlformats.org/officeDocument/2006/relationships/hyperlink" Target="https://upload.wikimedia.org/wikipedia/commons/2/29/Fauna_Choc%C3%B3_COLOMBIA.jpg" TargetMode="External"/><Relationship Id="rId3462" Type="http://schemas.openxmlformats.org/officeDocument/2006/relationships/hyperlink" Target="https://commons.wikimedia.org/wiki/File:Mono_Capuchino_Cara_Blanca-Parque_Nacional_Natural_Tayrona-Colombia-9.jpg" TargetMode="External"/><Relationship Id="rId4793" Type="http://schemas.openxmlformats.org/officeDocument/2006/relationships/hyperlink" Target="https://maps.google.com/?q=4.527990,-73.752840" TargetMode="External"/><Relationship Id="rId2133" Type="http://schemas.openxmlformats.org/officeDocument/2006/relationships/hyperlink" Target="https://commons.wikimedia.org/wiki/File:Fauna_Choc%C3%B3_COLOMBIA.jpg" TargetMode="External"/><Relationship Id="rId3465" Type="http://schemas.openxmlformats.org/officeDocument/2006/relationships/hyperlink" Target="https://upload.wikimedia.org/wikipedia/commons/7/70/Mono_churuco.jpg" TargetMode="External"/><Relationship Id="rId4796" Type="http://schemas.openxmlformats.org/officeDocument/2006/relationships/hyperlink" Target="https://maps.google.com/?q=9.132247,-76.180092" TargetMode="External"/><Relationship Id="rId2134" Type="http://schemas.openxmlformats.org/officeDocument/2006/relationships/hyperlink" Target="https://upload.wikimedia.org/wikipedia/commons/b/b3/Fauna_Choc%C3%B3_Colombia.jpg" TargetMode="External"/><Relationship Id="rId3464" Type="http://schemas.openxmlformats.org/officeDocument/2006/relationships/hyperlink" Target="https://commons.wikimedia.org/wiki/File:Mono_ardilla_y_su_beb%C3%A9_dormil%C3%B3n.jpg" TargetMode="External"/><Relationship Id="rId4795" Type="http://schemas.openxmlformats.org/officeDocument/2006/relationships/hyperlink" Target="https://commons.wikimedia.org/wiki/File:Senecio_niveoaureus-%C3%81rnica_blanca.jpg" TargetMode="External"/><Relationship Id="rId2135" Type="http://schemas.openxmlformats.org/officeDocument/2006/relationships/hyperlink" Target="https://commons.wikimedia.org/wiki/File:Fauna_Choc%C3%B3_Colombia.jpg" TargetMode="External"/><Relationship Id="rId3467" Type="http://schemas.openxmlformats.org/officeDocument/2006/relationships/hyperlink" Target="https://upload.wikimedia.org/wikipedia/commons/2/29/Mono_curioso.jpg" TargetMode="External"/><Relationship Id="rId4798" Type="http://schemas.openxmlformats.org/officeDocument/2006/relationships/hyperlink" Target="https://commons.wikimedia.org/wiki/File:Senna_en_R%C3%ADo_cedro.jpg" TargetMode="External"/><Relationship Id="rId2136" Type="http://schemas.openxmlformats.org/officeDocument/2006/relationships/hyperlink" Target="https://maps.google.com/?q=5.869236,-76.128552" TargetMode="External"/><Relationship Id="rId3466" Type="http://schemas.openxmlformats.org/officeDocument/2006/relationships/hyperlink" Target="https://commons.wikimedia.org/wiki/File:Mono_churuco.jpg" TargetMode="External"/><Relationship Id="rId4797" Type="http://schemas.openxmlformats.org/officeDocument/2006/relationships/hyperlink" Target="https://upload.wikimedia.org/wikipedia/commons/2/29/Senna_en_R%C3%ADo_cedro.jpg" TargetMode="External"/><Relationship Id="rId3490" Type="http://schemas.openxmlformats.org/officeDocument/2006/relationships/hyperlink" Target="https://upload.wikimedia.org/wikipedia/commons/2/26/Morro_desde_El_Rodadero_%28Santa_Marta%29.jpg" TargetMode="External"/><Relationship Id="rId2160" Type="http://schemas.openxmlformats.org/officeDocument/2006/relationships/hyperlink" Target="https://upload.wikimedia.org/wikipedia/commons/a/a9/Finca_San_Miguel.jpg" TargetMode="External"/><Relationship Id="rId3492" Type="http://schemas.openxmlformats.org/officeDocument/2006/relationships/hyperlink" Target="https://upload.wikimedia.org/wikipedia/commons/3/3c/Mosca_de_las_flores.jpg" TargetMode="External"/><Relationship Id="rId2161" Type="http://schemas.openxmlformats.org/officeDocument/2006/relationships/hyperlink" Target="https://commons.wikimedia.org/wiki/File:Finca_San_Miguel.jpg" TargetMode="External"/><Relationship Id="rId3491" Type="http://schemas.openxmlformats.org/officeDocument/2006/relationships/hyperlink" Target="https://commons.wikimedia.org/wiki/File:Morro_desde_El_Rodadero_(Santa_Marta).jpg" TargetMode="External"/><Relationship Id="rId2162" Type="http://schemas.openxmlformats.org/officeDocument/2006/relationships/hyperlink" Target="https://upload.wikimedia.org/wikipedia/commons/2/26/Fishermen_in_Bar%C3%BA_%28Pescadores_en_Bar%C3%BA%29.jpg" TargetMode="External"/><Relationship Id="rId3494" Type="http://schemas.openxmlformats.org/officeDocument/2006/relationships/hyperlink" Target="https://maps.google.com/?q=4.599400,-75.685400" TargetMode="External"/><Relationship Id="rId2163" Type="http://schemas.openxmlformats.org/officeDocument/2006/relationships/hyperlink" Target="https://commons.wikimedia.org/wiki/File:Fishermen_in_Bar%C3%BA_(Pescadores_en_Bar%C3%BA).jpg" TargetMode="External"/><Relationship Id="rId3493" Type="http://schemas.openxmlformats.org/officeDocument/2006/relationships/hyperlink" Target="https://commons.wikimedia.org/wiki/File:Mosca_de_las_flores.jpg" TargetMode="External"/><Relationship Id="rId2164" Type="http://schemas.openxmlformats.org/officeDocument/2006/relationships/hyperlink" Target="https://upload.wikimedia.org/wikipedia/commons/a/a9/Flamencos_en_Parque_Jaime_Duque%2C_Colombia.jpg" TargetMode="External"/><Relationship Id="rId3496" Type="http://schemas.openxmlformats.org/officeDocument/2006/relationships/hyperlink" Target="https://commons.wikimedia.org/wiki/File:Mosquero_Cardenal_-_Pyrocephalus_rubinus.jpg" TargetMode="External"/><Relationship Id="rId2165" Type="http://schemas.openxmlformats.org/officeDocument/2006/relationships/hyperlink" Target="https://commons.wikimedia.org/wiki/File:Flamencos_en_Parque_Jaime_Duque,_Colombia.jpg" TargetMode="External"/><Relationship Id="rId3495" Type="http://schemas.openxmlformats.org/officeDocument/2006/relationships/hyperlink" Target="https://upload.wikimedia.org/wikipedia/commons/4/4d/Mosquero_Cardenal_-_Pyrocephalus_rubinus.jpg" TargetMode="External"/><Relationship Id="rId2166" Type="http://schemas.openxmlformats.org/officeDocument/2006/relationships/hyperlink" Target="https://upload.wikimedia.org/wikipedia/commons/0/04/Flamingos_-_3.jpg" TargetMode="External"/><Relationship Id="rId3498" Type="http://schemas.openxmlformats.org/officeDocument/2006/relationships/hyperlink" Target="https://commons.wikimedia.org/wiki/File:Movilidad_rural_y_transporte_alternativo_en_el_valle_del_Magdalena.jpg" TargetMode="External"/><Relationship Id="rId2167" Type="http://schemas.openxmlformats.org/officeDocument/2006/relationships/hyperlink" Target="https://commons.wikimedia.org/wiki/File:Flamingos_-_3.jpg" TargetMode="External"/><Relationship Id="rId3497" Type="http://schemas.openxmlformats.org/officeDocument/2006/relationships/hyperlink" Target="https://upload.wikimedia.org/wikipedia/commons/e/ec/Movilidad_rural_y_transporte_alternativo_en_el_valle_del_Magdalena.jpg" TargetMode="External"/><Relationship Id="rId2168" Type="http://schemas.openxmlformats.org/officeDocument/2006/relationships/hyperlink" Target="https://upload.wikimedia.org/wikipedia/commons/9/9b/Flies_Mating.jpg" TargetMode="External"/><Relationship Id="rId2169" Type="http://schemas.openxmlformats.org/officeDocument/2006/relationships/hyperlink" Target="https://commons.wikimedia.org/wiki/File:Flies_Mating.jpg" TargetMode="External"/><Relationship Id="rId3499" Type="http://schemas.openxmlformats.org/officeDocument/2006/relationships/hyperlink" Target="https://upload.wikimedia.org/wikipedia/commons/f/f5/Muerte_en_Guatape.jpg" TargetMode="External"/><Relationship Id="rId2159" Type="http://schemas.openxmlformats.org/officeDocument/2006/relationships/hyperlink" Target="https://maps.google.com/?q=8.077878,-74.781500" TargetMode="External"/><Relationship Id="rId3481" Type="http://schemas.openxmlformats.org/officeDocument/2006/relationships/hyperlink" Target="https://commons.wikimedia.org/wiki/File:Montes_naranjas.jpg" TargetMode="External"/><Relationship Id="rId2150" Type="http://schemas.openxmlformats.org/officeDocument/2006/relationships/hyperlink" Target="https://maps.google.com/?q=4.667750,-74.099944" TargetMode="External"/><Relationship Id="rId3480" Type="http://schemas.openxmlformats.org/officeDocument/2006/relationships/hyperlink" Target="https://upload.wikimedia.org/wikipedia/commons/6/60/Montes_naranjas.jpg" TargetMode="External"/><Relationship Id="rId2151" Type="http://schemas.openxmlformats.org/officeDocument/2006/relationships/hyperlink" Target="https://upload.wikimedia.org/wikipedia/commons/b/b4/Filodendro2.jpg" TargetMode="External"/><Relationship Id="rId3483" Type="http://schemas.openxmlformats.org/officeDocument/2006/relationships/hyperlink" Target="https://commons.wikimedia.org/wiki/File:Monumento_corceles_de_la_libertad_,_sotaquir%C3%A1.jpg" TargetMode="External"/><Relationship Id="rId2152" Type="http://schemas.openxmlformats.org/officeDocument/2006/relationships/hyperlink" Target="https://commons.wikimedia.org/wiki/File:Filodendro2.jpg" TargetMode="External"/><Relationship Id="rId3482" Type="http://schemas.openxmlformats.org/officeDocument/2006/relationships/hyperlink" Target="https://upload.wikimedia.org/wikipedia/commons/3/37/Monumento_corceles_de_la_libertad_%2C_sotaquir%C3%A1.jpg" TargetMode="External"/><Relationship Id="rId2153" Type="http://schemas.openxmlformats.org/officeDocument/2006/relationships/hyperlink" Target="https://maps.google.com/?q=4.667750,-74.099944" TargetMode="External"/><Relationship Id="rId3485" Type="http://schemas.openxmlformats.org/officeDocument/2006/relationships/hyperlink" Target="https://commons.wikimedia.org/wiki/File:Moradashuila_04.jpg" TargetMode="External"/><Relationship Id="rId2154" Type="http://schemas.openxmlformats.org/officeDocument/2006/relationships/hyperlink" Target="https://upload.wikimedia.org/wikipedia/commons/7/7a/Filodendro3.jpg" TargetMode="External"/><Relationship Id="rId3484" Type="http://schemas.openxmlformats.org/officeDocument/2006/relationships/hyperlink" Target="https://upload.wikimedia.org/wikipedia/commons/a/a0/Moradashuila_04.jpg" TargetMode="External"/><Relationship Id="rId2155" Type="http://schemas.openxmlformats.org/officeDocument/2006/relationships/hyperlink" Target="https://commons.wikimedia.org/wiki/File:Filodendro3.jpg" TargetMode="External"/><Relationship Id="rId3487" Type="http://schemas.openxmlformats.org/officeDocument/2006/relationships/hyperlink" Target="https://commons.wikimedia.org/wiki/File:Morado_negro.jpg" TargetMode="External"/><Relationship Id="rId2156" Type="http://schemas.openxmlformats.org/officeDocument/2006/relationships/hyperlink" Target="https://maps.google.com/?q=4.667750,-74.099944" TargetMode="External"/><Relationship Id="rId3486" Type="http://schemas.openxmlformats.org/officeDocument/2006/relationships/hyperlink" Target="https://upload.wikimedia.org/wikipedia/commons/c/c4/Morado_negro.jpg" TargetMode="External"/><Relationship Id="rId2157" Type="http://schemas.openxmlformats.org/officeDocument/2006/relationships/hyperlink" Target="https://upload.wikimedia.org/wikipedia/commons/d/d7/Filodendro_junio_de_2026.jpg" TargetMode="External"/><Relationship Id="rId3489" Type="http://schemas.openxmlformats.org/officeDocument/2006/relationships/hyperlink" Target="https://commons.wikimedia.org/wiki/File:Morro_de_Gaira.jpg" TargetMode="External"/><Relationship Id="rId2158" Type="http://schemas.openxmlformats.org/officeDocument/2006/relationships/hyperlink" Target="https://commons.wikimedia.org/wiki/File:Filodendro_junio_de_2026.jpg" TargetMode="External"/><Relationship Id="rId3488" Type="http://schemas.openxmlformats.org/officeDocument/2006/relationships/hyperlink" Target="https://upload.wikimedia.org/wikipedia/commons/8/8d/Morro_de_Gaira.jpg" TargetMode="External"/><Relationship Id="rId2104" Type="http://schemas.openxmlformats.org/officeDocument/2006/relationships/hyperlink" Target="https://commons.wikimedia.org/wiki/File:Fauna,_Choc%C3%B3_Colombia.jpg" TargetMode="External"/><Relationship Id="rId3436" Type="http://schemas.openxmlformats.org/officeDocument/2006/relationships/hyperlink" Target="https://commons.wikimedia.org/wiki/File:Mono_Capuchino_Cara_Blanca-Parque_Nacional_Natural_Tayrona-Colombia-13.jpg" TargetMode="External"/><Relationship Id="rId4767" Type="http://schemas.openxmlformats.org/officeDocument/2006/relationships/hyperlink" Target="https://commons.wikimedia.org/wiki/File:Secado_de_cafe2.jpg" TargetMode="External"/><Relationship Id="rId2105" Type="http://schemas.openxmlformats.org/officeDocument/2006/relationships/hyperlink" Target="https://upload.wikimedia.org/wikipedia/commons/9/98/Fauna_CHOCO%2C_Colombia.jpg" TargetMode="External"/><Relationship Id="rId3435" Type="http://schemas.openxmlformats.org/officeDocument/2006/relationships/hyperlink" Target="https://upload.wikimedia.org/wikipedia/commons/6/60/Mono_Capuchino_Cara_Blanca-Parque_Nacional_Natural_Tayrona-Colombia-13.jpg" TargetMode="External"/><Relationship Id="rId4766" Type="http://schemas.openxmlformats.org/officeDocument/2006/relationships/hyperlink" Target="https://upload.wikimedia.org/wikipedia/commons/9/9f/Secado_de_cafe2.jpg" TargetMode="External"/><Relationship Id="rId2106" Type="http://schemas.openxmlformats.org/officeDocument/2006/relationships/hyperlink" Target="https://commons.wikimedia.org/wiki/File:Fauna_CHOCO,_Colombia.jpg" TargetMode="External"/><Relationship Id="rId3438" Type="http://schemas.openxmlformats.org/officeDocument/2006/relationships/hyperlink" Target="https://commons.wikimedia.org/wiki/File:Mono_Capuchino_Cara_Blanca-Parque_Nacional_Natural_Tayrona-Colombia-14.jpg" TargetMode="External"/><Relationship Id="rId4769" Type="http://schemas.openxmlformats.org/officeDocument/2006/relationships/hyperlink" Target="https://commons.wikimedia.org/wiki/File:Secuoya_(Sequoia_sempervirens).jpg" TargetMode="External"/><Relationship Id="rId2107" Type="http://schemas.openxmlformats.org/officeDocument/2006/relationships/hyperlink" Target="https://upload.wikimedia.org/wikipedia/commons/f/f8/Fauna_CHOCO.COLOMBIA.jpg" TargetMode="External"/><Relationship Id="rId3437" Type="http://schemas.openxmlformats.org/officeDocument/2006/relationships/hyperlink" Target="https://upload.wikimedia.org/wikipedia/commons/f/fb/Mono_Capuchino_Cara_Blanca-Parque_Nacional_Natural_Tayrona-Colombia-14.jpg" TargetMode="External"/><Relationship Id="rId4768" Type="http://schemas.openxmlformats.org/officeDocument/2006/relationships/hyperlink" Target="https://upload.wikimedia.org/wikipedia/commons/e/ec/Secuoya_%28Sequoia_sempervirens%29.jpg" TargetMode="External"/><Relationship Id="rId2108" Type="http://schemas.openxmlformats.org/officeDocument/2006/relationships/hyperlink" Target="https://commons.wikimedia.org/wiki/File:Fauna_CHOCO.COLOMBIA.jpg" TargetMode="External"/><Relationship Id="rId2109" Type="http://schemas.openxmlformats.org/officeDocument/2006/relationships/hyperlink" Target="https://upload.wikimedia.org/wikipedia/commons/d/df/Fauna_CHOCO_COLOMBIA.jpg" TargetMode="External"/><Relationship Id="rId3439" Type="http://schemas.openxmlformats.org/officeDocument/2006/relationships/hyperlink" Target="https://upload.wikimedia.org/wikipedia/commons/e/e7/Mono_Capuchino_Cara_Blanca-Parque_Nacional_Natural_Tayrona-Colombia-15.jpg" TargetMode="External"/><Relationship Id="rId3430" Type="http://schemas.openxmlformats.org/officeDocument/2006/relationships/hyperlink" Target="https://commons.wikimedia.org/wiki/File:Mono_Capuchino_Cara_Blanca-Parque_Nacional_Natural_Tayrona-Colombia-10.jpg" TargetMode="External"/><Relationship Id="rId4761" Type="http://schemas.openxmlformats.org/officeDocument/2006/relationships/hyperlink" Target="https://commons.wikimedia.org/wiki/File:Scaphosepalum_lima_(Orqu%C3%ADdea_de_ped%C3%BAnculos_%C3%A1speros)_03.jpg" TargetMode="External"/><Relationship Id="rId4760" Type="http://schemas.openxmlformats.org/officeDocument/2006/relationships/hyperlink" Target="https://upload.wikimedia.org/wikipedia/commons/8/86/Scaphosepalum_lima_%28Orqu%C3%ADdea_de_ped%C3%BAnculos_%C3%A1speros%29_03.jpg" TargetMode="External"/><Relationship Id="rId2100" Type="http://schemas.openxmlformats.org/officeDocument/2006/relationships/hyperlink" Target="https://commons.wikimedia.org/wiki/File:Fauna,_Choc%C3%B3,_Colombia.jpg" TargetMode="External"/><Relationship Id="rId3432" Type="http://schemas.openxmlformats.org/officeDocument/2006/relationships/hyperlink" Target="https://commons.wikimedia.org/wiki/File:Mono_Capuchino_Cara_Blanca-Parque_Nacional_Natural_Tayrona-Colombia-11.jpg" TargetMode="External"/><Relationship Id="rId4763" Type="http://schemas.openxmlformats.org/officeDocument/2006/relationships/hyperlink" Target="https://commons.wikimedia.org/wiki/File:Scarlet_Milkweed_(Asclepias_curassavica).jpg" TargetMode="External"/><Relationship Id="rId2101" Type="http://schemas.openxmlformats.org/officeDocument/2006/relationships/hyperlink" Target="https://upload.wikimedia.org/wikipedia/commons/5/5f/Fauna%2C_Choc%C3%B3.Colombia.jpg" TargetMode="External"/><Relationship Id="rId3431" Type="http://schemas.openxmlformats.org/officeDocument/2006/relationships/hyperlink" Target="https://upload.wikimedia.org/wikipedia/commons/e/e5/Mono_Capuchino_Cara_Blanca-Parque_Nacional_Natural_Tayrona-Colombia-11.jpg" TargetMode="External"/><Relationship Id="rId4762" Type="http://schemas.openxmlformats.org/officeDocument/2006/relationships/hyperlink" Target="https://upload.wikimedia.org/wikipedia/commons/5/51/Scarlet_Milkweed_%28Asclepias_curassavica%29.jpg" TargetMode="External"/><Relationship Id="rId2102" Type="http://schemas.openxmlformats.org/officeDocument/2006/relationships/hyperlink" Target="https://commons.wikimedia.org/wiki/File:Fauna,_Choc%C3%B3.Colombia.jpg" TargetMode="External"/><Relationship Id="rId3434" Type="http://schemas.openxmlformats.org/officeDocument/2006/relationships/hyperlink" Target="https://commons.wikimedia.org/wiki/File:Mono_Capuchino_Cara_Blanca-Parque_Nacional_Natural_Tayrona-Colombia-12.jpg" TargetMode="External"/><Relationship Id="rId4765" Type="http://schemas.openxmlformats.org/officeDocument/2006/relationships/hyperlink" Target="https://commons.wikimedia.org/wiki/File:Sea_in_Guajira.jpg" TargetMode="External"/><Relationship Id="rId2103" Type="http://schemas.openxmlformats.org/officeDocument/2006/relationships/hyperlink" Target="https://upload.wikimedia.org/wikipedia/commons/7/7f/Fauna%2C_Choc%C3%B3_Colombia.jpg" TargetMode="External"/><Relationship Id="rId3433" Type="http://schemas.openxmlformats.org/officeDocument/2006/relationships/hyperlink" Target="https://upload.wikimedia.org/wikipedia/commons/e/e1/Mono_Capuchino_Cara_Blanca-Parque_Nacional_Natural_Tayrona-Colombia-12.jpg" TargetMode="External"/><Relationship Id="rId4764" Type="http://schemas.openxmlformats.org/officeDocument/2006/relationships/hyperlink" Target="https://upload.wikimedia.org/wikipedia/commons/6/62/Sea_in_Guajira.jpg" TargetMode="External"/><Relationship Id="rId3425" Type="http://schemas.openxmlformats.org/officeDocument/2006/relationships/hyperlink" Target="https://upload.wikimedia.org/wikipedia/commons/0/04/Mompox_sunset.jpg" TargetMode="External"/><Relationship Id="rId4756" Type="http://schemas.openxmlformats.org/officeDocument/2006/relationships/hyperlink" Target="https://upload.wikimedia.org/wikipedia/commons/4/42/Scaphosepalum_lima_%28Orqu%C3%ADdea_de_ped%C3%BAnculos_%C3%A1speros%29_01.jpg" TargetMode="External"/><Relationship Id="rId3424" Type="http://schemas.openxmlformats.org/officeDocument/2006/relationships/hyperlink" Target="https://commons.wikimedia.org/wiki/File:Molinillo2.jpg" TargetMode="External"/><Relationship Id="rId4755" Type="http://schemas.openxmlformats.org/officeDocument/2006/relationships/hyperlink" Target="https://commons.wikimedia.org/wiki/File:Sauce_guajiro_(Parkinsonia_aculeata).jpg" TargetMode="External"/><Relationship Id="rId3427" Type="http://schemas.openxmlformats.org/officeDocument/2006/relationships/hyperlink" Target="https://upload.wikimedia.org/wikipedia/commons/9/97/Mono_Capuchino_Cara_Blanca-Parque_Nacional_Natural_Tayrona-Colombia-1.jpg" TargetMode="External"/><Relationship Id="rId4758" Type="http://schemas.openxmlformats.org/officeDocument/2006/relationships/hyperlink" Target="https://upload.wikimedia.org/wikipedia/commons/f/f3/Scaphosepalum_lima_%28Orqu%C3%ADdea_de_ped%C3%BAnculos_%C3%A1speros%29_02.jpg" TargetMode="External"/><Relationship Id="rId3426" Type="http://schemas.openxmlformats.org/officeDocument/2006/relationships/hyperlink" Target="https://commons.wikimedia.org/wiki/File:Mompox_sunset.jpg" TargetMode="External"/><Relationship Id="rId4757" Type="http://schemas.openxmlformats.org/officeDocument/2006/relationships/hyperlink" Target="https://commons.wikimedia.org/wiki/File:Scaphosepalum_lima_(Orqu%C3%ADdea_de_ped%C3%BAnculos_%C3%A1speros)_01.jpg" TargetMode="External"/><Relationship Id="rId3429" Type="http://schemas.openxmlformats.org/officeDocument/2006/relationships/hyperlink" Target="https://upload.wikimedia.org/wikipedia/commons/6/62/Mono_Capuchino_Cara_Blanca-Parque_Nacional_Natural_Tayrona-Colombia-10.jpg" TargetMode="External"/><Relationship Id="rId3428" Type="http://schemas.openxmlformats.org/officeDocument/2006/relationships/hyperlink" Target="https://commons.wikimedia.org/wiki/File:Mono_Capuchino_Cara_Blanca-Parque_Nacional_Natural_Tayrona-Colombia-1.jpg" TargetMode="External"/><Relationship Id="rId4759" Type="http://schemas.openxmlformats.org/officeDocument/2006/relationships/hyperlink" Target="https://commons.wikimedia.org/wiki/File:Scaphosepalum_lima_(Orqu%C3%ADdea_de_ped%C3%BAnculos_%C3%A1speros)_02.jpg" TargetMode="External"/><Relationship Id="rId899" Type="http://schemas.openxmlformats.org/officeDocument/2006/relationships/hyperlink" Target="https://maps.google.com/?q=4.513160,-74.537920" TargetMode="External"/><Relationship Id="rId898" Type="http://schemas.openxmlformats.org/officeDocument/2006/relationships/hyperlink" Target="https://commons.wikimedia.org/wiki/File:Capybara_Meta_Colombia_20260113.jpg" TargetMode="External"/><Relationship Id="rId897" Type="http://schemas.openxmlformats.org/officeDocument/2006/relationships/hyperlink" Target="https://upload.wikimedia.org/wikipedia/commons/1/1a/Capybara_Meta_Colombia_20260113.jpg" TargetMode="External"/><Relationship Id="rId896" Type="http://schemas.openxmlformats.org/officeDocument/2006/relationships/hyperlink" Target="https://commons.wikimedia.org/wiki/File:Capuchin_Monkey_in_Tayrona_National_Park.jpg" TargetMode="External"/><Relationship Id="rId891" Type="http://schemas.openxmlformats.org/officeDocument/2006/relationships/hyperlink" Target="https://commons.wikimedia.org/wiki/File:Capas_monta%C3%B1eras.jpg" TargetMode="External"/><Relationship Id="rId890" Type="http://schemas.openxmlformats.org/officeDocument/2006/relationships/hyperlink" Target="https://upload.wikimedia.org/wikipedia/commons/8/84/Capas_monta%C3%B1eras.jpg" TargetMode="External"/><Relationship Id="rId4750" Type="http://schemas.openxmlformats.org/officeDocument/2006/relationships/hyperlink" Target="https://commons.wikimedia.org/wiki/File:Sapo_gigante_(Rhinella_marina)_en_Santander,_Colombia.jpg" TargetMode="External"/><Relationship Id="rId895" Type="http://schemas.openxmlformats.org/officeDocument/2006/relationships/hyperlink" Target="https://upload.wikimedia.org/wikipedia/commons/2/2c/Capuchin_Monkey_in_Tayrona_National_Park.jpg" TargetMode="External"/><Relationship Id="rId3421" Type="http://schemas.openxmlformats.org/officeDocument/2006/relationships/hyperlink" Target="https://commons.wikimedia.org/wiki/File:Molinillo.jpg" TargetMode="External"/><Relationship Id="rId4752" Type="http://schemas.openxmlformats.org/officeDocument/2006/relationships/hyperlink" Target="https://commons.wikimedia.org/wiki/File:Sapo_gigante_(Rhinella_marina)_en_un_arroyo_de_Santander,_Colombia.jpg" TargetMode="External"/><Relationship Id="rId894" Type="http://schemas.openxmlformats.org/officeDocument/2006/relationships/hyperlink" Target="https://maps.google.com/?q=11.308901,-73.936915" TargetMode="External"/><Relationship Id="rId3420" Type="http://schemas.openxmlformats.org/officeDocument/2006/relationships/hyperlink" Target="https://upload.wikimedia.org/wikipedia/commons/e/eb/Molinillo.jpg" TargetMode="External"/><Relationship Id="rId4751" Type="http://schemas.openxmlformats.org/officeDocument/2006/relationships/hyperlink" Target="https://upload.wikimedia.org/wikipedia/commons/c/c0/Sapo_gigante_%28Rhinella_marina%29_en_un_arroyo_de_Santander%2C_Colombia.jpg" TargetMode="External"/><Relationship Id="rId893" Type="http://schemas.openxmlformats.org/officeDocument/2006/relationships/hyperlink" Target="https://commons.wikimedia.org/wiki/File:Capas_sedimentarias_expuestas_en_los_Farallones_de_Sutatausa.jpg" TargetMode="External"/><Relationship Id="rId3423" Type="http://schemas.openxmlformats.org/officeDocument/2006/relationships/hyperlink" Target="https://upload.wikimedia.org/wikipedia/commons/1/15/Molinillo2.jpg" TargetMode="External"/><Relationship Id="rId4754" Type="http://schemas.openxmlformats.org/officeDocument/2006/relationships/hyperlink" Target="https://upload.wikimedia.org/wikipedia/commons/a/aa/Sauce_guajiro_%28Parkinsonia_aculeata%29.jpg" TargetMode="External"/><Relationship Id="rId892" Type="http://schemas.openxmlformats.org/officeDocument/2006/relationships/hyperlink" Target="https://upload.wikimedia.org/wikipedia/commons/2/28/Capas_sedimentarias_expuestas_en_los_Farallones_de_Sutatausa.jpg" TargetMode="External"/><Relationship Id="rId3422" Type="http://schemas.openxmlformats.org/officeDocument/2006/relationships/hyperlink" Target="https://maps.google.com/?q=4.667750,-74.099940" TargetMode="External"/><Relationship Id="rId4753" Type="http://schemas.openxmlformats.org/officeDocument/2006/relationships/hyperlink" Target="https://maps.google.com/?q=4.669437,-74.097702" TargetMode="External"/><Relationship Id="rId2126" Type="http://schemas.openxmlformats.org/officeDocument/2006/relationships/hyperlink" Target="https://upload.wikimedia.org/wikipedia/commons/9/9a/Fauna_Choc%C3%B3%2C_Colombia.jpg" TargetMode="External"/><Relationship Id="rId3458" Type="http://schemas.openxmlformats.org/officeDocument/2006/relationships/hyperlink" Target="https://commons.wikimedia.org/wiki/File:Mono_Capuchino_Cara_Blanca-Parque_Nacional_Natural_Tayrona-Colombia-7.jpg" TargetMode="External"/><Relationship Id="rId4789" Type="http://schemas.openxmlformats.org/officeDocument/2006/relationships/hyperlink" Target="https://upload.wikimedia.org/wikipedia/commons/e/ec/Sendero_arborizado_Jard%C3%ADn_Bot%C3%A1nico_de_Bogot%C3%A1_1.jpg" TargetMode="External"/><Relationship Id="rId2127" Type="http://schemas.openxmlformats.org/officeDocument/2006/relationships/hyperlink" Target="https://commons.wikimedia.org/wiki/File:Fauna_Choc%C3%B3,_Colombia.jpg" TargetMode="External"/><Relationship Id="rId3457" Type="http://schemas.openxmlformats.org/officeDocument/2006/relationships/hyperlink" Target="https://upload.wikimedia.org/wikipedia/commons/9/98/Mono_Capuchino_Cara_Blanca-Parque_Nacional_Natural_Tayrona-Colombia-7.jpg" TargetMode="External"/><Relationship Id="rId4788" Type="http://schemas.openxmlformats.org/officeDocument/2006/relationships/hyperlink" Target="https://commons.wikimedia.org/wiki/File:Sendero_arborizado_Jard%C3%ADn_Bot%C3%A1nico_de_Bogot%C3%A1.jpg" TargetMode="External"/><Relationship Id="rId2128" Type="http://schemas.openxmlformats.org/officeDocument/2006/relationships/hyperlink" Target="https://upload.wikimedia.org/wikipedia/commons/6/66/Fauna_Choc%C3%B3.Colombia.jpg" TargetMode="External"/><Relationship Id="rId2129" Type="http://schemas.openxmlformats.org/officeDocument/2006/relationships/hyperlink" Target="https://commons.wikimedia.org/wiki/File:Fauna_Choc%C3%B3.Colombia.jpg" TargetMode="External"/><Relationship Id="rId3459" Type="http://schemas.openxmlformats.org/officeDocument/2006/relationships/hyperlink" Target="https://upload.wikimedia.org/wikipedia/commons/9/9a/Mono_Capuchino_Cara_Blanca-Parque_Nacional_Natural_Tayrona-Colombia-8.jpg" TargetMode="External"/><Relationship Id="rId3450" Type="http://schemas.openxmlformats.org/officeDocument/2006/relationships/hyperlink" Target="https://commons.wikimedia.org/wiki/File:Mono_Capuchino_Cara_Blanca-Parque_Nacional_Natural_Tayrona-Colombia-3.jpg" TargetMode="External"/><Relationship Id="rId4781" Type="http://schemas.openxmlformats.org/officeDocument/2006/relationships/hyperlink" Target="https://commons.wikimedia.org/wiki/File:Semi-arid_canyon_landscape_with_stratified_rock_formations_near_Villa_de_Leyva,_Colombia.jpg" TargetMode="External"/><Relationship Id="rId4780" Type="http://schemas.openxmlformats.org/officeDocument/2006/relationships/hyperlink" Target="https://upload.wikimedia.org/wikipedia/commons/9/90/Semi-arid_canyon_landscape_with_stratified_rock_formations_near_Villa_de_Leyva%2C_Colombia.jpg" TargetMode="External"/><Relationship Id="rId2120" Type="http://schemas.openxmlformats.org/officeDocument/2006/relationships/hyperlink" Target="https://commons.wikimedia.org/wiki/File:Fauna_ChocoColombia.jpg" TargetMode="External"/><Relationship Id="rId3452" Type="http://schemas.openxmlformats.org/officeDocument/2006/relationships/hyperlink" Target="https://commons.wikimedia.org/wiki/File:Mono_Capuchino_Cara_Blanca-Parque_Nacional_Natural_Tayrona-Colombia-4.jpg" TargetMode="External"/><Relationship Id="rId4783" Type="http://schemas.openxmlformats.org/officeDocument/2006/relationships/hyperlink" Target="https://upload.wikimedia.org/wikipedia/commons/6/6b/Semilla_de_esperanza.jpg" TargetMode="External"/><Relationship Id="rId2121" Type="http://schemas.openxmlformats.org/officeDocument/2006/relationships/hyperlink" Target="https://upload.wikimedia.org/wikipedia/commons/3/35/Fauna_Choco_Colombia.jpg" TargetMode="External"/><Relationship Id="rId3451" Type="http://schemas.openxmlformats.org/officeDocument/2006/relationships/hyperlink" Target="https://upload.wikimedia.org/wikipedia/commons/8/86/Mono_Capuchino_Cara_Blanca-Parque_Nacional_Natural_Tayrona-Colombia-4.jpg" TargetMode="External"/><Relationship Id="rId4782" Type="http://schemas.openxmlformats.org/officeDocument/2006/relationships/hyperlink" Target="https://maps.google.com/?q=3.257751,-76.655690" TargetMode="External"/><Relationship Id="rId2122" Type="http://schemas.openxmlformats.org/officeDocument/2006/relationships/hyperlink" Target="https://commons.wikimedia.org/wiki/File:Fauna_Choco_Colombia.jpg" TargetMode="External"/><Relationship Id="rId3454" Type="http://schemas.openxmlformats.org/officeDocument/2006/relationships/hyperlink" Target="https://commons.wikimedia.org/wiki/File:Mono_Capuchino_Cara_Blanca-Parque_Nacional_Natural_Tayrona-Colombia-5.jpg" TargetMode="External"/><Relationship Id="rId4785" Type="http://schemas.openxmlformats.org/officeDocument/2006/relationships/hyperlink" Target="https://upload.wikimedia.org/wikipedia/commons/7/7c/Sendero_Hacienda_N%C3%A1poles.jpg" TargetMode="External"/><Relationship Id="rId2123" Type="http://schemas.openxmlformats.org/officeDocument/2006/relationships/hyperlink" Target="https://maps.google.com/?q=5.739763,-76.281762" TargetMode="External"/><Relationship Id="rId3453" Type="http://schemas.openxmlformats.org/officeDocument/2006/relationships/hyperlink" Target="https://upload.wikimedia.org/wikipedia/commons/f/f0/Mono_Capuchino_Cara_Blanca-Parque_Nacional_Natural_Tayrona-Colombia-5.jpg" TargetMode="External"/><Relationship Id="rId4784" Type="http://schemas.openxmlformats.org/officeDocument/2006/relationships/hyperlink" Target="https://commons.wikimedia.org/wiki/File:Semilla_de_esperanza.jpg" TargetMode="External"/><Relationship Id="rId2124" Type="http://schemas.openxmlformats.org/officeDocument/2006/relationships/hyperlink" Target="https://upload.wikimedia.org/wikipedia/commons/b/b3/Fauna_Choco_colombia.jpg" TargetMode="External"/><Relationship Id="rId3456" Type="http://schemas.openxmlformats.org/officeDocument/2006/relationships/hyperlink" Target="https://commons.wikimedia.org/wiki/File:Mono_Capuchino_Cara_Blanca-Parque_Nacional_Natural_Tayrona-Colombia-6.jpg" TargetMode="External"/><Relationship Id="rId4787" Type="http://schemas.openxmlformats.org/officeDocument/2006/relationships/hyperlink" Target="https://upload.wikimedia.org/wikipedia/commons/5/53/Sendero_arborizado_Jard%C3%ADn_Bot%C3%A1nico_de_Bogot%C3%A1.jpg" TargetMode="External"/><Relationship Id="rId2125" Type="http://schemas.openxmlformats.org/officeDocument/2006/relationships/hyperlink" Target="https://commons.wikimedia.org/wiki/File:Fauna_Choco_colombia.jpg" TargetMode="External"/><Relationship Id="rId3455" Type="http://schemas.openxmlformats.org/officeDocument/2006/relationships/hyperlink" Target="https://upload.wikimedia.org/wikipedia/commons/0/06/Mono_Capuchino_Cara_Blanca-Parque_Nacional_Natural_Tayrona-Colombia-6.jpg" TargetMode="External"/><Relationship Id="rId4786" Type="http://schemas.openxmlformats.org/officeDocument/2006/relationships/hyperlink" Target="https://commons.wikimedia.org/wiki/File:Sendero_Hacienda_N%C3%A1poles.jpg" TargetMode="External"/><Relationship Id="rId2115" Type="http://schemas.openxmlformats.org/officeDocument/2006/relationships/hyperlink" Target="https://upload.wikimedia.org/wikipedia/commons/4/4b/Fauna_Choco%2C_COLOMBIA.jpg" TargetMode="External"/><Relationship Id="rId3447" Type="http://schemas.openxmlformats.org/officeDocument/2006/relationships/hyperlink" Target="https://upload.wikimedia.org/wikipedia/commons/f/f8/Mono_Capuchino_Cara_Blanca-Parque_Nacional_Natural_Tayrona-Colombia-2.jpg" TargetMode="External"/><Relationship Id="rId4778" Type="http://schemas.openxmlformats.org/officeDocument/2006/relationships/hyperlink" Target="https://upload.wikimedia.org/wikipedia/commons/6/61/Selva_tropical_humeda3.jpg" TargetMode="External"/><Relationship Id="rId2116" Type="http://schemas.openxmlformats.org/officeDocument/2006/relationships/hyperlink" Target="https://commons.wikimedia.org/wiki/File:Fauna_Choco,_COLOMBIA.jpg" TargetMode="External"/><Relationship Id="rId3446" Type="http://schemas.openxmlformats.org/officeDocument/2006/relationships/hyperlink" Target="https://commons.wikimedia.org/wiki/File:Mono_Capuchino_Cara_Blanca-Parque_Nacional_Natural_Tayrona-Colombia-18.jpg" TargetMode="External"/><Relationship Id="rId4777" Type="http://schemas.openxmlformats.org/officeDocument/2006/relationships/hyperlink" Target="https://commons.wikimedia.org/wiki/File:Selva_tropical_humeda2.jpg" TargetMode="External"/><Relationship Id="rId2117" Type="http://schemas.openxmlformats.org/officeDocument/2006/relationships/hyperlink" Target="https://upload.wikimedia.org/wikipedia/commons/2/21/Fauna_Choco-Colombia.jpg" TargetMode="External"/><Relationship Id="rId3449" Type="http://schemas.openxmlformats.org/officeDocument/2006/relationships/hyperlink" Target="https://upload.wikimedia.org/wikipedia/commons/4/43/Mono_Capuchino_Cara_Blanca-Parque_Nacional_Natural_Tayrona-Colombia-3.jpg" TargetMode="External"/><Relationship Id="rId2118" Type="http://schemas.openxmlformats.org/officeDocument/2006/relationships/hyperlink" Target="https://commons.wikimedia.org/wiki/File:Fauna_Choco-Colombia.jpg" TargetMode="External"/><Relationship Id="rId3448" Type="http://schemas.openxmlformats.org/officeDocument/2006/relationships/hyperlink" Target="https://commons.wikimedia.org/wiki/File:Mono_Capuchino_Cara_Blanca-Parque_Nacional_Natural_Tayrona-Colombia-2.jpg" TargetMode="External"/><Relationship Id="rId4779" Type="http://schemas.openxmlformats.org/officeDocument/2006/relationships/hyperlink" Target="https://commons.wikimedia.org/wiki/File:Selva_tropical_humeda3.jpg" TargetMode="External"/><Relationship Id="rId2119" Type="http://schemas.openxmlformats.org/officeDocument/2006/relationships/hyperlink" Target="https://upload.wikimedia.org/wikipedia/commons/9/90/Fauna_ChocoColombia.jpg" TargetMode="External"/><Relationship Id="rId4770" Type="http://schemas.openxmlformats.org/officeDocument/2006/relationships/hyperlink" Target="https://upload.wikimedia.org/wikipedia/commons/b/bc/Selva_humeda_tropical.jpg" TargetMode="External"/><Relationship Id="rId3441" Type="http://schemas.openxmlformats.org/officeDocument/2006/relationships/hyperlink" Target="https://upload.wikimedia.org/wikipedia/commons/9/98/Mono_Capuchino_Cara_Blanca-Parque_Nacional_Natural_Tayrona-Colombia-16.jpg" TargetMode="External"/><Relationship Id="rId4772" Type="http://schemas.openxmlformats.org/officeDocument/2006/relationships/hyperlink" Target="https://upload.wikimedia.org/wikipedia/commons/5/50/Selva_humeda_tropical4.jpg" TargetMode="External"/><Relationship Id="rId2110" Type="http://schemas.openxmlformats.org/officeDocument/2006/relationships/hyperlink" Target="https://commons.wikimedia.org/wiki/File:Fauna_CHOCO_COLOMBIA.jpg" TargetMode="External"/><Relationship Id="rId3440" Type="http://schemas.openxmlformats.org/officeDocument/2006/relationships/hyperlink" Target="https://commons.wikimedia.org/wiki/File:Mono_Capuchino_Cara_Blanca-Parque_Nacional_Natural_Tayrona-Colombia-15.jpg" TargetMode="External"/><Relationship Id="rId4771" Type="http://schemas.openxmlformats.org/officeDocument/2006/relationships/hyperlink" Target="https://commons.wikimedia.org/wiki/File:Selva_humeda_tropical.jpg" TargetMode="External"/><Relationship Id="rId2111" Type="http://schemas.openxmlformats.org/officeDocument/2006/relationships/hyperlink" Target="https://upload.wikimedia.org/wikipedia/commons/4/40/Fauna_CHOCO_Colombia.jpg" TargetMode="External"/><Relationship Id="rId3443" Type="http://schemas.openxmlformats.org/officeDocument/2006/relationships/hyperlink" Target="https://upload.wikimedia.org/wikipedia/commons/3/3e/Mono_Capuchino_Cara_Blanca-Parque_Nacional_Natural_Tayrona-Colombia-17.jpg" TargetMode="External"/><Relationship Id="rId4774" Type="http://schemas.openxmlformats.org/officeDocument/2006/relationships/hyperlink" Target="https://upload.wikimedia.org/wikipedia/commons/1/14/Selva_tropical_en_piedemonte_casanare.jpg" TargetMode="External"/><Relationship Id="rId2112" Type="http://schemas.openxmlformats.org/officeDocument/2006/relationships/hyperlink" Target="https://commons.wikimedia.org/wiki/File:Fauna_CHOCO_Colombia.jpg" TargetMode="External"/><Relationship Id="rId3442" Type="http://schemas.openxmlformats.org/officeDocument/2006/relationships/hyperlink" Target="https://commons.wikimedia.org/wiki/File:Mono_Capuchino_Cara_Blanca-Parque_Nacional_Natural_Tayrona-Colombia-16.jpg" TargetMode="External"/><Relationship Id="rId4773" Type="http://schemas.openxmlformats.org/officeDocument/2006/relationships/hyperlink" Target="https://commons.wikimedia.org/wiki/File:Selva_humeda_tropical4.jpg" TargetMode="External"/><Relationship Id="rId2113" Type="http://schemas.openxmlformats.org/officeDocument/2006/relationships/hyperlink" Target="https://upload.wikimedia.org/wikipedia/commons/a/ad/Fauna_Cafetera.jpg" TargetMode="External"/><Relationship Id="rId3445" Type="http://schemas.openxmlformats.org/officeDocument/2006/relationships/hyperlink" Target="https://upload.wikimedia.org/wikipedia/commons/f/f4/Mono_Capuchino_Cara_Blanca-Parque_Nacional_Natural_Tayrona-Colombia-18.jpg" TargetMode="External"/><Relationship Id="rId4776" Type="http://schemas.openxmlformats.org/officeDocument/2006/relationships/hyperlink" Target="https://upload.wikimedia.org/wikipedia/commons/4/43/Selva_tropical_humeda2.jpg" TargetMode="External"/><Relationship Id="rId2114" Type="http://schemas.openxmlformats.org/officeDocument/2006/relationships/hyperlink" Target="https://commons.wikimedia.org/wiki/File:Fauna_Cafetera.jpg" TargetMode="External"/><Relationship Id="rId3444" Type="http://schemas.openxmlformats.org/officeDocument/2006/relationships/hyperlink" Target="https://commons.wikimedia.org/wiki/File:Mono_Capuchino_Cara_Blanca-Parque_Nacional_Natural_Tayrona-Colombia-17.jpg" TargetMode="External"/><Relationship Id="rId4775" Type="http://schemas.openxmlformats.org/officeDocument/2006/relationships/hyperlink" Target="https://commons.wikimedia.org/wiki/File:Selva_tropical_en_piedemonte_casanare.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bioedna.r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commons.wikimedia.org/wiki/User:Nbareschu" TargetMode="External"/><Relationship Id="rId391" Type="http://schemas.openxmlformats.org/officeDocument/2006/relationships/hyperlink" Target="https://commons.wikimedia.org/wiki/User:NMontoya%20%28WMCO%29" TargetMode="External"/><Relationship Id="rId390" Type="http://schemas.openxmlformats.org/officeDocument/2006/relationships/hyperlink" Target="https://commons.wikimedia.org/wiki/User:AmiGueko" TargetMode="External"/><Relationship Id="rId385" Type="http://schemas.openxmlformats.org/officeDocument/2006/relationships/hyperlink" Target="https://commons.wikimedia.org/wiki/User:NMontoya%20%28WMCO%29" TargetMode="External"/><Relationship Id="rId384" Type="http://schemas.openxmlformats.org/officeDocument/2006/relationships/hyperlink" Target="https://commons.wikimedia.org/wiki/User:AmiGueko" TargetMode="External"/><Relationship Id="rId383" Type="http://schemas.openxmlformats.org/officeDocument/2006/relationships/hyperlink" Target="https://commons.wikimedia.org/wiki/User:AmiGueko" TargetMode="External"/><Relationship Id="rId382" Type="http://schemas.openxmlformats.org/officeDocument/2006/relationships/hyperlink" Target="https://commons.wikimedia.org/wiki/User:Bioedna.ro" TargetMode="External"/><Relationship Id="rId389" Type="http://schemas.openxmlformats.org/officeDocument/2006/relationships/hyperlink" Target="https://commons.wikimedia.org/wiki/User:Nbareschu" TargetMode="External"/><Relationship Id="rId388" Type="http://schemas.openxmlformats.org/officeDocument/2006/relationships/hyperlink" Target="https://commons.wikimedia.org/wiki/User:Nbareschu" TargetMode="External"/><Relationship Id="rId387" Type="http://schemas.openxmlformats.org/officeDocument/2006/relationships/hyperlink" Target="https://commons.wikimedia.org/wiki/User:Supertita" TargetMode="External"/><Relationship Id="rId386" Type="http://schemas.openxmlformats.org/officeDocument/2006/relationships/hyperlink" Target="https://commons.wikimedia.org/wiki/User:Romauribe" TargetMode="External"/><Relationship Id="rId381" Type="http://schemas.openxmlformats.org/officeDocument/2006/relationships/hyperlink" Target="https://commons.wikimedia.org/wiki/User:NMontoya%20%28WMCO%29" TargetMode="External"/><Relationship Id="rId380" Type="http://schemas.openxmlformats.org/officeDocument/2006/relationships/hyperlink" Target="https://commons.wikimedia.org/wiki/User:Nbareschu" TargetMode="External"/><Relationship Id="rId379" Type="http://schemas.openxmlformats.org/officeDocument/2006/relationships/hyperlink" Target="https://commons.wikimedia.org/wiki/User:AmiGueko" TargetMode="External"/><Relationship Id="rId374" Type="http://schemas.openxmlformats.org/officeDocument/2006/relationships/hyperlink" Target="https://commons.wikimedia.org/wiki/User:AmiGueko" TargetMode="External"/><Relationship Id="rId373" Type="http://schemas.openxmlformats.org/officeDocument/2006/relationships/hyperlink" Target="https://commons.wikimedia.org/wiki/User:Edwinzerep" TargetMode="External"/><Relationship Id="rId372" Type="http://schemas.openxmlformats.org/officeDocument/2006/relationships/hyperlink" Target="https://commons.wikimedia.org/wiki/User:Edwinzerep" TargetMode="External"/><Relationship Id="rId371" Type="http://schemas.openxmlformats.org/officeDocument/2006/relationships/hyperlink" Target="https://commons.wikimedia.org/wiki/User:Dalacuel" TargetMode="External"/><Relationship Id="rId378" Type="http://schemas.openxmlformats.org/officeDocument/2006/relationships/hyperlink" Target="https://commons.wikimedia.org/wiki/User:Elprofeta91" TargetMode="External"/><Relationship Id="rId377" Type="http://schemas.openxmlformats.org/officeDocument/2006/relationships/hyperlink" Target="https://commons.wikimedia.org/wiki/User:AmiGueko" TargetMode="External"/><Relationship Id="rId376" Type="http://schemas.openxmlformats.org/officeDocument/2006/relationships/hyperlink" Target="https://commons.wikimedia.org/wiki/User:AmiGueko" TargetMode="External"/><Relationship Id="rId375" Type="http://schemas.openxmlformats.org/officeDocument/2006/relationships/hyperlink" Target="https://commons.wikimedia.org/wiki/User:AmiGueko" TargetMode="External"/><Relationship Id="rId396" Type="http://schemas.openxmlformats.org/officeDocument/2006/relationships/hyperlink" Target="https://commons.wikimedia.org/wiki/User:Johan%20Andr%C3%A9s%20Toro" TargetMode="External"/><Relationship Id="rId395" Type="http://schemas.openxmlformats.org/officeDocument/2006/relationships/hyperlink" Target="https://commons.wikimedia.org/wiki/User:Cathetovar" TargetMode="External"/><Relationship Id="rId394" Type="http://schemas.openxmlformats.org/officeDocument/2006/relationships/hyperlink" Target="https://commons.wikimedia.org/wiki/User:JJCL09" TargetMode="External"/><Relationship Id="rId393" Type="http://schemas.openxmlformats.org/officeDocument/2006/relationships/hyperlink" Target="https://commons.wikimedia.org/wiki/User:JJCL09" TargetMode="External"/><Relationship Id="rId399" Type="http://schemas.openxmlformats.org/officeDocument/2006/relationships/hyperlink" Target="https://commons.wikimedia.org/wiki/User:Luifereduardoo" TargetMode="External"/><Relationship Id="rId398" Type="http://schemas.openxmlformats.org/officeDocument/2006/relationships/hyperlink" Target="https://commons.wikimedia.org/wiki/User:Nbareschu" TargetMode="External"/><Relationship Id="rId397" Type="http://schemas.openxmlformats.org/officeDocument/2006/relationships/hyperlink" Target="https://commons.wikimedia.org/wiki/User:KingJo09" TargetMode="External"/><Relationship Id="rId40" Type="http://schemas.openxmlformats.org/officeDocument/2006/relationships/hyperlink" Target="https://commons.wikimedia.org/wiki/User:Diferoch" TargetMode="External"/><Relationship Id="rId42" Type="http://schemas.openxmlformats.org/officeDocument/2006/relationships/hyperlink" Target="https://commons.wikimedia.org/wiki/User:Diferoch" TargetMode="External"/><Relationship Id="rId41" Type="http://schemas.openxmlformats.org/officeDocument/2006/relationships/hyperlink" Target="https://commons.wikimedia.org/wiki/User:Johannelob" TargetMode="External"/><Relationship Id="rId44" Type="http://schemas.openxmlformats.org/officeDocument/2006/relationships/hyperlink" Target="https://commons.wikimedia.org/wiki/User:Diferoch" TargetMode="External"/><Relationship Id="rId43" Type="http://schemas.openxmlformats.org/officeDocument/2006/relationships/hyperlink" Target="https://commons.wikimedia.org/wiki/User:Diferoch" TargetMode="External"/><Relationship Id="rId46" Type="http://schemas.openxmlformats.org/officeDocument/2006/relationships/hyperlink" Target="https://commons.wikimedia.org/wiki/User:Rodrigomacrophoto" TargetMode="External"/><Relationship Id="rId45" Type="http://schemas.openxmlformats.org/officeDocument/2006/relationships/hyperlink" Target="https://commons.wikimedia.org/wiki/User:Diferoch" TargetMode="External"/><Relationship Id="rId48" Type="http://schemas.openxmlformats.org/officeDocument/2006/relationships/hyperlink" Target="https://commons.wikimedia.org/wiki/User:XimmoY" TargetMode="External"/><Relationship Id="rId47" Type="http://schemas.openxmlformats.org/officeDocument/2006/relationships/hyperlink" Target="https://commons.wikimedia.org/wiki/User:XimmoY" TargetMode="External"/><Relationship Id="rId49" Type="http://schemas.openxmlformats.org/officeDocument/2006/relationships/hyperlink" Target="https://commons.wikimedia.org/wiki/User:Andresdflorez23" TargetMode="External"/><Relationship Id="rId31" Type="http://schemas.openxmlformats.org/officeDocument/2006/relationships/hyperlink" Target="https://commons.wikimedia.org/wiki/User:Diferoch" TargetMode="External"/><Relationship Id="rId30" Type="http://schemas.openxmlformats.org/officeDocument/2006/relationships/hyperlink" Target="https://commons.wikimedia.org/wiki/User:AmiGueko" TargetMode="External"/><Relationship Id="rId33" Type="http://schemas.openxmlformats.org/officeDocument/2006/relationships/hyperlink" Target="https://commons.wikimedia.org/wiki/User:CHAVESJUAN19" TargetMode="External"/><Relationship Id="rId32" Type="http://schemas.openxmlformats.org/officeDocument/2006/relationships/hyperlink" Target="https://commons.wikimedia.org/wiki/User:Diferoch" TargetMode="External"/><Relationship Id="rId35" Type="http://schemas.openxmlformats.org/officeDocument/2006/relationships/hyperlink" Target="https://commons.wikimedia.org/wiki/User:Diferoch" TargetMode="External"/><Relationship Id="rId34" Type="http://schemas.openxmlformats.org/officeDocument/2006/relationships/hyperlink" Target="https://commons.wikimedia.org/wiki/User:XimmoY" TargetMode="External"/><Relationship Id="rId37" Type="http://schemas.openxmlformats.org/officeDocument/2006/relationships/hyperlink" Target="https://commons.wikimedia.org/wiki/User:AmiGueko" TargetMode="External"/><Relationship Id="rId36" Type="http://schemas.openxmlformats.org/officeDocument/2006/relationships/hyperlink" Target="https://commons.wikimedia.org/wiki/User:Mfrancoavellaneda" TargetMode="External"/><Relationship Id="rId39" Type="http://schemas.openxmlformats.org/officeDocument/2006/relationships/hyperlink" Target="https://commons.wikimedia.org/wiki/User:Supertita" TargetMode="External"/><Relationship Id="rId38" Type="http://schemas.openxmlformats.org/officeDocument/2006/relationships/hyperlink" Target="https://commons.wikimedia.org/wiki/User:LentedeBerilo" TargetMode="External"/><Relationship Id="rId20" Type="http://schemas.openxmlformats.org/officeDocument/2006/relationships/hyperlink" Target="https://commons.wikimedia.org/wiki/User:Diferoch" TargetMode="External"/><Relationship Id="rId22" Type="http://schemas.openxmlformats.org/officeDocument/2006/relationships/hyperlink" Target="https://commons.wikimedia.org/wiki/User:NMontoya%20%28WMCO%29" TargetMode="External"/><Relationship Id="rId21" Type="http://schemas.openxmlformats.org/officeDocument/2006/relationships/hyperlink" Target="https://commons.wikimedia.org/wiki/User:Diferoch" TargetMode="External"/><Relationship Id="rId24" Type="http://schemas.openxmlformats.org/officeDocument/2006/relationships/hyperlink" Target="https://commons.wikimedia.org/wiki/User:Bioedna.ro" TargetMode="External"/><Relationship Id="rId23" Type="http://schemas.openxmlformats.org/officeDocument/2006/relationships/hyperlink" Target="https://commons.wikimedia.org/wiki/User:Rodrigomacrophoto" TargetMode="External"/><Relationship Id="rId26" Type="http://schemas.openxmlformats.org/officeDocument/2006/relationships/hyperlink" Target="https://commons.wikimedia.org/wiki/User:AmiGueko" TargetMode="External"/><Relationship Id="rId25" Type="http://schemas.openxmlformats.org/officeDocument/2006/relationships/hyperlink" Target="https://commons.wikimedia.org/wiki/User:Bioedna.ro" TargetMode="External"/><Relationship Id="rId28" Type="http://schemas.openxmlformats.org/officeDocument/2006/relationships/hyperlink" Target="https://commons.wikimedia.org/wiki/User:Mat1318" TargetMode="External"/><Relationship Id="rId27" Type="http://schemas.openxmlformats.org/officeDocument/2006/relationships/hyperlink" Target="https://commons.wikimedia.org/wiki/User:AmiGueko" TargetMode="External"/><Relationship Id="rId29" Type="http://schemas.openxmlformats.org/officeDocument/2006/relationships/hyperlink" Target="https://commons.wikimedia.org/wiki/User:AmiGueko" TargetMode="External"/><Relationship Id="rId11" Type="http://schemas.openxmlformats.org/officeDocument/2006/relationships/hyperlink" Target="https://commons.wikimedia.org/wiki/User:AmiGueko" TargetMode="External"/><Relationship Id="rId10" Type="http://schemas.openxmlformats.org/officeDocument/2006/relationships/hyperlink" Target="https://commons.wikimedia.org/wiki/User:AmiGueko" TargetMode="External"/><Relationship Id="rId13" Type="http://schemas.openxmlformats.org/officeDocument/2006/relationships/hyperlink" Target="https://commons.wikimedia.org/wiki/User:Rodrigomacrophoto" TargetMode="External"/><Relationship Id="rId12" Type="http://schemas.openxmlformats.org/officeDocument/2006/relationships/hyperlink" Target="https://commons.wikimedia.org/wiki/User:Rodrigomacrophoto" TargetMode="External"/><Relationship Id="rId15" Type="http://schemas.openxmlformats.org/officeDocument/2006/relationships/hyperlink" Target="https://commons.wikimedia.org/wiki/User:AmiGueko" TargetMode="External"/><Relationship Id="rId14" Type="http://schemas.openxmlformats.org/officeDocument/2006/relationships/hyperlink" Target="https://commons.wikimedia.org/wiki/User:Rodrigomacrophoto" TargetMode="External"/><Relationship Id="rId17" Type="http://schemas.openxmlformats.org/officeDocument/2006/relationships/hyperlink" Target="https://commons.wikimedia.org/wiki/User:Diferoch" TargetMode="External"/><Relationship Id="rId16" Type="http://schemas.openxmlformats.org/officeDocument/2006/relationships/hyperlink" Target="https://commons.wikimedia.org/wiki/User:Andresdflorez23" TargetMode="External"/><Relationship Id="rId19" Type="http://schemas.openxmlformats.org/officeDocument/2006/relationships/hyperlink" Target="https://commons.wikimedia.org/wiki/User:Johan%20Andr%C3%A9s%20Toro" TargetMode="External"/><Relationship Id="rId18" Type="http://schemas.openxmlformats.org/officeDocument/2006/relationships/hyperlink" Target="https://commons.wikimedia.org/wiki/User:Gualy05" TargetMode="External"/><Relationship Id="rId84" Type="http://schemas.openxmlformats.org/officeDocument/2006/relationships/hyperlink" Target="https://commons.wikimedia.org/wiki/User:Project5443" TargetMode="External"/><Relationship Id="rId83" Type="http://schemas.openxmlformats.org/officeDocument/2006/relationships/hyperlink" Target="https://commons.wikimedia.org/wiki/User:Juanrapave" TargetMode="External"/><Relationship Id="rId86" Type="http://schemas.openxmlformats.org/officeDocument/2006/relationships/hyperlink" Target="https://commons.wikimedia.org/wiki/User:TeaBonsai" TargetMode="External"/><Relationship Id="rId85" Type="http://schemas.openxmlformats.org/officeDocument/2006/relationships/hyperlink" Target="https://commons.wikimedia.org/wiki/User:JuanitoCISF" TargetMode="External"/><Relationship Id="rId88" Type="http://schemas.openxmlformats.org/officeDocument/2006/relationships/hyperlink" Target="https://commons.wikimedia.org/wiki/User:Supertita" TargetMode="External"/><Relationship Id="rId87" Type="http://schemas.openxmlformats.org/officeDocument/2006/relationships/hyperlink" Target="https://commons.wikimedia.org/wiki/User:TeaBonsai" TargetMode="External"/><Relationship Id="rId89" Type="http://schemas.openxmlformats.org/officeDocument/2006/relationships/hyperlink" Target="https://commons.wikimedia.org/wiki/User:Diferoch" TargetMode="External"/><Relationship Id="rId80" Type="http://schemas.openxmlformats.org/officeDocument/2006/relationships/hyperlink" Target="https://commons.wikimedia.org/wiki/User:Diferoch" TargetMode="External"/><Relationship Id="rId82" Type="http://schemas.openxmlformats.org/officeDocument/2006/relationships/hyperlink" Target="https://commons.wikimedia.org/wiki/User:Juanrapave" TargetMode="External"/><Relationship Id="rId81" Type="http://schemas.openxmlformats.org/officeDocument/2006/relationships/hyperlink" Target="https://commons.wikimedia.org/wiki/User:Juanrapave" TargetMode="External"/><Relationship Id="rId73" Type="http://schemas.openxmlformats.org/officeDocument/2006/relationships/hyperlink" Target="https://commons.wikimedia.org/wiki/User:AmiGueko" TargetMode="External"/><Relationship Id="rId72" Type="http://schemas.openxmlformats.org/officeDocument/2006/relationships/hyperlink" Target="https://commons.wikimedia.org/wiki/User:AmiGueko" TargetMode="External"/><Relationship Id="rId75" Type="http://schemas.openxmlformats.org/officeDocument/2006/relationships/hyperlink" Target="https://commons.wikimedia.org/wiki/User:AmiGueko" TargetMode="External"/><Relationship Id="rId74" Type="http://schemas.openxmlformats.org/officeDocument/2006/relationships/hyperlink" Target="https://commons.wikimedia.org/wiki/User:AmiGueko" TargetMode="External"/><Relationship Id="rId77" Type="http://schemas.openxmlformats.org/officeDocument/2006/relationships/hyperlink" Target="https://commons.wikimedia.org/wiki/User:AmiGueko" TargetMode="External"/><Relationship Id="rId76" Type="http://schemas.openxmlformats.org/officeDocument/2006/relationships/hyperlink" Target="https://commons.wikimedia.org/wiki/User:AmiGueko" TargetMode="External"/><Relationship Id="rId79" Type="http://schemas.openxmlformats.org/officeDocument/2006/relationships/hyperlink" Target="https://commons.wikimedia.org/wiki/User:AmiGueko" TargetMode="External"/><Relationship Id="rId78" Type="http://schemas.openxmlformats.org/officeDocument/2006/relationships/hyperlink" Target="https://commons.wikimedia.org/wiki/User:AmiGueko" TargetMode="External"/><Relationship Id="rId71" Type="http://schemas.openxmlformats.org/officeDocument/2006/relationships/hyperlink" Target="https://commons.wikimedia.org/wiki/User:Gsilvaarias" TargetMode="External"/><Relationship Id="rId70" Type="http://schemas.openxmlformats.org/officeDocument/2006/relationships/hyperlink" Target="https://commons.wikimedia.org/wiki/User:Diferoch" TargetMode="External"/><Relationship Id="rId62" Type="http://schemas.openxmlformats.org/officeDocument/2006/relationships/hyperlink" Target="https://commons.wikimedia.org/wiki/User:Rodrigomacrophoto" TargetMode="External"/><Relationship Id="rId61" Type="http://schemas.openxmlformats.org/officeDocument/2006/relationships/hyperlink" Target="https://commons.wikimedia.org/wiki/User:Pilarrb9286" TargetMode="External"/><Relationship Id="rId64" Type="http://schemas.openxmlformats.org/officeDocument/2006/relationships/hyperlink" Target="https://commons.wikimedia.org/wiki/User:AmiGueko" TargetMode="External"/><Relationship Id="rId63" Type="http://schemas.openxmlformats.org/officeDocument/2006/relationships/hyperlink" Target="https://commons.wikimedia.org/wiki/User:Rodrigomacrophoto" TargetMode="External"/><Relationship Id="rId66" Type="http://schemas.openxmlformats.org/officeDocument/2006/relationships/hyperlink" Target="https://commons.wikimedia.org/wiki/User:Juanrapave" TargetMode="External"/><Relationship Id="rId65" Type="http://schemas.openxmlformats.org/officeDocument/2006/relationships/hyperlink" Target="https://commons.wikimedia.org/wiki/User:Romauribe" TargetMode="External"/><Relationship Id="rId68" Type="http://schemas.openxmlformats.org/officeDocument/2006/relationships/hyperlink" Target="https://commons.wikimedia.org/wiki/User:Diferoch" TargetMode="External"/><Relationship Id="rId67" Type="http://schemas.openxmlformats.org/officeDocument/2006/relationships/hyperlink" Target="https://commons.wikimedia.org/wiki/User:Project5443" TargetMode="External"/><Relationship Id="rId60" Type="http://schemas.openxmlformats.org/officeDocument/2006/relationships/hyperlink" Target="https://commons.wikimedia.org/wiki/User:Diferoch" TargetMode="External"/><Relationship Id="rId69" Type="http://schemas.openxmlformats.org/officeDocument/2006/relationships/hyperlink" Target="https://commons.wikimedia.org/wiki/User:Diferoch" TargetMode="External"/><Relationship Id="rId51" Type="http://schemas.openxmlformats.org/officeDocument/2006/relationships/hyperlink" Target="https://commons.wikimedia.org/wiki/User:Supertita" TargetMode="External"/><Relationship Id="rId50" Type="http://schemas.openxmlformats.org/officeDocument/2006/relationships/hyperlink" Target="https://commons.wikimedia.org/wiki/User:JulianaaValenFrog28" TargetMode="External"/><Relationship Id="rId53" Type="http://schemas.openxmlformats.org/officeDocument/2006/relationships/hyperlink" Target="https://commons.wikimedia.org/wiki/User:Elprofeta91" TargetMode="External"/><Relationship Id="rId52" Type="http://schemas.openxmlformats.org/officeDocument/2006/relationships/hyperlink" Target="https://commons.wikimedia.org/wiki/User:Mfrancoavellaneda" TargetMode="External"/><Relationship Id="rId55" Type="http://schemas.openxmlformats.org/officeDocument/2006/relationships/hyperlink" Target="https://commons.wikimedia.org/wiki/User:Diferoch" TargetMode="External"/><Relationship Id="rId54" Type="http://schemas.openxmlformats.org/officeDocument/2006/relationships/hyperlink" Target="https://commons.wikimedia.org/wiki/User:Supertita" TargetMode="External"/><Relationship Id="rId57" Type="http://schemas.openxmlformats.org/officeDocument/2006/relationships/hyperlink" Target="https://commons.wikimedia.org/wiki/User:Rodrigomacrophoto" TargetMode="External"/><Relationship Id="rId56" Type="http://schemas.openxmlformats.org/officeDocument/2006/relationships/hyperlink" Target="https://commons.wikimedia.org/wiki/User:Rodrigomacrophoto" TargetMode="External"/><Relationship Id="rId59" Type="http://schemas.openxmlformats.org/officeDocument/2006/relationships/hyperlink" Target="https://commons.wikimedia.org/wiki/User:Supertita" TargetMode="External"/><Relationship Id="rId58" Type="http://schemas.openxmlformats.org/officeDocument/2006/relationships/hyperlink" Target="https://commons.wikimedia.org/wiki/User:Mfrancoavellaneda" TargetMode="External"/><Relationship Id="rId349" Type="http://schemas.openxmlformats.org/officeDocument/2006/relationships/hyperlink" Target="https://commons.wikimedia.org/wiki/User:Bioedna.ro" TargetMode="External"/><Relationship Id="rId348" Type="http://schemas.openxmlformats.org/officeDocument/2006/relationships/hyperlink" Target="https://commons.wikimedia.org/wiki/User:NMontoya%20%28WMCO%29" TargetMode="External"/><Relationship Id="rId347" Type="http://schemas.openxmlformats.org/officeDocument/2006/relationships/hyperlink" Target="https://commons.wikimedia.org/wiki/User:NMontoya%20%28WMCO%29" TargetMode="External"/><Relationship Id="rId346" Type="http://schemas.openxmlformats.org/officeDocument/2006/relationships/hyperlink" Target="https://commons.wikimedia.org/wiki/User:Adrianvargasag" TargetMode="External"/><Relationship Id="rId341" Type="http://schemas.openxmlformats.org/officeDocument/2006/relationships/hyperlink" Target="https://commons.wikimedia.org/wiki/User:Natlycu" TargetMode="External"/><Relationship Id="rId340" Type="http://schemas.openxmlformats.org/officeDocument/2006/relationships/hyperlink" Target="https://commons.wikimedia.org/wiki/User:Nbareschu" TargetMode="External"/><Relationship Id="rId345" Type="http://schemas.openxmlformats.org/officeDocument/2006/relationships/hyperlink" Target="https://commons.wikimedia.org/wiki/User:Janavet%20pantoja%20isaza" TargetMode="External"/><Relationship Id="rId344" Type="http://schemas.openxmlformats.org/officeDocument/2006/relationships/hyperlink" Target="https://commons.wikimedia.org/wiki/User:Zolsemiya" TargetMode="External"/><Relationship Id="rId343" Type="http://schemas.openxmlformats.org/officeDocument/2006/relationships/hyperlink" Target="https://commons.wikimedia.org/wiki/User:Mat1318" TargetMode="External"/><Relationship Id="rId342" Type="http://schemas.openxmlformats.org/officeDocument/2006/relationships/hyperlink" Target="https://commons.wikimedia.org/wiki/User:Mat1318" TargetMode="External"/><Relationship Id="rId338" Type="http://schemas.openxmlformats.org/officeDocument/2006/relationships/hyperlink" Target="https://commons.wikimedia.org/wiki/User:Elprofeta91" TargetMode="External"/><Relationship Id="rId337" Type="http://schemas.openxmlformats.org/officeDocument/2006/relationships/hyperlink" Target="https://commons.wikimedia.org/wiki/User:Elprofeta91" TargetMode="External"/><Relationship Id="rId336" Type="http://schemas.openxmlformats.org/officeDocument/2006/relationships/hyperlink" Target="https://commons.wikimedia.org/wiki/User:Alexpanther" TargetMode="External"/><Relationship Id="rId335" Type="http://schemas.openxmlformats.org/officeDocument/2006/relationships/hyperlink" Target="https://commons.wikimedia.org/wiki/User:Elprofeta91" TargetMode="External"/><Relationship Id="rId339" Type="http://schemas.openxmlformats.org/officeDocument/2006/relationships/hyperlink" Target="https://commons.wikimedia.org/wiki/User:Elprofeta91" TargetMode="External"/><Relationship Id="rId330" Type="http://schemas.openxmlformats.org/officeDocument/2006/relationships/hyperlink" Target="https://commons.wikimedia.org/wiki/User:Lchaparrob" TargetMode="External"/><Relationship Id="rId334" Type="http://schemas.openxmlformats.org/officeDocument/2006/relationships/hyperlink" Target="https://commons.wikimedia.org/wiki/User:Zolsemiya" TargetMode="External"/><Relationship Id="rId333" Type="http://schemas.openxmlformats.org/officeDocument/2006/relationships/hyperlink" Target="https://commons.wikimedia.org/wiki/User:Johan%20Andr%C3%A9s%20Toro" TargetMode="External"/><Relationship Id="rId332" Type="http://schemas.openxmlformats.org/officeDocument/2006/relationships/hyperlink" Target="https://commons.wikimedia.org/wiki/User:KingJo09" TargetMode="External"/><Relationship Id="rId331" Type="http://schemas.openxmlformats.org/officeDocument/2006/relationships/hyperlink" Target="https://commons.wikimedia.org/wiki/User:Cathetovar" TargetMode="External"/><Relationship Id="rId370" Type="http://schemas.openxmlformats.org/officeDocument/2006/relationships/hyperlink" Target="https://commons.wikimedia.org/wiki/User:JuanitoCISF" TargetMode="External"/><Relationship Id="rId369" Type="http://schemas.openxmlformats.org/officeDocument/2006/relationships/hyperlink" Target="https://commons.wikimedia.org/wiki/User:Diferoch" TargetMode="External"/><Relationship Id="rId368" Type="http://schemas.openxmlformats.org/officeDocument/2006/relationships/hyperlink" Target="https://commons.wikimedia.org/wiki/User:Diferoch" TargetMode="External"/><Relationship Id="rId363" Type="http://schemas.openxmlformats.org/officeDocument/2006/relationships/hyperlink" Target="https://commons.wikimedia.org/wiki/User:Supertita" TargetMode="External"/><Relationship Id="rId362" Type="http://schemas.openxmlformats.org/officeDocument/2006/relationships/hyperlink" Target="https://commons.wikimedia.org/wiki/User:Nbareschu" TargetMode="External"/><Relationship Id="rId361" Type="http://schemas.openxmlformats.org/officeDocument/2006/relationships/hyperlink" Target="https://commons.wikimedia.org/wiki/User:CHAVESJUAN19" TargetMode="External"/><Relationship Id="rId360" Type="http://schemas.openxmlformats.org/officeDocument/2006/relationships/hyperlink" Target="https://commons.wikimedia.org/wiki/User:Supertita" TargetMode="External"/><Relationship Id="rId367" Type="http://schemas.openxmlformats.org/officeDocument/2006/relationships/hyperlink" Target="https://commons.wikimedia.org/wiki/User:Diferoch" TargetMode="External"/><Relationship Id="rId366" Type="http://schemas.openxmlformats.org/officeDocument/2006/relationships/hyperlink" Target="https://commons.wikimedia.org/wiki/User:Diferoch" TargetMode="External"/><Relationship Id="rId365" Type="http://schemas.openxmlformats.org/officeDocument/2006/relationships/hyperlink" Target="https://commons.wikimedia.org/wiki/User:Natlycu" TargetMode="External"/><Relationship Id="rId364" Type="http://schemas.openxmlformats.org/officeDocument/2006/relationships/hyperlink" Target="https://commons.wikimedia.org/wiki/User:Natlycu" TargetMode="External"/><Relationship Id="rId95" Type="http://schemas.openxmlformats.org/officeDocument/2006/relationships/hyperlink" Target="https://commons.wikimedia.org/wiki/User:Rodobu%C3%B1uel" TargetMode="External"/><Relationship Id="rId94" Type="http://schemas.openxmlformats.org/officeDocument/2006/relationships/hyperlink" Target="https://commons.wikimedia.org/wiki/User:Johan%20Andr%C3%A9s%20Toro" TargetMode="External"/><Relationship Id="rId97" Type="http://schemas.openxmlformats.org/officeDocument/2006/relationships/hyperlink" Target="https://commons.wikimedia.org/wiki/User:Rodrigomacrophoto" TargetMode="External"/><Relationship Id="rId96" Type="http://schemas.openxmlformats.org/officeDocument/2006/relationships/hyperlink" Target="https://commons.wikimedia.org/wiki/User:AmiGueko" TargetMode="External"/><Relationship Id="rId99" Type="http://schemas.openxmlformats.org/officeDocument/2006/relationships/hyperlink" Target="https://commons.wikimedia.org/wiki/User:AmiGueko" TargetMode="External"/><Relationship Id="rId98" Type="http://schemas.openxmlformats.org/officeDocument/2006/relationships/hyperlink" Target="https://commons.wikimedia.org/wiki/User:JJCL09" TargetMode="External"/><Relationship Id="rId91" Type="http://schemas.openxmlformats.org/officeDocument/2006/relationships/hyperlink" Target="https://commons.wikimedia.org/wiki/User:Diferoch" TargetMode="External"/><Relationship Id="rId90" Type="http://schemas.openxmlformats.org/officeDocument/2006/relationships/hyperlink" Target="https://commons.wikimedia.org/wiki/User:Diferoch" TargetMode="External"/><Relationship Id="rId93" Type="http://schemas.openxmlformats.org/officeDocument/2006/relationships/hyperlink" Target="https://commons.wikimedia.org/wiki/User:Supertita" TargetMode="External"/><Relationship Id="rId92" Type="http://schemas.openxmlformats.org/officeDocument/2006/relationships/hyperlink" Target="https://commons.wikimedia.org/wiki/User:Diferoch" TargetMode="External"/><Relationship Id="rId359" Type="http://schemas.openxmlformats.org/officeDocument/2006/relationships/hyperlink" Target="https://commons.wikimedia.org/wiki/User:KingJo09" TargetMode="External"/><Relationship Id="rId358" Type="http://schemas.openxmlformats.org/officeDocument/2006/relationships/hyperlink" Target="https://commons.wikimedia.org/wiki/User:KingJo09" TargetMode="External"/><Relationship Id="rId357" Type="http://schemas.openxmlformats.org/officeDocument/2006/relationships/hyperlink" Target="https://commons.wikimedia.org/wiki/User:KingJo09" TargetMode="External"/><Relationship Id="rId352" Type="http://schemas.openxmlformats.org/officeDocument/2006/relationships/hyperlink" Target="https://commons.wikimedia.org/wiki/User:Nbareschu" TargetMode="External"/><Relationship Id="rId351" Type="http://schemas.openxmlformats.org/officeDocument/2006/relationships/hyperlink" Target="https://commons.wikimedia.org/wiki/User:AmiGueko" TargetMode="External"/><Relationship Id="rId350" Type="http://schemas.openxmlformats.org/officeDocument/2006/relationships/hyperlink" Target="https://commons.wikimedia.org/wiki/User:Bioedna.ro" TargetMode="External"/><Relationship Id="rId356" Type="http://schemas.openxmlformats.org/officeDocument/2006/relationships/hyperlink" Target="https://commons.wikimedia.org/wiki/User:AmiGueko" TargetMode="External"/><Relationship Id="rId355" Type="http://schemas.openxmlformats.org/officeDocument/2006/relationships/hyperlink" Target="https://commons.wikimedia.org/wiki/User:AmiGueko" TargetMode="External"/><Relationship Id="rId354" Type="http://schemas.openxmlformats.org/officeDocument/2006/relationships/hyperlink" Target="https://commons.wikimedia.org/wiki/User:Biodiego88" TargetMode="External"/><Relationship Id="rId353" Type="http://schemas.openxmlformats.org/officeDocument/2006/relationships/hyperlink" Target="https://commons.wikimedia.org/wiki/User:AmiGueko" TargetMode="External"/><Relationship Id="rId305" Type="http://schemas.openxmlformats.org/officeDocument/2006/relationships/hyperlink" Target="https://commons.wikimedia.org/wiki/User:Supertita" TargetMode="External"/><Relationship Id="rId304" Type="http://schemas.openxmlformats.org/officeDocument/2006/relationships/hyperlink" Target="https://commons.wikimedia.org/wiki/User:Lamoraleja" TargetMode="External"/><Relationship Id="rId303" Type="http://schemas.openxmlformats.org/officeDocument/2006/relationships/hyperlink" Target="https://commons.wikimedia.org/wiki/User:Diferoch" TargetMode="External"/><Relationship Id="rId302" Type="http://schemas.openxmlformats.org/officeDocument/2006/relationships/hyperlink" Target="https://commons.wikimedia.org/wiki/User:KingJo09" TargetMode="External"/><Relationship Id="rId309" Type="http://schemas.openxmlformats.org/officeDocument/2006/relationships/hyperlink" Target="https://commons.wikimedia.org/wiki/User:AmiGueko" TargetMode="External"/><Relationship Id="rId308" Type="http://schemas.openxmlformats.org/officeDocument/2006/relationships/hyperlink" Target="https://commons.wikimedia.org/wiki/User:AmiGueko" TargetMode="External"/><Relationship Id="rId307" Type="http://schemas.openxmlformats.org/officeDocument/2006/relationships/hyperlink" Target="https://commons.wikimedia.org/wiki/User:XimmoY" TargetMode="External"/><Relationship Id="rId306" Type="http://schemas.openxmlformats.org/officeDocument/2006/relationships/hyperlink" Target="https://commons.wikimedia.org/wiki/User:XimmoY" TargetMode="External"/><Relationship Id="rId301" Type="http://schemas.openxmlformats.org/officeDocument/2006/relationships/hyperlink" Target="https://commons.wikimedia.org/wiki/User:Zolsemiya" TargetMode="External"/><Relationship Id="rId300" Type="http://schemas.openxmlformats.org/officeDocument/2006/relationships/hyperlink" Target="https://commons.wikimedia.org/wiki/User:AmiGueko" TargetMode="External"/><Relationship Id="rId327" Type="http://schemas.openxmlformats.org/officeDocument/2006/relationships/hyperlink" Target="https://commons.wikimedia.org/wiki/User:AmiGueko" TargetMode="External"/><Relationship Id="rId326" Type="http://schemas.openxmlformats.org/officeDocument/2006/relationships/hyperlink" Target="https://commons.wikimedia.org/wiki/User:AmiGueko" TargetMode="External"/><Relationship Id="rId325" Type="http://schemas.openxmlformats.org/officeDocument/2006/relationships/hyperlink" Target="https://commons.wikimedia.org/wiki/User:Elprofeta91" TargetMode="External"/><Relationship Id="rId324" Type="http://schemas.openxmlformats.org/officeDocument/2006/relationships/hyperlink" Target="https://commons.wikimedia.org/wiki/User:Elprofeta91" TargetMode="External"/><Relationship Id="rId329" Type="http://schemas.openxmlformats.org/officeDocument/2006/relationships/hyperlink" Target="https://commons.wikimedia.org/wiki/User:Diferoch" TargetMode="External"/><Relationship Id="rId328" Type="http://schemas.openxmlformats.org/officeDocument/2006/relationships/hyperlink" Target="https://commons.wikimedia.org/wiki/User:AmiGueko" TargetMode="External"/><Relationship Id="rId323" Type="http://schemas.openxmlformats.org/officeDocument/2006/relationships/hyperlink" Target="https://commons.wikimedia.org/wiki/User:LentedeBerilo" TargetMode="External"/><Relationship Id="rId322" Type="http://schemas.openxmlformats.org/officeDocument/2006/relationships/hyperlink" Target="https://commons.wikimedia.org/wiki/User:Project5443" TargetMode="External"/><Relationship Id="rId321" Type="http://schemas.openxmlformats.org/officeDocument/2006/relationships/hyperlink" Target="https://commons.wikimedia.org/wiki/User:Diferoch" TargetMode="External"/><Relationship Id="rId320" Type="http://schemas.openxmlformats.org/officeDocument/2006/relationships/hyperlink" Target="https://commons.wikimedia.org/wiki/User:Diferoch" TargetMode="External"/><Relationship Id="rId316" Type="http://schemas.openxmlformats.org/officeDocument/2006/relationships/hyperlink" Target="https://commons.wikimedia.org/wiki/User:Diferoch" TargetMode="External"/><Relationship Id="rId315" Type="http://schemas.openxmlformats.org/officeDocument/2006/relationships/hyperlink" Target="https://commons.wikimedia.org/wiki/User:NicolleTorresG" TargetMode="External"/><Relationship Id="rId314" Type="http://schemas.openxmlformats.org/officeDocument/2006/relationships/hyperlink" Target="https://commons.wikimedia.org/wiki/User:Elprofeta91" TargetMode="External"/><Relationship Id="rId313" Type="http://schemas.openxmlformats.org/officeDocument/2006/relationships/hyperlink" Target="https://commons.wikimedia.org/wiki/User:Johan%20Andr%C3%A9s%20Toro" TargetMode="External"/><Relationship Id="rId319" Type="http://schemas.openxmlformats.org/officeDocument/2006/relationships/hyperlink" Target="https://commons.wikimedia.org/wiki/User:Diferoch" TargetMode="External"/><Relationship Id="rId318" Type="http://schemas.openxmlformats.org/officeDocument/2006/relationships/hyperlink" Target="https://commons.wikimedia.org/wiki/User:Diferoch" TargetMode="External"/><Relationship Id="rId317" Type="http://schemas.openxmlformats.org/officeDocument/2006/relationships/hyperlink" Target="https://commons.wikimedia.org/wiki/User:Diferoch" TargetMode="External"/><Relationship Id="rId312" Type="http://schemas.openxmlformats.org/officeDocument/2006/relationships/hyperlink" Target="https://commons.wikimedia.org/wiki/User:ZulayMR" TargetMode="External"/><Relationship Id="rId311" Type="http://schemas.openxmlformats.org/officeDocument/2006/relationships/hyperlink" Target="https://commons.wikimedia.org/wiki/User:CHAVESJUAN19" TargetMode="External"/><Relationship Id="rId310" Type="http://schemas.openxmlformats.org/officeDocument/2006/relationships/hyperlink" Target="https://commons.wikimedia.org/wiki/User:Supertita" TargetMode="External"/><Relationship Id="rId297" Type="http://schemas.openxmlformats.org/officeDocument/2006/relationships/hyperlink" Target="https://commons.wikimedia.org/wiki/User:Y.eduardo" TargetMode="External"/><Relationship Id="rId296" Type="http://schemas.openxmlformats.org/officeDocument/2006/relationships/hyperlink" Target="https://commons.wikimedia.org/wiki/User:NMontoya%20%28WMCO%29" TargetMode="External"/><Relationship Id="rId295" Type="http://schemas.openxmlformats.org/officeDocument/2006/relationships/hyperlink" Target="https://commons.wikimedia.org/wiki/User:Herme%20Cantero" TargetMode="External"/><Relationship Id="rId294" Type="http://schemas.openxmlformats.org/officeDocument/2006/relationships/hyperlink" Target="https://commons.wikimedia.org/wiki/User:Herme%20Cantero" TargetMode="External"/><Relationship Id="rId299" Type="http://schemas.openxmlformats.org/officeDocument/2006/relationships/hyperlink" Target="https://commons.wikimedia.org/wiki/User:Herme%20Cantero" TargetMode="External"/><Relationship Id="rId298" Type="http://schemas.openxmlformats.org/officeDocument/2006/relationships/hyperlink" Target="https://commons.wikimedia.org/wiki/User:Alexpanther" TargetMode="External"/><Relationship Id="rId271" Type="http://schemas.openxmlformats.org/officeDocument/2006/relationships/hyperlink" Target="https://commons.wikimedia.org/wiki/User:Herme%20Cantero" TargetMode="External"/><Relationship Id="rId270" Type="http://schemas.openxmlformats.org/officeDocument/2006/relationships/hyperlink" Target="https://commons.wikimedia.org/wiki/User:Herme%20Cantero" TargetMode="External"/><Relationship Id="rId269" Type="http://schemas.openxmlformats.org/officeDocument/2006/relationships/hyperlink" Target="https://commons.wikimedia.org/wiki/User:Herme%20Cantero" TargetMode="External"/><Relationship Id="rId264" Type="http://schemas.openxmlformats.org/officeDocument/2006/relationships/hyperlink" Target="https://commons.wikimedia.org/wiki/User:LentedeBerilo" TargetMode="External"/><Relationship Id="rId263" Type="http://schemas.openxmlformats.org/officeDocument/2006/relationships/hyperlink" Target="https://commons.wikimedia.org/wiki/User:Romauribe" TargetMode="External"/><Relationship Id="rId262" Type="http://schemas.openxmlformats.org/officeDocument/2006/relationships/hyperlink" Target="https://commons.wikimedia.org/wiki/User:Rodrigomacrophoto" TargetMode="External"/><Relationship Id="rId261" Type="http://schemas.openxmlformats.org/officeDocument/2006/relationships/hyperlink" Target="https://commons.wikimedia.org/wiki/User:Supertita" TargetMode="External"/><Relationship Id="rId268" Type="http://schemas.openxmlformats.org/officeDocument/2006/relationships/hyperlink" Target="https://commons.wikimedia.org/wiki/User:Herme%20Cantero" TargetMode="External"/><Relationship Id="rId267" Type="http://schemas.openxmlformats.org/officeDocument/2006/relationships/hyperlink" Target="https://commons.wikimedia.org/wiki/User:Herme%20Cantero" TargetMode="External"/><Relationship Id="rId266" Type="http://schemas.openxmlformats.org/officeDocument/2006/relationships/hyperlink" Target="https://commons.wikimedia.org/wiki/User:AmiGueko" TargetMode="External"/><Relationship Id="rId265" Type="http://schemas.openxmlformats.org/officeDocument/2006/relationships/hyperlink" Target="https://commons.wikimedia.org/wiki/User:AmiGueko" TargetMode="External"/><Relationship Id="rId260" Type="http://schemas.openxmlformats.org/officeDocument/2006/relationships/hyperlink" Target="https://commons.wikimedia.org/wiki/User:Charlesjsharp" TargetMode="External"/><Relationship Id="rId259" Type="http://schemas.openxmlformats.org/officeDocument/2006/relationships/hyperlink" Target="https://commons.wikimedia.org/wiki/User:Supertita" TargetMode="External"/><Relationship Id="rId258" Type="http://schemas.openxmlformats.org/officeDocument/2006/relationships/hyperlink" Target="https://commons.wikimedia.org/wiki/User:Adrianvargasag" TargetMode="External"/><Relationship Id="rId253" Type="http://schemas.openxmlformats.org/officeDocument/2006/relationships/hyperlink" Target="https://commons.wikimedia.org/wiki/User:Diferoch" TargetMode="External"/><Relationship Id="rId252" Type="http://schemas.openxmlformats.org/officeDocument/2006/relationships/hyperlink" Target="https://commons.wikimedia.org/wiki/User:Diferoch" TargetMode="External"/><Relationship Id="rId251" Type="http://schemas.openxmlformats.org/officeDocument/2006/relationships/hyperlink" Target="https://commons.wikimedia.org/wiki/User:Diferoch" TargetMode="External"/><Relationship Id="rId250" Type="http://schemas.openxmlformats.org/officeDocument/2006/relationships/hyperlink" Target="https://commons.wikimedia.org/wiki/User:Diferoch" TargetMode="External"/><Relationship Id="rId257" Type="http://schemas.openxmlformats.org/officeDocument/2006/relationships/hyperlink" Target="https://commons.wikimedia.org/wiki/User:Adrianvargasag" TargetMode="External"/><Relationship Id="rId256" Type="http://schemas.openxmlformats.org/officeDocument/2006/relationships/hyperlink" Target="https://commons.wikimedia.org/wiki/User:KingJo09" TargetMode="External"/><Relationship Id="rId255" Type="http://schemas.openxmlformats.org/officeDocument/2006/relationships/hyperlink" Target="https://commons.wikimedia.org/wiki/User:Supertita" TargetMode="External"/><Relationship Id="rId254" Type="http://schemas.openxmlformats.org/officeDocument/2006/relationships/hyperlink" Target="https://commons.wikimedia.org/wiki/User:Diferoch" TargetMode="External"/><Relationship Id="rId293" Type="http://schemas.openxmlformats.org/officeDocument/2006/relationships/hyperlink" Target="https://commons.wikimedia.org/wiki/User:Herme%20Cantero" TargetMode="External"/><Relationship Id="rId292" Type="http://schemas.openxmlformats.org/officeDocument/2006/relationships/hyperlink" Target="https://commons.wikimedia.org/wiki/User:Herme%20Cantero" TargetMode="External"/><Relationship Id="rId291" Type="http://schemas.openxmlformats.org/officeDocument/2006/relationships/hyperlink" Target="https://commons.wikimedia.org/wiki/User:Herme%20Cantero" TargetMode="External"/><Relationship Id="rId290" Type="http://schemas.openxmlformats.org/officeDocument/2006/relationships/hyperlink" Target="https://commons.wikimedia.org/wiki/User:Herme%20Cantero" TargetMode="External"/><Relationship Id="rId286" Type="http://schemas.openxmlformats.org/officeDocument/2006/relationships/hyperlink" Target="https://commons.wikimedia.org/wiki/User:Herme%20Cantero" TargetMode="External"/><Relationship Id="rId285" Type="http://schemas.openxmlformats.org/officeDocument/2006/relationships/hyperlink" Target="https://commons.wikimedia.org/wiki/User:Herme%20Cantero" TargetMode="External"/><Relationship Id="rId284" Type="http://schemas.openxmlformats.org/officeDocument/2006/relationships/hyperlink" Target="https://commons.wikimedia.org/wiki/User:Herme%20Cantero" TargetMode="External"/><Relationship Id="rId283" Type="http://schemas.openxmlformats.org/officeDocument/2006/relationships/hyperlink" Target="https://commons.wikimedia.org/wiki/User:Herme%20Cantero" TargetMode="External"/><Relationship Id="rId289" Type="http://schemas.openxmlformats.org/officeDocument/2006/relationships/hyperlink" Target="https://commons.wikimedia.org/wiki/User:Herme%20Cantero" TargetMode="External"/><Relationship Id="rId288" Type="http://schemas.openxmlformats.org/officeDocument/2006/relationships/hyperlink" Target="https://commons.wikimedia.org/wiki/User:Herme%20Cantero" TargetMode="External"/><Relationship Id="rId287" Type="http://schemas.openxmlformats.org/officeDocument/2006/relationships/hyperlink" Target="https://commons.wikimedia.org/wiki/User:Herme%20Cantero" TargetMode="External"/><Relationship Id="rId282" Type="http://schemas.openxmlformats.org/officeDocument/2006/relationships/hyperlink" Target="https://commons.wikimedia.org/wiki/User:Herme%20Cantero" TargetMode="External"/><Relationship Id="rId281" Type="http://schemas.openxmlformats.org/officeDocument/2006/relationships/hyperlink" Target="https://commons.wikimedia.org/wiki/User:Herme%20Cantero" TargetMode="External"/><Relationship Id="rId280" Type="http://schemas.openxmlformats.org/officeDocument/2006/relationships/hyperlink" Target="https://commons.wikimedia.org/wiki/User:Herme%20Cantero" TargetMode="External"/><Relationship Id="rId275" Type="http://schemas.openxmlformats.org/officeDocument/2006/relationships/hyperlink" Target="https://commons.wikimedia.org/wiki/User:Herme%20Cantero" TargetMode="External"/><Relationship Id="rId274" Type="http://schemas.openxmlformats.org/officeDocument/2006/relationships/hyperlink" Target="https://commons.wikimedia.org/wiki/User:Herme%20Cantero" TargetMode="External"/><Relationship Id="rId273" Type="http://schemas.openxmlformats.org/officeDocument/2006/relationships/hyperlink" Target="https://commons.wikimedia.org/wiki/User:Herme%20Cantero" TargetMode="External"/><Relationship Id="rId272" Type="http://schemas.openxmlformats.org/officeDocument/2006/relationships/hyperlink" Target="https://commons.wikimedia.org/wiki/User:Herme%20Cantero" TargetMode="External"/><Relationship Id="rId279" Type="http://schemas.openxmlformats.org/officeDocument/2006/relationships/hyperlink" Target="https://commons.wikimedia.org/wiki/User:Herme%20Cantero" TargetMode="External"/><Relationship Id="rId278" Type="http://schemas.openxmlformats.org/officeDocument/2006/relationships/hyperlink" Target="https://commons.wikimedia.org/wiki/User:Herme%20Cantero" TargetMode="External"/><Relationship Id="rId277" Type="http://schemas.openxmlformats.org/officeDocument/2006/relationships/hyperlink" Target="https://commons.wikimedia.org/wiki/User:Herme%20Cantero" TargetMode="External"/><Relationship Id="rId276" Type="http://schemas.openxmlformats.org/officeDocument/2006/relationships/hyperlink" Target="https://commons.wikimedia.org/wiki/User:Herme%20Cantero" TargetMode="External"/><Relationship Id="rId228" Type="http://schemas.openxmlformats.org/officeDocument/2006/relationships/hyperlink" Target="https://commons.wikimedia.org/wiki/User:NicolleTorresG" TargetMode="External"/><Relationship Id="rId227" Type="http://schemas.openxmlformats.org/officeDocument/2006/relationships/hyperlink" Target="https://commons.wikimedia.org/wiki/User:NicolleTorresG" TargetMode="External"/><Relationship Id="rId226" Type="http://schemas.openxmlformats.org/officeDocument/2006/relationships/hyperlink" Target="https://commons.wikimedia.org/wiki/User:Natlycu" TargetMode="External"/><Relationship Id="rId225" Type="http://schemas.openxmlformats.org/officeDocument/2006/relationships/hyperlink" Target="https://commons.wikimedia.org/wiki/User:Estudiante0001" TargetMode="External"/><Relationship Id="rId229" Type="http://schemas.openxmlformats.org/officeDocument/2006/relationships/hyperlink" Target="https://commons.wikimedia.org/wiki/User:NicolleTorresG" TargetMode="External"/><Relationship Id="rId220" Type="http://schemas.openxmlformats.org/officeDocument/2006/relationships/hyperlink" Target="https://commons.wikimedia.org/wiki/User:Diferoch" TargetMode="External"/><Relationship Id="rId224" Type="http://schemas.openxmlformats.org/officeDocument/2006/relationships/hyperlink" Target="https://commons.wikimedia.org/wiki/User:Pilarrb9286" TargetMode="External"/><Relationship Id="rId223" Type="http://schemas.openxmlformats.org/officeDocument/2006/relationships/hyperlink" Target="https://commons.wikimedia.org/wiki/User:NMontoya%20%28WMCO%29" TargetMode="External"/><Relationship Id="rId222" Type="http://schemas.openxmlformats.org/officeDocument/2006/relationships/hyperlink" Target="https://commons.wikimedia.org/wiki/User:Estudiante0001" TargetMode="External"/><Relationship Id="rId221" Type="http://schemas.openxmlformats.org/officeDocument/2006/relationships/hyperlink" Target="https://commons.wikimedia.org/wiki/User:Johannelob" TargetMode="External"/><Relationship Id="rId217" Type="http://schemas.openxmlformats.org/officeDocument/2006/relationships/hyperlink" Target="https://commons.wikimedia.org/wiki/User:AmiGueko" TargetMode="External"/><Relationship Id="rId216" Type="http://schemas.openxmlformats.org/officeDocument/2006/relationships/hyperlink" Target="https://commons.wikimedia.org/wiki/User:AmiGueko" TargetMode="External"/><Relationship Id="rId215" Type="http://schemas.openxmlformats.org/officeDocument/2006/relationships/hyperlink" Target="https://commons.wikimedia.org/wiki/User:AmiGueko" TargetMode="External"/><Relationship Id="rId214" Type="http://schemas.openxmlformats.org/officeDocument/2006/relationships/hyperlink" Target="https://commons.wikimedia.org/wiki/User:LentedeBerilo" TargetMode="External"/><Relationship Id="rId219" Type="http://schemas.openxmlformats.org/officeDocument/2006/relationships/hyperlink" Target="https://commons.wikimedia.org/wiki/User:AmiGueko" TargetMode="External"/><Relationship Id="rId218" Type="http://schemas.openxmlformats.org/officeDocument/2006/relationships/hyperlink" Target="https://commons.wikimedia.org/wiki/User:AmiGueko" TargetMode="External"/><Relationship Id="rId213" Type="http://schemas.openxmlformats.org/officeDocument/2006/relationships/hyperlink" Target="https://commons.wikimedia.org/wiki/User:Project5443" TargetMode="External"/><Relationship Id="rId212" Type="http://schemas.openxmlformats.org/officeDocument/2006/relationships/hyperlink" Target="https://commons.wikimedia.org/wiki/User:Juanrapave" TargetMode="External"/><Relationship Id="rId211" Type="http://schemas.openxmlformats.org/officeDocument/2006/relationships/hyperlink" Target="https://commons.wikimedia.org/wiki/User:AmiGueko" TargetMode="External"/><Relationship Id="rId210" Type="http://schemas.openxmlformats.org/officeDocument/2006/relationships/hyperlink" Target="https://commons.wikimedia.org/wiki/User:Elprofeta91" TargetMode="External"/><Relationship Id="rId249" Type="http://schemas.openxmlformats.org/officeDocument/2006/relationships/hyperlink" Target="https://commons.wikimedia.org/wiki/User:Supertita" TargetMode="External"/><Relationship Id="rId248" Type="http://schemas.openxmlformats.org/officeDocument/2006/relationships/hyperlink" Target="https://commons.wikimedia.org/wiki/User:Sophy%20Martinez" TargetMode="External"/><Relationship Id="rId247" Type="http://schemas.openxmlformats.org/officeDocument/2006/relationships/hyperlink" Target="https://commons.wikimedia.org/wiki/User:Guiverfer" TargetMode="External"/><Relationship Id="rId242" Type="http://schemas.openxmlformats.org/officeDocument/2006/relationships/hyperlink" Target="https://commons.wikimedia.org/wiki/User:Diferoch" TargetMode="External"/><Relationship Id="rId241" Type="http://schemas.openxmlformats.org/officeDocument/2006/relationships/hyperlink" Target="https://commons.wikimedia.org/wiki/User:Lamoraleja" TargetMode="External"/><Relationship Id="rId240" Type="http://schemas.openxmlformats.org/officeDocument/2006/relationships/hyperlink" Target="https://commons.wikimedia.org/wiki/User:Supertita" TargetMode="External"/><Relationship Id="rId246" Type="http://schemas.openxmlformats.org/officeDocument/2006/relationships/hyperlink" Target="https://commons.wikimedia.org/wiki/User:KingJo09" TargetMode="External"/><Relationship Id="rId245" Type="http://schemas.openxmlformats.org/officeDocument/2006/relationships/hyperlink" Target="https://commons.wikimedia.org/wiki/User:Antoniacorralosorio" TargetMode="External"/><Relationship Id="rId244" Type="http://schemas.openxmlformats.org/officeDocument/2006/relationships/hyperlink" Target="https://commons.wikimedia.org/wiki/User:JulianaaValenFrog28" TargetMode="External"/><Relationship Id="rId243" Type="http://schemas.openxmlformats.org/officeDocument/2006/relationships/hyperlink" Target="https://commons.wikimedia.org/wiki/User:Diferoch" TargetMode="External"/><Relationship Id="rId239" Type="http://schemas.openxmlformats.org/officeDocument/2006/relationships/hyperlink" Target="https://commons.wikimedia.org/wiki/User:Diferoch" TargetMode="External"/><Relationship Id="rId238" Type="http://schemas.openxmlformats.org/officeDocument/2006/relationships/hyperlink" Target="https://commons.wikimedia.org/wiki/User:Diferoch" TargetMode="External"/><Relationship Id="rId237" Type="http://schemas.openxmlformats.org/officeDocument/2006/relationships/hyperlink" Target="https://commons.wikimedia.org/wiki/User:Dewinjj" TargetMode="External"/><Relationship Id="rId236" Type="http://schemas.openxmlformats.org/officeDocument/2006/relationships/hyperlink" Target="https://commons.wikimedia.org/wiki/User:JJCL09" TargetMode="External"/><Relationship Id="rId231" Type="http://schemas.openxmlformats.org/officeDocument/2006/relationships/hyperlink" Target="https://commons.wikimedia.org/wiki/User:Supertita" TargetMode="External"/><Relationship Id="rId230" Type="http://schemas.openxmlformats.org/officeDocument/2006/relationships/hyperlink" Target="https://commons.wikimedia.org/wiki/User:Supertita" TargetMode="External"/><Relationship Id="rId235" Type="http://schemas.openxmlformats.org/officeDocument/2006/relationships/hyperlink" Target="https://commons.wikimedia.org/wiki/User:Supertita" TargetMode="External"/><Relationship Id="rId234" Type="http://schemas.openxmlformats.org/officeDocument/2006/relationships/hyperlink" Target="https://commons.wikimedia.org/wiki/User:Charlesjsharp" TargetMode="External"/><Relationship Id="rId233" Type="http://schemas.openxmlformats.org/officeDocument/2006/relationships/hyperlink" Target="https://commons.wikimedia.org/wiki/User:AmiGueko" TargetMode="External"/><Relationship Id="rId232" Type="http://schemas.openxmlformats.org/officeDocument/2006/relationships/hyperlink" Target="https://commons.wikimedia.org/wiki/User:AmiGueko" TargetMode="External"/><Relationship Id="rId206" Type="http://schemas.openxmlformats.org/officeDocument/2006/relationships/hyperlink" Target="https://commons.wikimedia.org/wiki/User:Diferoch" TargetMode="External"/><Relationship Id="rId205" Type="http://schemas.openxmlformats.org/officeDocument/2006/relationships/hyperlink" Target="https://commons.wikimedia.org/wiki/User:Diferoch" TargetMode="External"/><Relationship Id="rId204" Type="http://schemas.openxmlformats.org/officeDocument/2006/relationships/hyperlink" Target="https://commons.wikimedia.org/wiki/User:AmiGueko" TargetMode="External"/><Relationship Id="rId203" Type="http://schemas.openxmlformats.org/officeDocument/2006/relationships/hyperlink" Target="https://commons.wikimedia.org/wiki/User:Supertita" TargetMode="External"/><Relationship Id="rId209" Type="http://schemas.openxmlformats.org/officeDocument/2006/relationships/hyperlink" Target="https://commons.wikimedia.org/wiki/User:Elprofeta91" TargetMode="External"/><Relationship Id="rId208" Type="http://schemas.openxmlformats.org/officeDocument/2006/relationships/hyperlink" Target="https://commons.wikimedia.org/wiki/User:Juanrapave" TargetMode="External"/><Relationship Id="rId207" Type="http://schemas.openxmlformats.org/officeDocument/2006/relationships/hyperlink" Target="https://commons.wikimedia.org/wiki/User:Diferoch" TargetMode="External"/><Relationship Id="rId202" Type="http://schemas.openxmlformats.org/officeDocument/2006/relationships/hyperlink" Target="https://commons.wikimedia.org/wiki/User:Charlesjsharp" TargetMode="External"/><Relationship Id="rId201" Type="http://schemas.openxmlformats.org/officeDocument/2006/relationships/hyperlink" Target="https://commons.wikimedia.org/wiki/User:Sebasgr05" TargetMode="External"/><Relationship Id="rId200" Type="http://schemas.openxmlformats.org/officeDocument/2006/relationships/hyperlink" Target="https://commons.wikimedia.org/wiki/User:Maicol%20andres%20sanabria%20leon" TargetMode="External"/><Relationship Id="rId509" Type="http://schemas.openxmlformats.org/officeDocument/2006/relationships/hyperlink" Target="https://commons.wikimedia.org/wiki/User:Diferoch" TargetMode="External"/><Relationship Id="rId508" Type="http://schemas.openxmlformats.org/officeDocument/2006/relationships/hyperlink" Target="https://commons.wikimedia.org/wiki/User:Diferoch" TargetMode="External"/><Relationship Id="rId503" Type="http://schemas.openxmlformats.org/officeDocument/2006/relationships/hyperlink" Target="https://commons.wikimedia.org/wiki/User:JuanitoCISF" TargetMode="External"/><Relationship Id="rId502" Type="http://schemas.openxmlformats.org/officeDocument/2006/relationships/hyperlink" Target="https://commons.wikimedia.org/wiki/User:Mottenpriesterin" TargetMode="External"/><Relationship Id="rId501" Type="http://schemas.openxmlformats.org/officeDocument/2006/relationships/hyperlink" Target="https://commons.wikimedia.org/wiki/User:Luifereduardoo" TargetMode="External"/><Relationship Id="rId500" Type="http://schemas.openxmlformats.org/officeDocument/2006/relationships/hyperlink" Target="https://commons.wikimedia.org/wiki/User:Supertita" TargetMode="External"/><Relationship Id="rId507" Type="http://schemas.openxmlformats.org/officeDocument/2006/relationships/hyperlink" Target="https://commons.wikimedia.org/wiki/User:Diferoch" TargetMode="External"/><Relationship Id="rId506" Type="http://schemas.openxmlformats.org/officeDocument/2006/relationships/hyperlink" Target="https://commons.wikimedia.org/wiki/User:Diferoch" TargetMode="External"/><Relationship Id="rId505" Type="http://schemas.openxmlformats.org/officeDocument/2006/relationships/hyperlink" Target="https://commons.wikimedia.org/wiki/User:Diferoch" TargetMode="External"/><Relationship Id="rId504" Type="http://schemas.openxmlformats.org/officeDocument/2006/relationships/hyperlink" Target="https://commons.wikimedia.org/wiki/User:Luifereduardoo" TargetMode="External"/><Relationship Id="rId525" Type="http://schemas.openxmlformats.org/officeDocument/2006/relationships/hyperlink" Target="https://commons.wikimedia.org/wiki/User:Alexpanther" TargetMode="External"/><Relationship Id="rId524" Type="http://schemas.openxmlformats.org/officeDocument/2006/relationships/hyperlink" Target="https://commons.wikimedia.org/wiki/User:Elprofeta91" TargetMode="External"/><Relationship Id="rId523" Type="http://schemas.openxmlformats.org/officeDocument/2006/relationships/hyperlink" Target="https://commons.wikimedia.org/wiki/User:Alexpanther" TargetMode="External"/><Relationship Id="rId522" Type="http://schemas.openxmlformats.org/officeDocument/2006/relationships/hyperlink" Target="https://commons.wikimedia.org/wiki/User:AmiGueko" TargetMode="External"/><Relationship Id="rId529" Type="http://schemas.openxmlformats.org/officeDocument/2006/relationships/hyperlink" Target="https://commons.wikimedia.org/wiki/User:Diferoch" TargetMode="External"/><Relationship Id="rId528" Type="http://schemas.openxmlformats.org/officeDocument/2006/relationships/hyperlink" Target="https://commons.wikimedia.org/wiki/User:Diferoch" TargetMode="External"/><Relationship Id="rId527" Type="http://schemas.openxmlformats.org/officeDocument/2006/relationships/hyperlink" Target="https://commons.wikimedia.org/wiki/User:Diferoch" TargetMode="External"/><Relationship Id="rId526" Type="http://schemas.openxmlformats.org/officeDocument/2006/relationships/hyperlink" Target="https://commons.wikimedia.org/wiki/User:Nbareschu" TargetMode="External"/><Relationship Id="rId521" Type="http://schemas.openxmlformats.org/officeDocument/2006/relationships/hyperlink" Target="https://commons.wikimedia.org/wiki/User:Rodrigomacrophoto" TargetMode="External"/><Relationship Id="rId520" Type="http://schemas.openxmlformats.org/officeDocument/2006/relationships/hyperlink" Target="https://commons.wikimedia.org/wiki/User:Diferoch" TargetMode="External"/><Relationship Id="rId519" Type="http://schemas.openxmlformats.org/officeDocument/2006/relationships/hyperlink" Target="https://commons.wikimedia.org/wiki/User:Diferoch" TargetMode="External"/><Relationship Id="rId514" Type="http://schemas.openxmlformats.org/officeDocument/2006/relationships/hyperlink" Target="https://commons.wikimedia.org/wiki/User:Diferoch" TargetMode="External"/><Relationship Id="rId513" Type="http://schemas.openxmlformats.org/officeDocument/2006/relationships/hyperlink" Target="https://commons.wikimedia.org/wiki/User:Diferoch" TargetMode="External"/><Relationship Id="rId512" Type="http://schemas.openxmlformats.org/officeDocument/2006/relationships/hyperlink" Target="https://commons.wikimedia.org/wiki/User:Diferoch" TargetMode="External"/><Relationship Id="rId511" Type="http://schemas.openxmlformats.org/officeDocument/2006/relationships/hyperlink" Target="https://commons.wikimedia.org/wiki/User:Diferoch" TargetMode="External"/><Relationship Id="rId518" Type="http://schemas.openxmlformats.org/officeDocument/2006/relationships/hyperlink" Target="https://commons.wikimedia.org/wiki/User:Diferoch" TargetMode="External"/><Relationship Id="rId517" Type="http://schemas.openxmlformats.org/officeDocument/2006/relationships/hyperlink" Target="https://commons.wikimedia.org/wiki/User:Diferoch" TargetMode="External"/><Relationship Id="rId516" Type="http://schemas.openxmlformats.org/officeDocument/2006/relationships/hyperlink" Target="https://commons.wikimedia.org/wiki/User:Diferoch" TargetMode="External"/><Relationship Id="rId515" Type="http://schemas.openxmlformats.org/officeDocument/2006/relationships/hyperlink" Target="https://commons.wikimedia.org/wiki/User:Diferoch" TargetMode="External"/><Relationship Id="rId510" Type="http://schemas.openxmlformats.org/officeDocument/2006/relationships/hyperlink" Target="https://commons.wikimedia.org/wiki/User:Diferoch" TargetMode="External"/><Relationship Id="rId590" Type="http://schemas.openxmlformats.org/officeDocument/2006/relationships/hyperlink" Target="https://commons.wikimedia.org/wiki/User:Diferoch" TargetMode="External"/><Relationship Id="rId589" Type="http://schemas.openxmlformats.org/officeDocument/2006/relationships/hyperlink" Target="https://commons.wikimedia.org/wiki/User:Diferoch" TargetMode="External"/><Relationship Id="rId588" Type="http://schemas.openxmlformats.org/officeDocument/2006/relationships/hyperlink" Target="https://commons.wikimedia.org/wiki/User:Nbareschu" TargetMode="External"/><Relationship Id="rId583" Type="http://schemas.openxmlformats.org/officeDocument/2006/relationships/hyperlink" Target="https://commons.wikimedia.org/wiki/User:AmiGueko" TargetMode="External"/><Relationship Id="rId582" Type="http://schemas.openxmlformats.org/officeDocument/2006/relationships/hyperlink" Target="https://commons.wikimedia.org/wiki/User:AmiGueko" TargetMode="External"/><Relationship Id="rId581" Type="http://schemas.openxmlformats.org/officeDocument/2006/relationships/hyperlink" Target="https://commons.wikimedia.org/wiki/User:Elprofeta91" TargetMode="External"/><Relationship Id="rId580" Type="http://schemas.openxmlformats.org/officeDocument/2006/relationships/hyperlink" Target="https://commons.wikimedia.org/wiki/User:VirginiaClavijo" TargetMode="External"/><Relationship Id="rId587" Type="http://schemas.openxmlformats.org/officeDocument/2006/relationships/hyperlink" Target="https://commons.wikimedia.org/wiki/User:Nbareschu" TargetMode="External"/><Relationship Id="rId586" Type="http://schemas.openxmlformats.org/officeDocument/2006/relationships/hyperlink" Target="https://commons.wikimedia.org/wiki/User:Nbareschu" TargetMode="External"/><Relationship Id="rId585" Type="http://schemas.openxmlformats.org/officeDocument/2006/relationships/hyperlink" Target="https://commons.wikimedia.org/wiki/User:NicolleTorresG" TargetMode="External"/><Relationship Id="rId584" Type="http://schemas.openxmlformats.org/officeDocument/2006/relationships/hyperlink" Target="https://commons.wikimedia.org/wiki/User:JuanitoCISF" TargetMode="External"/><Relationship Id="rId579" Type="http://schemas.openxmlformats.org/officeDocument/2006/relationships/hyperlink" Target="https://commons.wikimedia.org/wiki/User:Natlycu" TargetMode="External"/><Relationship Id="rId578" Type="http://schemas.openxmlformats.org/officeDocument/2006/relationships/hyperlink" Target="https://commons.wikimedia.org/wiki/User:Natlycu" TargetMode="External"/><Relationship Id="rId577" Type="http://schemas.openxmlformats.org/officeDocument/2006/relationships/hyperlink" Target="https://commons.wikimedia.org/wiki/User:Dalacuel" TargetMode="External"/><Relationship Id="rId572" Type="http://schemas.openxmlformats.org/officeDocument/2006/relationships/hyperlink" Target="https://commons.wikimedia.org/wiki/User:NicolleTorresG" TargetMode="External"/><Relationship Id="rId571" Type="http://schemas.openxmlformats.org/officeDocument/2006/relationships/hyperlink" Target="https://commons.wikimedia.org/wiki/User:Alexpanther" TargetMode="External"/><Relationship Id="rId570" Type="http://schemas.openxmlformats.org/officeDocument/2006/relationships/hyperlink" Target="https://commons.wikimedia.org/wiki/User:Diferoch" TargetMode="External"/><Relationship Id="rId576" Type="http://schemas.openxmlformats.org/officeDocument/2006/relationships/hyperlink" Target="https://commons.wikimedia.org/wiki/User:Alexpanther" TargetMode="External"/><Relationship Id="rId575" Type="http://schemas.openxmlformats.org/officeDocument/2006/relationships/hyperlink" Target="https://commons.wikimedia.org/wiki/User:Rodrigomacrophoto" TargetMode="External"/><Relationship Id="rId574" Type="http://schemas.openxmlformats.org/officeDocument/2006/relationships/hyperlink" Target="https://commons.wikimedia.org/wiki/User:AmiGueko" TargetMode="External"/><Relationship Id="rId573" Type="http://schemas.openxmlformats.org/officeDocument/2006/relationships/hyperlink" Target="https://commons.wikimedia.org/wiki/User:NicolleTorresG" TargetMode="External"/><Relationship Id="rId599" Type="http://schemas.openxmlformats.org/officeDocument/2006/relationships/hyperlink" Target="https://commons.wikimedia.org/wiki/User:Johannelob" TargetMode="External"/><Relationship Id="rId594" Type="http://schemas.openxmlformats.org/officeDocument/2006/relationships/hyperlink" Target="https://commons.wikimedia.org/wiki/User:AmiGueko" TargetMode="External"/><Relationship Id="rId593" Type="http://schemas.openxmlformats.org/officeDocument/2006/relationships/hyperlink" Target="https://commons.wikimedia.org/wiki/User:AmiGueko" TargetMode="External"/><Relationship Id="rId592" Type="http://schemas.openxmlformats.org/officeDocument/2006/relationships/hyperlink" Target="https://commons.wikimedia.org/wiki/User:Elprofeta91" TargetMode="External"/><Relationship Id="rId591" Type="http://schemas.openxmlformats.org/officeDocument/2006/relationships/hyperlink" Target="https://commons.wikimedia.org/wiki/User:Diferoch" TargetMode="External"/><Relationship Id="rId598" Type="http://schemas.openxmlformats.org/officeDocument/2006/relationships/hyperlink" Target="https://commons.wikimedia.org/wiki/User:Natlycu" TargetMode="External"/><Relationship Id="rId597" Type="http://schemas.openxmlformats.org/officeDocument/2006/relationships/hyperlink" Target="https://commons.wikimedia.org/wiki/User:AntonioEliseo" TargetMode="External"/><Relationship Id="rId596" Type="http://schemas.openxmlformats.org/officeDocument/2006/relationships/hyperlink" Target="https://commons.wikimedia.org/wiki/User:AmiGueko" TargetMode="External"/><Relationship Id="rId595" Type="http://schemas.openxmlformats.org/officeDocument/2006/relationships/hyperlink" Target="https://commons.wikimedia.org/wiki/User:JuanitoCISF" TargetMode="External"/><Relationship Id="rId547" Type="http://schemas.openxmlformats.org/officeDocument/2006/relationships/hyperlink" Target="https://commons.wikimedia.org/wiki/User:AmiGueko" TargetMode="External"/><Relationship Id="rId546" Type="http://schemas.openxmlformats.org/officeDocument/2006/relationships/hyperlink" Target="https://commons.wikimedia.org/wiki/User:Diferoch" TargetMode="External"/><Relationship Id="rId545" Type="http://schemas.openxmlformats.org/officeDocument/2006/relationships/hyperlink" Target="https://commons.wikimedia.org/wiki/User:Diferoch" TargetMode="External"/><Relationship Id="rId544" Type="http://schemas.openxmlformats.org/officeDocument/2006/relationships/hyperlink" Target="https://commons.wikimedia.org/wiki/User:Zolsemiya" TargetMode="External"/><Relationship Id="rId549" Type="http://schemas.openxmlformats.org/officeDocument/2006/relationships/hyperlink" Target="https://commons.wikimedia.org/wiki/User:JJCL09" TargetMode="External"/><Relationship Id="rId548" Type="http://schemas.openxmlformats.org/officeDocument/2006/relationships/hyperlink" Target="https://commons.wikimedia.org/wiki/User:Zolsemiya" TargetMode="External"/><Relationship Id="rId543" Type="http://schemas.openxmlformats.org/officeDocument/2006/relationships/hyperlink" Target="https://commons.wikimedia.org/wiki/User:LentedeBerilo" TargetMode="External"/><Relationship Id="rId542" Type="http://schemas.openxmlformats.org/officeDocument/2006/relationships/hyperlink" Target="https://commons.wikimedia.org/wiki/User:Charlesjsharp" TargetMode="External"/><Relationship Id="rId541" Type="http://schemas.openxmlformats.org/officeDocument/2006/relationships/hyperlink" Target="https://commons.wikimedia.org/wiki/User:Antoniacorralosorio" TargetMode="External"/><Relationship Id="rId540" Type="http://schemas.openxmlformats.org/officeDocument/2006/relationships/hyperlink" Target="https://commons.wikimedia.org/wiki/User:Guiverfer" TargetMode="External"/><Relationship Id="rId536" Type="http://schemas.openxmlformats.org/officeDocument/2006/relationships/hyperlink" Target="https://commons.wikimedia.org/wiki/User:Nbareschu" TargetMode="External"/><Relationship Id="rId535" Type="http://schemas.openxmlformats.org/officeDocument/2006/relationships/hyperlink" Target="https://commons.wikimedia.org/wiki/User:Nbareschu" TargetMode="External"/><Relationship Id="rId534" Type="http://schemas.openxmlformats.org/officeDocument/2006/relationships/hyperlink" Target="https://commons.wikimedia.org/wiki/User:Nbareschu" TargetMode="External"/><Relationship Id="rId533" Type="http://schemas.openxmlformats.org/officeDocument/2006/relationships/hyperlink" Target="https://commons.wikimedia.org/wiki/User:Lamoraleja" TargetMode="External"/><Relationship Id="rId539" Type="http://schemas.openxmlformats.org/officeDocument/2006/relationships/hyperlink" Target="https://commons.wikimedia.org/wiki/User:Zolsemiya" TargetMode="External"/><Relationship Id="rId538" Type="http://schemas.openxmlformats.org/officeDocument/2006/relationships/hyperlink" Target="https://commons.wikimedia.org/wiki/User:Nbareschu" TargetMode="External"/><Relationship Id="rId537" Type="http://schemas.openxmlformats.org/officeDocument/2006/relationships/hyperlink" Target="https://commons.wikimedia.org/wiki/User:Estudiante0001" TargetMode="External"/><Relationship Id="rId532" Type="http://schemas.openxmlformats.org/officeDocument/2006/relationships/hyperlink" Target="https://commons.wikimedia.org/wiki/User:Diferoch" TargetMode="External"/><Relationship Id="rId531" Type="http://schemas.openxmlformats.org/officeDocument/2006/relationships/hyperlink" Target="https://commons.wikimedia.org/wiki/User:Diferoch" TargetMode="External"/><Relationship Id="rId530" Type="http://schemas.openxmlformats.org/officeDocument/2006/relationships/hyperlink" Target="https://commons.wikimedia.org/wiki/User:Diferoch" TargetMode="External"/><Relationship Id="rId569" Type="http://schemas.openxmlformats.org/officeDocument/2006/relationships/hyperlink" Target="https://commons.wikimedia.org/wiki/User:Diferoch" TargetMode="External"/><Relationship Id="rId568" Type="http://schemas.openxmlformats.org/officeDocument/2006/relationships/hyperlink" Target="https://commons.wikimedia.org/wiki/User:Diferoch" TargetMode="External"/><Relationship Id="rId567" Type="http://schemas.openxmlformats.org/officeDocument/2006/relationships/hyperlink" Target="https://commons.wikimedia.org/wiki/User:Diferoch" TargetMode="External"/><Relationship Id="rId566" Type="http://schemas.openxmlformats.org/officeDocument/2006/relationships/hyperlink" Target="https://commons.wikimedia.org/wiki/User:AmiGueko" TargetMode="External"/><Relationship Id="rId561" Type="http://schemas.openxmlformats.org/officeDocument/2006/relationships/hyperlink" Target="https://commons.wikimedia.org/wiki/User:Nbareschu" TargetMode="External"/><Relationship Id="rId560" Type="http://schemas.openxmlformats.org/officeDocument/2006/relationships/hyperlink" Target="https://commons.wikimedia.org/wiki/User:AmiGueko" TargetMode="External"/><Relationship Id="rId565" Type="http://schemas.openxmlformats.org/officeDocument/2006/relationships/hyperlink" Target="https://commons.wikimedia.org/wiki/User:XimmoY" TargetMode="External"/><Relationship Id="rId564" Type="http://schemas.openxmlformats.org/officeDocument/2006/relationships/hyperlink" Target="https://commons.wikimedia.org/wiki/User:XimmoY" TargetMode="External"/><Relationship Id="rId563" Type="http://schemas.openxmlformats.org/officeDocument/2006/relationships/hyperlink" Target="https://commons.wikimedia.org/wiki/User:Nbareschu" TargetMode="External"/><Relationship Id="rId562" Type="http://schemas.openxmlformats.org/officeDocument/2006/relationships/hyperlink" Target="https://commons.wikimedia.org/wiki/User:Nbareschu" TargetMode="External"/><Relationship Id="rId558" Type="http://schemas.openxmlformats.org/officeDocument/2006/relationships/hyperlink" Target="https://commons.wikimedia.org/wiki/User:Natlycu" TargetMode="External"/><Relationship Id="rId557" Type="http://schemas.openxmlformats.org/officeDocument/2006/relationships/hyperlink" Target="https://commons.wikimedia.org/wiki/User:Juanrapave" TargetMode="External"/><Relationship Id="rId556" Type="http://schemas.openxmlformats.org/officeDocument/2006/relationships/hyperlink" Target="https://commons.wikimedia.org/wiki/User:Nbareschu" TargetMode="External"/><Relationship Id="rId555" Type="http://schemas.openxmlformats.org/officeDocument/2006/relationships/hyperlink" Target="https://commons.wikimedia.org/wiki/User:AmiGueko" TargetMode="External"/><Relationship Id="rId559" Type="http://schemas.openxmlformats.org/officeDocument/2006/relationships/hyperlink" Target="https://commons.wikimedia.org/wiki/User:AmiGueko" TargetMode="External"/><Relationship Id="rId550" Type="http://schemas.openxmlformats.org/officeDocument/2006/relationships/hyperlink" Target="https://commons.wikimedia.org/wiki/User:AmiGueko" TargetMode="External"/><Relationship Id="rId554" Type="http://schemas.openxmlformats.org/officeDocument/2006/relationships/hyperlink" Target="https://commons.wikimedia.org/wiki/User:AmiGueko" TargetMode="External"/><Relationship Id="rId553" Type="http://schemas.openxmlformats.org/officeDocument/2006/relationships/hyperlink" Target="https://commons.wikimedia.org/wiki/User:AmiGueko" TargetMode="External"/><Relationship Id="rId552" Type="http://schemas.openxmlformats.org/officeDocument/2006/relationships/hyperlink" Target="https://commons.wikimedia.org/wiki/User:JJCL09" TargetMode="External"/><Relationship Id="rId551" Type="http://schemas.openxmlformats.org/officeDocument/2006/relationships/hyperlink" Target="https://commons.wikimedia.org/wiki/User:Supertita" TargetMode="External"/><Relationship Id="rId495" Type="http://schemas.openxmlformats.org/officeDocument/2006/relationships/hyperlink" Target="https://commons.wikimedia.org/wiki/User:Sebastian%20Durango" TargetMode="External"/><Relationship Id="rId494" Type="http://schemas.openxmlformats.org/officeDocument/2006/relationships/hyperlink" Target="https://commons.wikimedia.org/wiki/User:Sebastian%20Durango" TargetMode="External"/><Relationship Id="rId493" Type="http://schemas.openxmlformats.org/officeDocument/2006/relationships/hyperlink" Target="https://commons.wikimedia.org/wiki/User:Sebastian%20Durango" TargetMode="External"/><Relationship Id="rId492" Type="http://schemas.openxmlformats.org/officeDocument/2006/relationships/hyperlink" Target="https://commons.wikimedia.org/wiki/User:Sebastian%20Durango" TargetMode="External"/><Relationship Id="rId499" Type="http://schemas.openxmlformats.org/officeDocument/2006/relationships/hyperlink" Target="https://commons.wikimedia.org/wiki/User:Sebasgr05" TargetMode="External"/><Relationship Id="rId498" Type="http://schemas.openxmlformats.org/officeDocument/2006/relationships/hyperlink" Target="https://commons.wikimedia.org/wiki/User:Sophy%20Martinez" TargetMode="External"/><Relationship Id="rId497" Type="http://schemas.openxmlformats.org/officeDocument/2006/relationships/hyperlink" Target="https://commons.wikimedia.org/wiki/User:Elprofeta91" TargetMode="External"/><Relationship Id="rId496" Type="http://schemas.openxmlformats.org/officeDocument/2006/relationships/hyperlink" Target="https://commons.wikimedia.org/wiki/User:Sebastian%20Durango" TargetMode="External"/><Relationship Id="rId409" Type="http://schemas.openxmlformats.org/officeDocument/2006/relationships/hyperlink" Target="https://commons.wikimedia.org/wiki/User:Jcast07" TargetMode="External"/><Relationship Id="rId404" Type="http://schemas.openxmlformats.org/officeDocument/2006/relationships/hyperlink" Target="https://commons.wikimedia.org/wiki/User:AmiGueko" TargetMode="External"/><Relationship Id="rId403" Type="http://schemas.openxmlformats.org/officeDocument/2006/relationships/hyperlink" Target="https://commons.wikimedia.org/wiki/User:AmiGueko" TargetMode="External"/><Relationship Id="rId402" Type="http://schemas.openxmlformats.org/officeDocument/2006/relationships/hyperlink" Target="https://commons.wikimedia.org/wiki/User:KingJo09" TargetMode="External"/><Relationship Id="rId401" Type="http://schemas.openxmlformats.org/officeDocument/2006/relationships/hyperlink" Target="https://commons.wikimedia.org/wiki/User:SergioM01" TargetMode="External"/><Relationship Id="rId408" Type="http://schemas.openxmlformats.org/officeDocument/2006/relationships/hyperlink" Target="https://commons.wikimedia.org/wiki/User:AntonioEliseo" TargetMode="External"/><Relationship Id="rId407" Type="http://schemas.openxmlformats.org/officeDocument/2006/relationships/hyperlink" Target="https://commons.wikimedia.org/wiki/User:KingJo09" TargetMode="External"/><Relationship Id="rId406" Type="http://schemas.openxmlformats.org/officeDocument/2006/relationships/hyperlink" Target="https://commons.wikimedia.org/wiki/User:Dalacuel" TargetMode="External"/><Relationship Id="rId405" Type="http://schemas.openxmlformats.org/officeDocument/2006/relationships/hyperlink" Target="https://commons.wikimedia.org/wiki/User:AmiGueko" TargetMode="External"/><Relationship Id="rId400" Type="http://schemas.openxmlformats.org/officeDocument/2006/relationships/hyperlink" Target="https://commons.wikimedia.org/wiki/User:Supertita" TargetMode="External"/><Relationship Id="rId469" Type="http://schemas.openxmlformats.org/officeDocument/2006/relationships/hyperlink" Target="https://commons.wikimedia.org/wiki/User:Kithpro" TargetMode="External"/><Relationship Id="rId468" Type="http://schemas.openxmlformats.org/officeDocument/2006/relationships/hyperlink" Target="https://commons.wikimedia.org/wiki/User:Elprofeta91" TargetMode="External"/><Relationship Id="rId467" Type="http://schemas.openxmlformats.org/officeDocument/2006/relationships/hyperlink" Target="https://commons.wikimedia.org/wiki/User:Elprofeta91" TargetMode="External"/><Relationship Id="rId462" Type="http://schemas.openxmlformats.org/officeDocument/2006/relationships/hyperlink" Target="https://commons.wikimedia.org/wiki/User:Johan%20Andr%C3%A9s%20Toro" TargetMode="External"/><Relationship Id="rId461" Type="http://schemas.openxmlformats.org/officeDocument/2006/relationships/hyperlink" Target="https://commons.wikimedia.org/wiki/User:XimmoY" TargetMode="External"/><Relationship Id="rId460" Type="http://schemas.openxmlformats.org/officeDocument/2006/relationships/hyperlink" Target="https://commons.wikimedia.org/wiki/User:Diferoch" TargetMode="External"/><Relationship Id="rId466" Type="http://schemas.openxmlformats.org/officeDocument/2006/relationships/hyperlink" Target="https://commons.wikimedia.org/wiki/User:Elprofeta91" TargetMode="External"/><Relationship Id="rId465" Type="http://schemas.openxmlformats.org/officeDocument/2006/relationships/hyperlink" Target="https://commons.wikimedia.org/wiki/User:Johannelob" TargetMode="External"/><Relationship Id="rId464" Type="http://schemas.openxmlformats.org/officeDocument/2006/relationships/hyperlink" Target="https://commons.wikimedia.org/wiki/User:AmiGueko" TargetMode="External"/><Relationship Id="rId463" Type="http://schemas.openxmlformats.org/officeDocument/2006/relationships/hyperlink" Target="https://commons.wikimedia.org/wiki/User:NMontoya%20%28WMCO%29" TargetMode="External"/><Relationship Id="rId459" Type="http://schemas.openxmlformats.org/officeDocument/2006/relationships/hyperlink" Target="https://commons.wikimedia.org/wiki/User:Diferoch" TargetMode="External"/><Relationship Id="rId458" Type="http://schemas.openxmlformats.org/officeDocument/2006/relationships/hyperlink" Target="https://commons.wikimedia.org/wiki/User:Diferoch" TargetMode="External"/><Relationship Id="rId457" Type="http://schemas.openxmlformats.org/officeDocument/2006/relationships/hyperlink" Target="https://commons.wikimedia.org/wiki/User:Diferoch" TargetMode="External"/><Relationship Id="rId456" Type="http://schemas.openxmlformats.org/officeDocument/2006/relationships/hyperlink" Target="https://commons.wikimedia.org/wiki/User:Diferoch" TargetMode="External"/><Relationship Id="rId451" Type="http://schemas.openxmlformats.org/officeDocument/2006/relationships/hyperlink" Target="https://commons.wikimedia.org/wiki/User:Zolsemiya" TargetMode="External"/><Relationship Id="rId450" Type="http://schemas.openxmlformats.org/officeDocument/2006/relationships/hyperlink" Target="https://commons.wikimedia.org/wiki/User:Nbareschu" TargetMode="External"/><Relationship Id="rId455" Type="http://schemas.openxmlformats.org/officeDocument/2006/relationships/hyperlink" Target="https://commons.wikimedia.org/wiki/User:XimmoY" TargetMode="External"/><Relationship Id="rId454" Type="http://schemas.openxmlformats.org/officeDocument/2006/relationships/hyperlink" Target="https://commons.wikimedia.org/wiki/User:Project5443" TargetMode="External"/><Relationship Id="rId453" Type="http://schemas.openxmlformats.org/officeDocument/2006/relationships/hyperlink" Target="https://commons.wikimedia.org/wiki/User:Nbareschu" TargetMode="External"/><Relationship Id="rId452" Type="http://schemas.openxmlformats.org/officeDocument/2006/relationships/hyperlink" Target="https://commons.wikimedia.org/wiki/User:Elprofeta91" TargetMode="External"/><Relationship Id="rId491" Type="http://schemas.openxmlformats.org/officeDocument/2006/relationships/hyperlink" Target="https://commons.wikimedia.org/wiki/User:Sebastian%20Durango" TargetMode="External"/><Relationship Id="rId490" Type="http://schemas.openxmlformats.org/officeDocument/2006/relationships/hyperlink" Target="https://commons.wikimedia.org/wiki/User:Sebastian%20Durango" TargetMode="External"/><Relationship Id="rId489" Type="http://schemas.openxmlformats.org/officeDocument/2006/relationships/hyperlink" Target="https://commons.wikimedia.org/wiki/User:Sebastian%20Durango" TargetMode="External"/><Relationship Id="rId484" Type="http://schemas.openxmlformats.org/officeDocument/2006/relationships/hyperlink" Target="https://commons.wikimedia.org/wiki/User:KingJo09" TargetMode="External"/><Relationship Id="rId483" Type="http://schemas.openxmlformats.org/officeDocument/2006/relationships/hyperlink" Target="https://commons.wikimedia.org/wiki/User:Lamoraleja" TargetMode="External"/><Relationship Id="rId482" Type="http://schemas.openxmlformats.org/officeDocument/2006/relationships/hyperlink" Target="https://commons.wikimedia.org/wiki/User:Supertita" TargetMode="External"/><Relationship Id="rId481" Type="http://schemas.openxmlformats.org/officeDocument/2006/relationships/hyperlink" Target="https://commons.wikimedia.org/wiki/User:AmiGueko" TargetMode="External"/><Relationship Id="rId488" Type="http://schemas.openxmlformats.org/officeDocument/2006/relationships/hyperlink" Target="https://commons.wikimedia.org/wiki/User:Sebasti%C3%A1nlic23" TargetMode="External"/><Relationship Id="rId487" Type="http://schemas.openxmlformats.org/officeDocument/2006/relationships/hyperlink" Target="https://commons.wikimedia.org/wiki/User:JuanitoCISF" TargetMode="External"/><Relationship Id="rId486" Type="http://schemas.openxmlformats.org/officeDocument/2006/relationships/hyperlink" Target="https://commons.wikimedia.org/wiki/User:Zolsemiya" TargetMode="External"/><Relationship Id="rId485" Type="http://schemas.openxmlformats.org/officeDocument/2006/relationships/hyperlink" Target="https://commons.wikimedia.org/wiki/User:Rodrigomacrophoto" TargetMode="External"/><Relationship Id="rId480" Type="http://schemas.openxmlformats.org/officeDocument/2006/relationships/hyperlink" Target="https://commons.wikimedia.org/wiki/User:AmiGueko" TargetMode="External"/><Relationship Id="rId479" Type="http://schemas.openxmlformats.org/officeDocument/2006/relationships/hyperlink" Target="https://commons.wikimedia.org/wiki/User:Elprofeta91" TargetMode="External"/><Relationship Id="rId478" Type="http://schemas.openxmlformats.org/officeDocument/2006/relationships/hyperlink" Target="https://commons.wikimedia.org/wiki/User:JJCL09" TargetMode="External"/><Relationship Id="rId473" Type="http://schemas.openxmlformats.org/officeDocument/2006/relationships/hyperlink" Target="https://commons.wikimedia.org/wiki/User:Nbareschu" TargetMode="External"/><Relationship Id="rId472" Type="http://schemas.openxmlformats.org/officeDocument/2006/relationships/hyperlink" Target="https://commons.wikimedia.org/wiki/User:Luifereduardoo" TargetMode="External"/><Relationship Id="rId471" Type="http://schemas.openxmlformats.org/officeDocument/2006/relationships/hyperlink" Target="https://commons.wikimedia.org/wiki/User:Dalacuel" TargetMode="External"/><Relationship Id="rId470" Type="http://schemas.openxmlformats.org/officeDocument/2006/relationships/hyperlink" Target="https://commons.wikimedia.org/wiki/User:AmiGueko" TargetMode="External"/><Relationship Id="rId477" Type="http://schemas.openxmlformats.org/officeDocument/2006/relationships/hyperlink" Target="https://commons.wikimedia.org/wiki/User:KingJo09" TargetMode="External"/><Relationship Id="rId476" Type="http://schemas.openxmlformats.org/officeDocument/2006/relationships/hyperlink" Target="https://commons.wikimedia.org/wiki/User:Natlycu" TargetMode="External"/><Relationship Id="rId475" Type="http://schemas.openxmlformats.org/officeDocument/2006/relationships/hyperlink" Target="https://commons.wikimedia.org/wiki/User:AmiGueko" TargetMode="External"/><Relationship Id="rId474" Type="http://schemas.openxmlformats.org/officeDocument/2006/relationships/hyperlink" Target="https://commons.wikimedia.org/wiki/User:AmiGueko" TargetMode="External"/><Relationship Id="rId426" Type="http://schemas.openxmlformats.org/officeDocument/2006/relationships/hyperlink" Target="https://commons.wikimedia.org/wiki/User:Halleyuncometafotografo" TargetMode="External"/><Relationship Id="rId425" Type="http://schemas.openxmlformats.org/officeDocument/2006/relationships/hyperlink" Target="https://commons.wikimedia.org/wiki/User:LentedeBerilo" TargetMode="External"/><Relationship Id="rId424" Type="http://schemas.openxmlformats.org/officeDocument/2006/relationships/hyperlink" Target="https://commons.wikimedia.org/wiki/User:AmiGueko" TargetMode="External"/><Relationship Id="rId423" Type="http://schemas.openxmlformats.org/officeDocument/2006/relationships/hyperlink" Target="https://commons.wikimedia.org/wiki/User:AmiGueko" TargetMode="External"/><Relationship Id="rId429" Type="http://schemas.openxmlformats.org/officeDocument/2006/relationships/hyperlink" Target="https://commons.wikimedia.org/wiki/User:AmiGueko" TargetMode="External"/><Relationship Id="rId428" Type="http://schemas.openxmlformats.org/officeDocument/2006/relationships/hyperlink" Target="https://commons.wikimedia.org/wiki/User:AmiGueko" TargetMode="External"/><Relationship Id="rId427" Type="http://schemas.openxmlformats.org/officeDocument/2006/relationships/hyperlink" Target="https://commons.wikimedia.org/wiki/User:AmiGueko" TargetMode="External"/><Relationship Id="rId422" Type="http://schemas.openxmlformats.org/officeDocument/2006/relationships/hyperlink" Target="https://commons.wikimedia.org/wiki/User:AmiGueko" TargetMode="External"/><Relationship Id="rId421" Type="http://schemas.openxmlformats.org/officeDocument/2006/relationships/hyperlink" Target="https://commons.wikimedia.org/wiki/User:AmiGueko" TargetMode="External"/><Relationship Id="rId420" Type="http://schemas.openxmlformats.org/officeDocument/2006/relationships/hyperlink" Target="https://commons.wikimedia.org/wiki/User:AmiGueko" TargetMode="External"/><Relationship Id="rId415" Type="http://schemas.openxmlformats.org/officeDocument/2006/relationships/hyperlink" Target="https://commons.wikimedia.org/wiki/User:AmiGueko" TargetMode="External"/><Relationship Id="rId414" Type="http://schemas.openxmlformats.org/officeDocument/2006/relationships/hyperlink" Target="https://commons.wikimedia.org/wiki/User:Dalacuel" TargetMode="External"/><Relationship Id="rId413" Type="http://schemas.openxmlformats.org/officeDocument/2006/relationships/hyperlink" Target="https://commons.wikimedia.org/wiki/User:Dalacuel" TargetMode="External"/><Relationship Id="rId412" Type="http://schemas.openxmlformats.org/officeDocument/2006/relationships/hyperlink" Target="https://commons.wikimedia.org/wiki/User:Romauribe" TargetMode="External"/><Relationship Id="rId419" Type="http://schemas.openxmlformats.org/officeDocument/2006/relationships/hyperlink" Target="https://commons.wikimedia.org/wiki/User:Charlesjsharp" TargetMode="External"/><Relationship Id="rId418" Type="http://schemas.openxmlformats.org/officeDocument/2006/relationships/hyperlink" Target="https://commons.wikimedia.org/wiki/User:Charlesjsharp" TargetMode="External"/><Relationship Id="rId417" Type="http://schemas.openxmlformats.org/officeDocument/2006/relationships/hyperlink" Target="https://commons.wikimedia.org/wiki/User:Nbareschu" TargetMode="External"/><Relationship Id="rId416" Type="http://schemas.openxmlformats.org/officeDocument/2006/relationships/hyperlink" Target="https://commons.wikimedia.org/wiki/User:Supertita" TargetMode="External"/><Relationship Id="rId411" Type="http://schemas.openxmlformats.org/officeDocument/2006/relationships/hyperlink" Target="https://commons.wikimedia.org/wiki/User:Nbareschu" TargetMode="External"/><Relationship Id="rId410" Type="http://schemas.openxmlformats.org/officeDocument/2006/relationships/hyperlink" Target="https://commons.wikimedia.org/wiki/User:Mat1318" TargetMode="External"/><Relationship Id="rId448" Type="http://schemas.openxmlformats.org/officeDocument/2006/relationships/hyperlink" Target="https://commons.wikimedia.org/wiki/User:Nbareschu" TargetMode="External"/><Relationship Id="rId447" Type="http://schemas.openxmlformats.org/officeDocument/2006/relationships/hyperlink" Target="https://commons.wikimedia.org/wiki/User:Sophy%20Martinez" TargetMode="External"/><Relationship Id="rId446" Type="http://schemas.openxmlformats.org/officeDocument/2006/relationships/hyperlink" Target="https://commons.wikimedia.org/wiki/User:Sophy%20Martinez" TargetMode="External"/><Relationship Id="rId445" Type="http://schemas.openxmlformats.org/officeDocument/2006/relationships/hyperlink" Target="https://commons.wikimedia.org/wiki/User:Estudiante0001" TargetMode="External"/><Relationship Id="rId449" Type="http://schemas.openxmlformats.org/officeDocument/2006/relationships/hyperlink" Target="https://commons.wikimedia.org/wiki/User:Estudiante0001" TargetMode="External"/><Relationship Id="rId440" Type="http://schemas.openxmlformats.org/officeDocument/2006/relationships/hyperlink" Target="https://commons.wikimedia.org/wiki/User:Nbareschu" TargetMode="External"/><Relationship Id="rId444" Type="http://schemas.openxmlformats.org/officeDocument/2006/relationships/hyperlink" Target="https://commons.wikimedia.org/wiki/User:Estudiante0001" TargetMode="External"/><Relationship Id="rId443" Type="http://schemas.openxmlformats.org/officeDocument/2006/relationships/hyperlink" Target="https://commons.wikimedia.org/wiki/User:Estudiante0001" TargetMode="External"/><Relationship Id="rId442" Type="http://schemas.openxmlformats.org/officeDocument/2006/relationships/hyperlink" Target="https://commons.wikimedia.org/wiki/User:NMontoya%20%28WMCO%29" TargetMode="External"/><Relationship Id="rId441" Type="http://schemas.openxmlformats.org/officeDocument/2006/relationships/hyperlink" Target="https://commons.wikimedia.org/wiki/User:NMontoya%20%28WMCO%29" TargetMode="External"/><Relationship Id="rId437" Type="http://schemas.openxmlformats.org/officeDocument/2006/relationships/hyperlink" Target="https://commons.wikimedia.org/wiki/User:Dalacuel" TargetMode="External"/><Relationship Id="rId436" Type="http://schemas.openxmlformats.org/officeDocument/2006/relationships/hyperlink" Target="https://commons.wikimedia.org/wiki/User:Supertita" TargetMode="External"/><Relationship Id="rId435" Type="http://schemas.openxmlformats.org/officeDocument/2006/relationships/hyperlink" Target="https://commons.wikimedia.org/wiki/User:Supertita" TargetMode="External"/><Relationship Id="rId434" Type="http://schemas.openxmlformats.org/officeDocument/2006/relationships/hyperlink" Target="https://commons.wikimedia.org/wiki/User:AmiGueko" TargetMode="External"/><Relationship Id="rId439" Type="http://schemas.openxmlformats.org/officeDocument/2006/relationships/hyperlink" Target="https://commons.wikimedia.org/wiki/User:Supertita" TargetMode="External"/><Relationship Id="rId438" Type="http://schemas.openxmlformats.org/officeDocument/2006/relationships/hyperlink" Target="https://commons.wikimedia.org/wiki/User:Rodrigomacrophoto" TargetMode="External"/><Relationship Id="rId433" Type="http://schemas.openxmlformats.org/officeDocument/2006/relationships/hyperlink" Target="https://commons.wikimedia.org/wiki/User:AmiGueko" TargetMode="External"/><Relationship Id="rId432" Type="http://schemas.openxmlformats.org/officeDocument/2006/relationships/hyperlink" Target="https://commons.wikimedia.org/wiki/User:LentedeBerilo" TargetMode="External"/><Relationship Id="rId431" Type="http://schemas.openxmlformats.org/officeDocument/2006/relationships/hyperlink" Target="https://commons.wikimedia.org/wiki/User:Nbareschu" TargetMode="External"/><Relationship Id="rId430" Type="http://schemas.openxmlformats.org/officeDocument/2006/relationships/hyperlink" Target="https://commons.wikimedia.org/wiki/User:AmiGueko" TargetMode="External"/><Relationship Id="rId1" Type="http://schemas.openxmlformats.org/officeDocument/2006/relationships/hyperlink" Target="https://commons.wikimedia.org/wiki/User:Supertita" TargetMode="External"/><Relationship Id="rId2" Type="http://schemas.openxmlformats.org/officeDocument/2006/relationships/hyperlink" Target="https://commons.wikimedia.org/wiki/User:Supertita" TargetMode="External"/><Relationship Id="rId3" Type="http://schemas.openxmlformats.org/officeDocument/2006/relationships/hyperlink" Target="https://commons.wikimedia.org/wiki/User:Supertita" TargetMode="External"/><Relationship Id="rId4" Type="http://schemas.openxmlformats.org/officeDocument/2006/relationships/hyperlink" Target="https://commons.wikimedia.org/wiki/User:Elprofeta91" TargetMode="External"/><Relationship Id="rId9" Type="http://schemas.openxmlformats.org/officeDocument/2006/relationships/hyperlink" Target="https://commons.wikimedia.org/wiki/User:Andresdflorez23" TargetMode="External"/><Relationship Id="rId5" Type="http://schemas.openxmlformats.org/officeDocument/2006/relationships/hyperlink" Target="https://commons.wikimedia.org/wiki/User:Santiago%20Styles%20-%20Protect%20the%20Andes" TargetMode="External"/><Relationship Id="rId6" Type="http://schemas.openxmlformats.org/officeDocument/2006/relationships/hyperlink" Target="https://commons.wikimedia.org/wiki/User:Santiago%20Styles%20-%20Protect%20the%20Andes" TargetMode="External"/><Relationship Id="rId7" Type="http://schemas.openxmlformats.org/officeDocument/2006/relationships/hyperlink" Target="https://commons.wikimedia.org/wiki/User:Rodrigomacrophoto" TargetMode="External"/><Relationship Id="rId8" Type="http://schemas.openxmlformats.org/officeDocument/2006/relationships/hyperlink" Target="https://commons.wikimedia.org/wiki/User:Rodrigomacrophoto" TargetMode="External"/><Relationship Id="rId808" Type="http://schemas.openxmlformats.org/officeDocument/2006/relationships/hyperlink" Target="https://commons.wikimedia.org/wiki/User:Supertita" TargetMode="External"/><Relationship Id="rId807" Type="http://schemas.openxmlformats.org/officeDocument/2006/relationships/hyperlink" Target="https://commons.wikimedia.org/wiki/User:NicolleTorresG" TargetMode="External"/><Relationship Id="rId806" Type="http://schemas.openxmlformats.org/officeDocument/2006/relationships/hyperlink" Target="https://commons.wikimedia.org/wiki/User:NicolleTorresG" TargetMode="External"/><Relationship Id="rId805" Type="http://schemas.openxmlformats.org/officeDocument/2006/relationships/hyperlink" Target="https://commons.wikimedia.org/wiki/User:NicolleTorresG" TargetMode="External"/><Relationship Id="rId809" Type="http://schemas.openxmlformats.org/officeDocument/2006/relationships/hyperlink" Target="https://commons.wikimedia.org/wiki/User:Supertita" TargetMode="External"/><Relationship Id="rId800" Type="http://schemas.openxmlformats.org/officeDocument/2006/relationships/hyperlink" Target="https://commons.wikimedia.org/wiki/User:Diferoch" TargetMode="External"/><Relationship Id="rId804" Type="http://schemas.openxmlformats.org/officeDocument/2006/relationships/hyperlink" Target="https://commons.wikimedia.org/wiki/User:NicolleTorresG" TargetMode="External"/><Relationship Id="rId803" Type="http://schemas.openxmlformats.org/officeDocument/2006/relationships/hyperlink" Target="https://commons.wikimedia.org/wiki/User:Natlycu" TargetMode="External"/><Relationship Id="rId802" Type="http://schemas.openxmlformats.org/officeDocument/2006/relationships/hyperlink" Target="https://commons.wikimedia.org/wiki/User:Diferoch" TargetMode="External"/><Relationship Id="rId801" Type="http://schemas.openxmlformats.org/officeDocument/2006/relationships/hyperlink" Target="https://commons.wikimedia.org/wiki/User:Romauribe" TargetMode="External"/><Relationship Id="rId745" Type="http://schemas.openxmlformats.org/officeDocument/2006/relationships/hyperlink" Target="https://commons.wikimedia.org/wiki/User:Diferoch" TargetMode="External"/><Relationship Id="rId744" Type="http://schemas.openxmlformats.org/officeDocument/2006/relationships/hyperlink" Target="https://commons.wikimedia.org/wiki/User:NMontoya%20%28WMCO%29" TargetMode="External"/><Relationship Id="rId743" Type="http://schemas.openxmlformats.org/officeDocument/2006/relationships/hyperlink" Target="https://commons.wikimedia.org/wiki/User:Rodrigomacrophoto" TargetMode="External"/><Relationship Id="rId742" Type="http://schemas.openxmlformats.org/officeDocument/2006/relationships/hyperlink" Target="https://commons.wikimedia.org/wiki/User:Charlesjsharp" TargetMode="External"/><Relationship Id="rId749" Type="http://schemas.openxmlformats.org/officeDocument/2006/relationships/hyperlink" Target="https://commons.wikimedia.org/wiki/User:Nbareschu" TargetMode="External"/><Relationship Id="rId748" Type="http://schemas.openxmlformats.org/officeDocument/2006/relationships/hyperlink" Target="https://commons.wikimedia.org/wiki/User:NMontoya%20%28WMCO%29" TargetMode="External"/><Relationship Id="rId747" Type="http://schemas.openxmlformats.org/officeDocument/2006/relationships/hyperlink" Target="https://commons.wikimedia.org/wiki/User:Diferoch" TargetMode="External"/><Relationship Id="rId746" Type="http://schemas.openxmlformats.org/officeDocument/2006/relationships/hyperlink" Target="https://commons.wikimedia.org/wiki/User:Diferoch" TargetMode="External"/><Relationship Id="rId741" Type="http://schemas.openxmlformats.org/officeDocument/2006/relationships/hyperlink" Target="https://commons.wikimedia.org/wiki/User:Charlesjsharp" TargetMode="External"/><Relationship Id="rId740" Type="http://schemas.openxmlformats.org/officeDocument/2006/relationships/hyperlink" Target="https://commons.wikimedia.org/wiki/User:AmiGueko" TargetMode="External"/><Relationship Id="rId739" Type="http://schemas.openxmlformats.org/officeDocument/2006/relationships/hyperlink" Target="https://commons.wikimedia.org/wiki/User:XimmoY" TargetMode="External"/><Relationship Id="rId734" Type="http://schemas.openxmlformats.org/officeDocument/2006/relationships/hyperlink" Target="https://commons.wikimedia.org/wiki/User:AmiGueko" TargetMode="External"/><Relationship Id="rId733" Type="http://schemas.openxmlformats.org/officeDocument/2006/relationships/hyperlink" Target="https://commons.wikimedia.org/wiki/User:AmiGueko" TargetMode="External"/><Relationship Id="rId732" Type="http://schemas.openxmlformats.org/officeDocument/2006/relationships/hyperlink" Target="https://commons.wikimedia.org/wiki/User:AmiGueko" TargetMode="External"/><Relationship Id="rId731" Type="http://schemas.openxmlformats.org/officeDocument/2006/relationships/hyperlink" Target="https://commons.wikimedia.org/wiki/User:AmiGueko" TargetMode="External"/><Relationship Id="rId738" Type="http://schemas.openxmlformats.org/officeDocument/2006/relationships/hyperlink" Target="https://commons.wikimedia.org/wiki/User:Andresdflorez23" TargetMode="External"/><Relationship Id="rId737" Type="http://schemas.openxmlformats.org/officeDocument/2006/relationships/hyperlink" Target="https://commons.wikimedia.org/wiki/User:AmiGueko" TargetMode="External"/><Relationship Id="rId736" Type="http://schemas.openxmlformats.org/officeDocument/2006/relationships/hyperlink" Target="https://commons.wikimedia.org/wiki/User:AmiGueko" TargetMode="External"/><Relationship Id="rId735" Type="http://schemas.openxmlformats.org/officeDocument/2006/relationships/hyperlink" Target="https://commons.wikimedia.org/wiki/User:AmiGueko" TargetMode="External"/><Relationship Id="rId730" Type="http://schemas.openxmlformats.org/officeDocument/2006/relationships/hyperlink" Target="https://commons.wikimedia.org/wiki/User:AmiGueko" TargetMode="External"/><Relationship Id="rId767" Type="http://schemas.openxmlformats.org/officeDocument/2006/relationships/hyperlink" Target="https://commons.wikimedia.org/wiki/User:AmiGueko" TargetMode="External"/><Relationship Id="rId766" Type="http://schemas.openxmlformats.org/officeDocument/2006/relationships/hyperlink" Target="https://commons.wikimedia.org/wiki/User:AmiGueko" TargetMode="External"/><Relationship Id="rId765" Type="http://schemas.openxmlformats.org/officeDocument/2006/relationships/hyperlink" Target="https://commons.wikimedia.org/wiki/User:AmiGueko" TargetMode="External"/><Relationship Id="rId764" Type="http://schemas.openxmlformats.org/officeDocument/2006/relationships/hyperlink" Target="https://commons.wikimedia.org/wiki/User:Natlycu" TargetMode="External"/><Relationship Id="rId769" Type="http://schemas.openxmlformats.org/officeDocument/2006/relationships/hyperlink" Target="https://commons.wikimedia.org/wiki/User:AmiGueko" TargetMode="External"/><Relationship Id="rId768" Type="http://schemas.openxmlformats.org/officeDocument/2006/relationships/hyperlink" Target="https://commons.wikimedia.org/wiki/User:AmiGueko" TargetMode="External"/><Relationship Id="rId763" Type="http://schemas.openxmlformats.org/officeDocument/2006/relationships/hyperlink" Target="https://commons.wikimedia.org/wiki/User:AmiGueko" TargetMode="External"/><Relationship Id="rId762" Type="http://schemas.openxmlformats.org/officeDocument/2006/relationships/hyperlink" Target="https://commons.wikimedia.org/wiki/User:Sebasgr05" TargetMode="External"/><Relationship Id="rId761" Type="http://schemas.openxmlformats.org/officeDocument/2006/relationships/hyperlink" Target="https://commons.wikimedia.org/wiki/User:Supertita" TargetMode="External"/><Relationship Id="rId760" Type="http://schemas.openxmlformats.org/officeDocument/2006/relationships/hyperlink" Target="https://commons.wikimedia.org/wiki/User:Juanrapave" TargetMode="External"/><Relationship Id="rId756" Type="http://schemas.openxmlformats.org/officeDocument/2006/relationships/hyperlink" Target="https://commons.wikimedia.org/wiki/User:AmiGueko" TargetMode="External"/><Relationship Id="rId755" Type="http://schemas.openxmlformats.org/officeDocument/2006/relationships/hyperlink" Target="https://commons.wikimedia.org/wiki/User:Dacorralesc" TargetMode="External"/><Relationship Id="rId754" Type="http://schemas.openxmlformats.org/officeDocument/2006/relationships/hyperlink" Target="https://commons.wikimedia.org/wiki/User:CHAVESJUAN19" TargetMode="External"/><Relationship Id="rId753" Type="http://schemas.openxmlformats.org/officeDocument/2006/relationships/hyperlink" Target="https://commons.wikimedia.org/wiki/User:Elprofeta91" TargetMode="External"/><Relationship Id="rId759" Type="http://schemas.openxmlformats.org/officeDocument/2006/relationships/hyperlink" Target="https://commons.wikimedia.org/wiki/User:Diferoch" TargetMode="External"/><Relationship Id="rId758" Type="http://schemas.openxmlformats.org/officeDocument/2006/relationships/hyperlink" Target="https://commons.wikimedia.org/wiki/User:Project5443" TargetMode="External"/><Relationship Id="rId757" Type="http://schemas.openxmlformats.org/officeDocument/2006/relationships/hyperlink" Target="https://commons.wikimedia.org/wiki/User:AmiGueko" TargetMode="External"/><Relationship Id="rId752" Type="http://schemas.openxmlformats.org/officeDocument/2006/relationships/hyperlink" Target="https://commons.wikimedia.org/wiki/User:Diferoch" TargetMode="External"/><Relationship Id="rId751" Type="http://schemas.openxmlformats.org/officeDocument/2006/relationships/hyperlink" Target="https://commons.wikimedia.org/wiki/User:Jhoan%20Bravo" TargetMode="External"/><Relationship Id="rId750" Type="http://schemas.openxmlformats.org/officeDocument/2006/relationships/hyperlink" Target="https://commons.wikimedia.org/wiki/User:Diferoch" TargetMode="External"/><Relationship Id="rId709" Type="http://schemas.openxmlformats.org/officeDocument/2006/relationships/hyperlink" Target="https://commons.wikimedia.org/wiki/User:AmiGueko" TargetMode="External"/><Relationship Id="rId708" Type="http://schemas.openxmlformats.org/officeDocument/2006/relationships/hyperlink" Target="https://commons.wikimedia.org/wiki/User:Jcast07" TargetMode="External"/><Relationship Id="rId707" Type="http://schemas.openxmlformats.org/officeDocument/2006/relationships/hyperlink" Target="https://commons.wikimedia.org/wiki/User:XimmoY" TargetMode="External"/><Relationship Id="rId706" Type="http://schemas.openxmlformats.org/officeDocument/2006/relationships/hyperlink" Target="https://commons.wikimedia.org/wiki/User:AmiGueko" TargetMode="External"/><Relationship Id="rId701" Type="http://schemas.openxmlformats.org/officeDocument/2006/relationships/hyperlink" Target="https://commons.wikimedia.org/wiki/User:Supertita" TargetMode="External"/><Relationship Id="rId700" Type="http://schemas.openxmlformats.org/officeDocument/2006/relationships/hyperlink" Target="https://commons.wikimedia.org/wiki/User:Leo123qwerty" TargetMode="External"/><Relationship Id="rId705" Type="http://schemas.openxmlformats.org/officeDocument/2006/relationships/hyperlink" Target="https://commons.wikimedia.org/wiki/User:AmiGueko" TargetMode="External"/><Relationship Id="rId704" Type="http://schemas.openxmlformats.org/officeDocument/2006/relationships/hyperlink" Target="https://commons.wikimedia.org/wiki/User:Nbareschu" TargetMode="External"/><Relationship Id="rId703" Type="http://schemas.openxmlformats.org/officeDocument/2006/relationships/hyperlink" Target="https://commons.wikimedia.org/wiki/User:Project5443" TargetMode="External"/><Relationship Id="rId702" Type="http://schemas.openxmlformats.org/officeDocument/2006/relationships/hyperlink" Target="https://commons.wikimedia.org/wiki/User:CA3avellaneda" TargetMode="External"/><Relationship Id="rId729" Type="http://schemas.openxmlformats.org/officeDocument/2006/relationships/hyperlink" Target="https://commons.wikimedia.org/wiki/User:AmiGueko" TargetMode="External"/><Relationship Id="rId728" Type="http://schemas.openxmlformats.org/officeDocument/2006/relationships/hyperlink" Target="https://commons.wikimedia.org/wiki/User:AmiGueko" TargetMode="External"/><Relationship Id="rId723" Type="http://schemas.openxmlformats.org/officeDocument/2006/relationships/hyperlink" Target="https://commons.wikimedia.org/wiki/User:Diferoch" TargetMode="External"/><Relationship Id="rId722" Type="http://schemas.openxmlformats.org/officeDocument/2006/relationships/hyperlink" Target="https://commons.wikimedia.org/wiki/User:Zolsemiya" TargetMode="External"/><Relationship Id="rId721" Type="http://schemas.openxmlformats.org/officeDocument/2006/relationships/hyperlink" Target="https://commons.wikimedia.org/wiki/User:JuanitoCISF" TargetMode="External"/><Relationship Id="rId720" Type="http://schemas.openxmlformats.org/officeDocument/2006/relationships/hyperlink" Target="https://commons.wikimedia.org/wiki/User:JuanitoCISF" TargetMode="External"/><Relationship Id="rId727" Type="http://schemas.openxmlformats.org/officeDocument/2006/relationships/hyperlink" Target="https://commons.wikimedia.org/wiki/User:AmiGueko" TargetMode="External"/><Relationship Id="rId726" Type="http://schemas.openxmlformats.org/officeDocument/2006/relationships/hyperlink" Target="https://commons.wikimedia.org/wiki/User:XimmoY" TargetMode="External"/><Relationship Id="rId725" Type="http://schemas.openxmlformats.org/officeDocument/2006/relationships/hyperlink" Target="https://commons.wikimedia.org/wiki/User:Diferoch" TargetMode="External"/><Relationship Id="rId724" Type="http://schemas.openxmlformats.org/officeDocument/2006/relationships/hyperlink" Target="https://commons.wikimedia.org/wiki/User:Diferoch" TargetMode="External"/><Relationship Id="rId719" Type="http://schemas.openxmlformats.org/officeDocument/2006/relationships/hyperlink" Target="https://commons.wikimedia.org/wiki/User:Nbareschu" TargetMode="External"/><Relationship Id="rId718" Type="http://schemas.openxmlformats.org/officeDocument/2006/relationships/hyperlink" Target="https://commons.wikimedia.org/wiki/User:Diferoch" TargetMode="External"/><Relationship Id="rId717" Type="http://schemas.openxmlformats.org/officeDocument/2006/relationships/hyperlink" Target="https://commons.wikimedia.org/wiki/User:JJCL09" TargetMode="External"/><Relationship Id="rId712" Type="http://schemas.openxmlformats.org/officeDocument/2006/relationships/hyperlink" Target="https://commons.wikimedia.org/wiki/User:Diferoch" TargetMode="External"/><Relationship Id="rId711" Type="http://schemas.openxmlformats.org/officeDocument/2006/relationships/hyperlink" Target="https://commons.wikimedia.org/wiki/User:AmiGueko" TargetMode="External"/><Relationship Id="rId710" Type="http://schemas.openxmlformats.org/officeDocument/2006/relationships/hyperlink" Target="https://commons.wikimedia.org/wiki/User:Adrianvargasag" TargetMode="External"/><Relationship Id="rId716" Type="http://schemas.openxmlformats.org/officeDocument/2006/relationships/hyperlink" Target="https://commons.wikimedia.org/wiki/User:Charlesjsharp" TargetMode="External"/><Relationship Id="rId715" Type="http://schemas.openxmlformats.org/officeDocument/2006/relationships/hyperlink" Target="https://commons.wikimedia.org/wiki/User:Antoniacorralosorio" TargetMode="External"/><Relationship Id="rId714" Type="http://schemas.openxmlformats.org/officeDocument/2006/relationships/hyperlink" Target="https://commons.wikimedia.org/wiki/User:AmiGueko" TargetMode="External"/><Relationship Id="rId713" Type="http://schemas.openxmlformats.org/officeDocument/2006/relationships/hyperlink" Target="https://commons.wikimedia.org/wiki/User:Nbareschu" TargetMode="External"/><Relationship Id="rId789" Type="http://schemas.openxmlformats.org/officeDocument/2006/relationships/hyperlink" Target="https://commons.wikimedia.org/wiki/User:Diferoch" TargetMode="External"/><Relationship Id="rId788" Type="http://schemas.openxmlformats.org/officeDocument/2006/relationships/hyperlink" Target="https://commons.wikimedia.org/wiki/User:Diferoch" TargetMode="External"/><Relationship Id="rId787" Type="http://schemas.openxmlformats.org/officeDocument/2006/relationships/hyperlink" Target="https://commons.wikimedia.org/wiki/User:Supertita" TargetMode="External"/><Relationship Id="rId786" Type="http://schemas.openxmlformats.org/officeDocument/2006/relationships/hyperlink" Target="https://commons.wikimedia.org/wiki/User:Supertita" TargetMode="External"/><Relationship Id="rId781" Type="http://schemas.openxmlformats.org/officeDocument/2006/relationships/hyperlink" Target="https://commons.wikimedia.org/wiki/User:Rodrigomacrophoto" TargetMode="External"/><Relationship Id="rId780" Type="http://schemas.openxmlformats.org/officeDocument/2006/relationships/hyperlink" Target="https://commons.wikimedia.org/wiki/User:Ju%C3%A0nM%C3%AC41" TargetMode="External"/><Relationship Id="rId785" Type="http://schemas.openxmlformats.org/officeDocument/2006/relationships/hyperlink" Target="https://commons.wikimedia.org/wiki/User:Supertita" TargetMode="External"/><Relationship Id="rId784" Type="http://schemas.openxmlformats.org/officeDocument/2006/relationships/hyperlink" Target="https://commons.wikimedia.org/wiki/User:JJCL09" TargetMode="External"/><Relationship Id="rId783" Type="http://schemas.openxmlformats.org/officeDocument/2006/relationships/hyperlink" Target="https://commons.wikimedia.org/wiki/User:JJCL09" TargetMode="External"/><Relationship Id="rId782" Type="http://schemas.openxmlformats.org/officeDocument/2006/relationships/hyperlink" Target="https://commons.wikimedia.org/wiki/User:Charlesjsharp" TargetMode="External"/><Relationship Id="rId778" Type="http://schemas.openxmlformats.org/officeDocument/2006/relationships/hyperlink" Target="https://commons.wikimedia.org/wiki/User:TeaBonsai" TargetMode="External"/><Relationship Id="rId777" Type="http://schemas.openxmlformats.org/officeDocument/2006/relationships/hyperlink" Target="https://commons.wikimedia.org/wiki/User:NicolleTorresG" TargetMode="External"/><Relationship Id="rId776" Type="http://schemas.openxmlformats.org/officeDocument/2006/relationships/hyperlink" Target="https://commons.wikimedia.org/wiki/User:AmiGueko" TargetMode="External"/><Relationship Id="rId775" Type="http://schemas.openxmlformats.org/officeDocument/2006/relationships/hyperlink" Target="https://commons.wikimedia.org/wiki/User:Nbareschu" TargetMode="External"/><Relationship Id="rId779" Type="http://schemas.openxmlformats.org/officeDocument/2006/relationships/hyperlink" Target="https://commons.wikimedia.org/wiki/User:AmiGueko" TargetMode="External"/><Relationship Id="rId770" Type="http://schemas.openxmlformats.org/officeDocument/2006/relationships/hyperlink" Target="https://commons.wikimedia.org/wiki/User:Diferoch" TargetMode="External"/><Relationship Id="rId774" Type="http://schemas.openxmlformats.org/officeDocument/2006/relationships/hyperlink" Target="https://commons.wikimedia.org/wiki/User:Supertita" TargetMode="External"/><Relationship Id="rId773" Type="http://schemas.openxmlformats.org/officeDocument/2006/relationships/hyperlink" Target="https://commons.wikimedia.org/wiki/User:ZulayMR" TargetMode="External"/><Relationship Id="rId772" Type="http://schemas.openxmlformats.org/officeDocument/2006/relationships/hyperlink" Target="https://commons.wikimedia.org/wiki/User:NMontoya%20%28WMCO%29" TargetMode="External"/><Relationship Id="rId771" Type="http://schemas.openxmlformats.org/officeDocument/2006/relationships/hyperlink" Target="https://commons.wikimedia.org/wiki/User:AmiGueko" TargetMode="External"/><Relationship Id="rId799" Type="http://schemas.openxmlformats.org/officeDocument/2006/relationships/hyperlink" Target="https://commons.wikimedia.org/wiki/User:Diferoch" TargetMode="External"/><Relationship Id="rId798" Type="http://schemas.openxmlformats.org/officeDocument/2006/relationships/hyperlink" Target="https://commons.wikimedia.org/wiki/User:Nbareschu" TargetMode="External"/><Relationship Id="rId797" Type="http://schemas.openxmlformats.org/officeDocument/2006/relationships/hyperlink" Target="https://commons.wikimedia.org/wiki/User:Charlesjsharp" TargetMode="External"/><Relationship Id="rId792" Type="http://schemas.openxmlformats.org/officeDocument/2006/relationships/hyperlink" Target="https://commons.wikimedia.org/wiki/User:AmiGueko" TargetMode="External"/><Relationship Id="rId791" Type="http://schemas.openxmlformats.org/officeDocument/2006/relationships/hyperlink" Target="https://commons.wikimedia.org/wiki/User:Diferoch" TargetMode="External"/><Relationship Id="rId790" Type="http://schemas.openxmlformats.org/officeDocument/2006/relationships/hyperlink" Target="https://commons.wikimedia.org/wiki/User:AmiGueko" TargetMode="External"/><Relationship Id="rId796" Type="http://schemas.openxmlformats.org/officeDocument/2006/relationships/hyperlink" Target="https://commons.wikimedia.org/wiki/User:JuanPabloAndres1" TargetMode="External"/><Relationship Id="rId795" Type="http://schemas.openxmlformats.org/officeDocument/2006/relationships/hyperlink" Target="https://commons.wikimedia.org/wiki/User:JuanPabloAndres1" TargetMode="External"/><Relationship Id="rId794" Type="http://schemas.openxmlformats.org/officeDocument/2006/relationships/hyperlink" Target="https://commons.wikimedia.org/wiki/User:JuanPabloAndres1" TargetMode="External"/><Relationship Id="rId793" Type="http://schemas.openxmlformats.org/officeDocument/2006/relationships/hyperlink" Target="https://commons.wikimedia.org/wiki/User:JJCL09" TargetMode="External"/><Relationship Id="rId629" Type="http://schemas.openxmlformats.org/officeDocument/2006/relationships/hyperlink" Target="https://commons.wikimedia.org/wiki/User:AmiGueko" TargetMode="External"/><Relationship Id="rId624" Type="http://schemas.openxmlformats.org/officeDocument/2006/relationships/hyperlink" Target="https://commons.wikimedia.org/wiki/User:Dalacuel" TargetMode="External"/><Relationship Id="rId623" Type="http://schemas.openxmlformats.org/officeDocument/2006/relationships/hyperlink" Target="https://commons.wikimedia.org/wiki/User:AmiGueko" TargetMode="External"/><Relationship Id="rId622" Type="http://schemas.openxmlformats.org/officeDocument/2006/relationships/hyperlink" Target="https://commons.wikimedia.org/wiki/User:AmiGueko" TargetMode="External"/><Relationship Id="rId621" Type="http://schemas.openxmlformats.org/officeDocument/2006/relationships/hyperlink" Target="https://commons.wikimedia.org/wiki/User:Dewinjj" TargetMode="External"/><Relationship Id="rId628" Type="http://schemas.openxmlformats.org/officeDocument/2006/relationships/hyperlink" Target="https://commons.wikimedia.org/wiki/User:NMontoya%20%28WMCO%29" TargetMode="External"/><Relationship Id="rId627" Type="http://schemas.openxmlformats.org/officeDocument/2006/relationships/hyperlink" Target="https://commons.wikimedia.org/wiki/User:Nbareschu" TargetMode="External"/><Relationship Id="rId626" Type="http://schemas.openxmlformats.org/officeDocument/2006/relationships/hyperlink" Target="https://commons.wikimedia.org/wiki/User:Nbareschu" TargetMode="External"/><Relationship Id="rId625" Type="http://schemas.openxmlformats.org/officeDocument/2006/relationships/hyperlink" Target="https://commons.wikimedia.org/wiki/User:Mpmarula1" TargetMode="External"/><Relationship Id="rId620" Type="http://schemas.openxmlformats.org/officeDocument/2006/relationships/hyperlink" Target="https://commons.wikimedia.org/wiki/User:Halleyuncometafotografo" TargetMode="External"/><Relationship Id="rId619" Type="http://schemas.openxmlformats.org/officeDocument/2006/relationships/hyperlink" Target="https://commons.wikimedia.org/wiki/User:JuanitoCISF" TargetMode="External"/><Relationship Id="rId618" Type="http://schemas.openxmlformats.org/officeDocument/2006/relationships/hyperlink" Target="https://commons.wikimedia.org/wiki/User:Luisalberto%20p" TargetMode="External"/><Relationship Id="rId613" Type="http://schemas.openxmlformats.org/officeDocument/2006/relationships/hyperlink" Target="https://commons.wikimedia.org/wiki/User:Diferoch" TargetMode="External"/><Relationship Id="rId612" Type="http://schemas.openxmlformats.org/officeDocument/2006/relationships/hyperlink" Target="https://commons.wikimedia.org/wiki/User:Supertita" TargetMode="External"/><Relationship Id="rId611" Type="http://schemas.openxmlformats.org/officeDocument/2006/relationships/hyperlink" Target="https://commons.wikimedia.org/wiki/User:Supertita" TargetMode="External"/><Relationship Id="rId610" Type="http://schemas.openxmlformats.org/officeDocument/2006/relationships/hyperlink" Target="https://commons.wikimedia.org/wiki/User:Diferoch" TargetMode="External"/><Relationship Id="rId617" Type="http://schemas.openxmlformats.org/officeDocument/2006/relationships/hyperlink" Target="https://commons.wikimedia.org/wiki/User:Luisalberto%20p" TargetMode="External"/><Relationship Id="rId616" Type="http://schemas.openxmlformats.org/officeDocument/2006/relationships/hyperlink" Target="https://commons.wikimedia.org/wiki/User:Luisalberto%20p" TargetMode="External"/><Relationship Id="rId615" Type="http://schemas.openxmlformats.org/officeDocument/2006/relationships/hyperlink" Target="https://commons.wikimedia.org/wiki/User:Supertita" TargetMode="External"/><Relationship Id="rId614" Type="http://schemas.openxmlformats.org/officeDocument/2006/relationships/hyperlink" Target="https://commons.wikimedia.org/wiki/User:Supertita" TargetMode="External"/><Relationship Id="rId646" Type="http://schemas.openxmlformats.org/officeDocument/2006/relationships/hyperlink" Target="https://commons.wikimedia.org/wiki/User:Project5443" TargetMode="External"/><Relationship Id="rId645" Type="http://schemas.openxmlformats.org/officeDocument/2006/relationships/hyperlink" Target="https://commons.wikimedia.org/wiki/User:Diferoch" TargetMode="External"/><Relationship Id="rId644" Type="http://schemas.openxmlformats.org/officeDocument/2006/relationships/hyperlink" Target="https://commons.wikimedia.org/wiki/User:Diferoch" TargetMode="External"/><Relationship Id="rId643" Type="http://schemas.openxmlformats.org/officeDocument/2006/relationships/hyperlink" Target="https://commons.wikimedia.org/wiki/User:Elprofeta91" TargetMode="External"/><Relationship Id="rId649" Type="http://schemas.openxmlformats.org/officeDocument/2006/relationships/hyperlink" Target="https://commons.wikimedia.org/wiki/User:Estudiante0001" TargetMode="External"/><Relationship Id="rId648" Type="http://schemas.openxmlformats.org/officeDocument/2006/relationships/hyperlink" Target="https://commons.wikimedia.org/wiki/User:Estudiante0001" TargetMode="External"/><Relationship Id="rId647" Type="http://schemas.openxmlformats.org/officeDocument/2006/relationships/hyperlink" Target="https://commons.wikimedia.org/wiki/User:SergioM01" TargetMode="External"/><Relationship Id="rId642" Type="http://schemas.openxmlformats.org/officeDocument/2006/relationships/hyperlink" Target="https://commons.wikimedia.org/wiki/User:Elprofeta91" TargetMode="External"/><Relationship Id="rId641" Type="http://schemas.openxmlformats.org/officeDocument/2006/relationships/hyperlink" Target="https://commons.wikimedia.org/wiki/User:AmiGueko" TargetMode="External"/><Relationship Id="rId640" Type="http://schemas.openxmlformats.org/officeDocument/2006/relationships/hyperlink" Target="https://commons.wikimedia.org/wiki/User:AmiGueko" TargetMode="External"/><Relationship Id="rId635" Type="http://schemas.openxmlformats.org/officeDocument/2006/relationships/hyperlink" Target="https://commons.wikimedia.org/wiki/User:AmiGueko" TargetMode="External"/><Relationship Id="rId634" Type="http://schemas.openxmlformats.org/officeDocument/2006/relationships/hyperlink" Target="https://commons.wikimedia.org/wiki/User:AmiGueko" TargetMode="External"/><Relationship Id="rId633" Type="http://schemas.openxmlformats.org/officeDocument/2006/relationships/hyperlink" Target="https://commons.wikimedia.org/wiki/User:AmiGueko" TargetMode="External"/><Relationship Id="rId632" Type="http://schemas.openxmlformats.org/officeDocument/2006/relationships/hyperlink" Target="https://commons.wikimedia.org/wiki/User:AmiGueko" TargetMode="External"/><Relationship Id="rId639" Type="http://schemas.openxmlformats.org/officeDocument/2006/relationships/hyperlink" Target="https://commons.wikimedia.org/wiki/User:Rodrigomacrophoto" TargetMode="External"/><Relationship Id="rId638" Type="http://schemas.openxmlformats.org/officeDocument/2006/relationships/hyperlink" Target="https://commons.wikimedia.org/wiki/User:Pilarrb9286" TargetMode="External"/><Relationship Id="rId637" Type="http://schemas.openxmlformats.org/officeDocument/2006/relationships/hyperlink" Target="https://commons.wikimedia.org/wiki/User:Diferoch" TargetMode="External"/><Relationship Id="rId636" Type="http://schemas.openxmlformats.org/officeDocument/2006/relationships/hyperlink" Target="https://commons.wikimedia.org/wiki/User:AmiGueko" TargetMode="External"/><Relationship Id="rId631" Type="http://schemas.openxmlformats.org/officeDocument/2006/relationships/hyperlink" Target="https://commons.wikimedia.org/wiki/User:AmiGueko" TargetMode="External"/><Relationship Id="rId630" Type="http://schemas.openxmlformats.org/officeDocument/2006/relationships/hyperlink" Target="https://commons.wikimedia.org/wiki/User:AmiGueko" TargetMode="External"/><Relationship Id="rId609" Type="http://schemas.openxmlformats.org/officeDocument/2006/relationships/hyperlink" Target="https://commons.wikimedia.org/wiki/User:Diferoch" TargetMode="External"/><Relationship Id="rId608" Type="http://schemas.openxmlformats.org/officeDocument/2006/relationships/hyperlink" Target="https://commons.wikimedia.org/wiki/User:JJCL09" TargetMode="External"/><Relationship Id="rId607" Type="http://schemas.openxmlformats.org/officeDocument/2006/relationships/hyperlink" Target="https://commons.wikimedia.org/wiki/User:JJCL09" TargetMode="External"/><Relationship Id="rId602" Type="http://schemas.openxmlformats.org/officeDocument/2006/relationships/hyperlink" Target="https://commons.wikimedia.org/wiki/User:Jaiber.Guzman" TargetMode="External"/><Relationship Id="rId601" Type="http://schemas.openxmlformats.org/officeDocument/2006/relationships/hyperlink" Target="https://commons.wikimedia.org/wiki/User:Luifereduardoo" TargetMode="External"/><Relationship Id="rId600" Type="http://schemas.openxmlformats.org/officeDocument/2006/relationships/hyperlink" Target="https://commons.wikimedia.org/wiki/User:Luifereduardoo" TargetMode="External"/><Relationship Id="rId606" Type="http://schemas.openxmlformats.org/officeDocument/2006/relationships/hyperlink" Target="https://commons.wikimedia.org/wiki/User:Guiverfer" TargetMode="External"/><Relationship Id="rId605" Type="http://schemas.openxmlformats.org/officeDocument/2006/relationships/hyperlink" Target="https://commons.wikimedia.org/wiki/User:TeaBonsai" TargetMode="External"/><Relationship Id="rId604" Type="http://schemas.openxmlformats.org/officeDocument/2006/relationships/hyperlink" Target="https://commons.wikimedia.org/wiki/User:Rodrigomacrophoto" TargetMode="External"/><Relationship Id="rId603" Type="http://schemas.openxmlformats.org/officeDocument/2006/relationships/hyperlink" Target="https://commons.wikimedia.org/wiki/User:NicolleTorresG" TargetMode="External"/><Relationship Id="rId699" Type="http://schemas.openxmlformats.org/officeDocument/2006/relationships/hyperlink" Target="https://commons.wikimedia.org/wiki/User:AntonioEliseo" TargetMode="External"/><Relationship Id="rId698" Type="http://schemas.openxmlformats.org/officeDocument/2006/relationships/hyperlink" Target="https://commons.wikimedia.org/wiki/User:AmiGueko" TargetMode="External"/><Relationship Id="rId693" Type="http://schemas.openxmlformats.org/officeDocument/2006/relationships/hyperlink" Target="https://commons.wikimedia.org/wiki/User:AmiGueko" TargetMode="External"/><Relationship Id="rId692" Type="http://schemas.openxmlformats.org/officeDocument/2006/relationships/hyperlink" Target="https://commons.wikimedia.org/wiki/User:AmiGueko" TargetMode="External"/><Relationship Id="rId691" Type="http://schemas.openxmlformats.org/officeDocument/2006/relationships/hyperlink" Target="https://commons.wikimedia.org/wiki/User:AmiGueko" TargetMode="External"/><Relationship Id="rId690" Type="http://schemas.openxmlformats.org/officeDocument/2006/relationships/hyperlink" Target="https://commons.wikimedia.org/wiki/User:Estudiante0001" TargetMode="External"/><Relationship Id="rId697" Type="http://schemas.openxmlformats.org/officeDocument/2006/relationships/hyperlink" Target="https://commons.wikimedia.org/wiki/User:AmiGueko" TargetMode="External"/><Relationship Id="rId696" Type="http://schemas.openxmlformats.org/officeDocument/2006/relationships/hyperlink" Target="https://commons.wikimedia.org/wiki/User:AmiGueko" TargetMode="External"/><Relationship Id="rId695" Type="http://schemas.openxmlformats.org/officeDocument/2006/relationships/hyperlink" Target="https://commons.wikimedia.org/wiki/User:AmiGueko" TargetMode="External"/><Relationship Id="rId694" Type="http://schemas.openxmlformats.org/officeDocument/2006/relationships/hyperlink" Target="https://commons.wikimedia.org/wiki/User:AmiGueko" TargetMode="External"/><Relationship Id="rId668" Type="http://schemas.openxmlformats.org/officeDocument/2006/relationships/hyperlink" Target="https://commons.wikimedia.org/wiki/User:Supertita" TargetMode="External"/><Relationship Id="rId667" Type="http://schemas.openxmlformats.org/officeDocument/2006/relationships/hyperlink" Target="https://commons.wikimedia.org/wiki/User:NMontoya%20%28WMCO%29" TargetMode="External"/><Relationship Id="rId666" Type="http://schemas.openxmlformats.org/officeDocument/2006/relationships/hyperlink" Target="https://commons.wikimedia.org/wiki/User:Johan%20Andr%C3%A9s%20Toro" TargetMode="External"/><Relationship Id="rId665" Type="http://schemas.openxmlformats.org/officeDocument/2006/relationships/hyperlink" Target="https://commons.wikimedia.org/wiki/User:PapisitoDeEmmanuel" TargetMode="External"/><Relationship Id="rId669" Type="http://schemas.openxmlformats.org/officeDocument/2006/relationships/hyperlink" Target="https://commons.wikimedia.org/wiki/User:Diferoch" TargetMode="External"/><Relationship Id="rId660" Type="http://schemas.openxmlformats.org/officeDocument/2006/relationships/hyperlink" Target="https://commons.wikimedia.org/wiki/User:NMontoya%20%28WMCO%29" TargetMode="External"/><Relationship Id="rId664" Type="http://schemas.openxmlformats.org/officeDocument/2006/relationships/hyperlink" Target="https://commons.wikimedia.org/wiki/User:AmiGueko" TargetMode="External"/><Relationship Id="rId663" Type="http://schemas.openxmlformats.org/officeDocument/2006/relationships/hyperlink" Target="https://commons.wikimedia.org/wiki/User:JJCL09" TargetMode="External"/><Relationship Id="rId662" Type="http://schemas.openxmlformats.org/officeDocument/2006/relationships/hyperlink" Target="https://commons.wikimedia.org/wiki/User:Supertita" TargetMode="External"/><Relationship Id="rId661" Type="http://schemas.openxmlformats.org/officeDocument/2006/relationships/hyperlink" Target="https://commons.wikimedia.org/wiki/User:Leo123qwerty" TargetMode="External"/><Relationship Id="rId657" Type="http://schemas.openxmlformats.org/officeDocument/2006/relationships/hyperlink" Target="https://commons.wikimedia.org/wiki/User:Karl%20Alberto%20chanc" TargetMode="External"/><Relationship Id="rId656" Type="http://schemas.openxmlformats.org/officeDocument/2006/relationships/hyperlink" Target="https://commons.wikimedia.org/wiki/User:Nbareschu" TargetMode="External"/><Relationship Id="rId655" Type="http://schemas.openxmlformats.org/officeDocument/2006/relationships/hyperlink" Target="https://commons.wikimedia.org/wiki/User:Project5443" TargetMode="External"/><Relationship Id="rId654" Type="http://schemas.openxmlformats.org/officeDocument/2006/relationships/hyperlink" Target="https://commons.wikimedia.org/wiki/User:AmiGueko" TargetMode="External"/><Relationship Id="rId659" Type="http://schemas.openxmlformats.org/officeDocument/2006/relationships/hyperlink" Target="https://commons.wikimedia.org/wiki/User:Supertita" TargetMode="External"/><Relationship Id="rId658" Type="http://schemas.openxmlformats.org/officeDocument/2006/relationships/hyperlink" Target="https://commons.wikimedia.org/wiki/User:Luifereduardoo" TargetMode="External"/><Relationship Id="rId653" Type="http://schemas.openxmlformats.org/officeDocument/2006/relationships/hyperlink" Target="https://commons.wikimedia.org/wiki/User:AmiGueko" TargetMode="External"/><Relationship Id="rId652" Type="http://schemas.openxmlformats.org/officeDocument/2006/relationships/hyperlink" Target="https://commons.wikimedia.org/wiki/User:AmiGueko" TargetMode="External"/><Relationship Id="rId651" Type="http://schemas.openxmlformats.org/officeDocument/2006/relationships/hyperlink" Target="https://commons.wikimedia.org/wiki/User:Supertita" TargetMode="External"/><Relationship Id="rId650" Type="http://schemas.openxmlformats.org/officeDocument/2006/relationships/hyperlink" Target="https://commons.wikimedia.org/wiki/User:AmiGueko" TargetMode="External"/><Relationship Id="rId689" Type="http://schemas.openxmlformats.org/officeDocument/2006/relationships/hyperlink" Target="https://commons.wikimedia.org/wiki/User:Bioedna.ro" TargetMode="External"/><Relationship Id="rId688" Type="http://schemas.openxmlformats.org/officeDocument/2006/relationships/hyperlink" Target="https://commons.wikimedia.org/wiki/User:Chars21" TargetMode="External"/><Relationship Id="rId687" Type="http://schemas.openxmlformats.org/officeDocument/2006/relationships/hyperlink" Target="https://commons.wikimedia.org/wiki/User:Diferoch" TargetMode="External"/><Relationship Id="rId682" Type="http://schemas.openxmlformats.org/officeDocument/2006/relationships/hyperlink" Target="https://commons.wikimedia.org/wiki/User:Diferoch" TargetMode="External"/><Relationship Id="rId681" Type="http://schemas.openxmlformats.org/officeDocument/2006/relationships/hyperlink" Target="https://commons.wikimedia.org/wiki/User:Diferoch" TargetMode="External"/><Relationship Id="rId680" Type="http://schemas.openxmlformats.org/officeDocument/2006/relationships/hyperlink" Target="https://commons.wikimedia.org/wiki/User:Diferoch" TargetMode="External"/><Relationship Id="rId686" Type="http://schemas.openxmlformats.org/officeDocument/2006/relationships/hyperlink" Target="https://commons.wikimedia.org/wiki/User:XimmoY" TargetMode="External"/><Relationship Id="rId685" Type="http://schemas.openxmlformats.org/officeDocument/2006/relationships/hyperlink" Target="https://commons.wikimedia.org/wiki/User:Alexpanther" TargetMode="External"/><Relationship Id="rId684" Type="http://schemas.openxmlformats.org/officeDocument/2006/relationships/hyperlink" Target="https://commons.wikimedia.org/wiki/User:Nbareschu" TargetMode="External"/><Relationship Id="rId683" Type="http://schemas.openxmlformats.org/officeDocument/2006/relationships/hyperlink" Target="https://commons.wikimedia.org/wiki/User:Diferoch" TargetMode="External"/><Relationship Id="rId679" Type="http://schemas.openxmlformats.org/officeDocument/2006/relationships/hyperlink" Target="https://commons.wikimedia.org/wiki/User:Project5443" TargetMode="External"/><Relationship Id="rId678" Type="http://schemas.openxmlformats.org/officeDocument/2006/relationships/hyperlink" Target="https://commons.wikimedia.org/wiki/User:Sophy%20Martinez" TargetMode="External"/><Relationship Id="rId677" Type="http://schemas.openxmlformats.org/officeDocument/2006/relationships/hyperlink" Target="https://commons.wikimedia.org/wiki/User:Natlycu" TargetMode="External"/><Relationship Id="rId676" Type="http://schemas.openxmlformats.org/officeDocument/2006/relationships/hyperlink" Target="https://commons.wikimedia.org/wiki/User:AmiGueko" TargetMode="External"/><Relationship Id="rId671" Type="http://schemas.openxmlformats.org/officeDocument/2006/relationships/hyperlink" Target="https://commons.wikimedia.org/wiki/User:Diferoch" TargetMode="External"/><Relationship Id="rId670" Type="http://schemas.openxmlformats.org/officeDocument/2006/relationships/hyperlink" Target="https://commons.wikimedia.org/wiki/User:Diferoch" TargetMode="External"/><Relationship Id="rId675" Type="http://schemas.openxmlformats.org/officeDocument/2006/relationships/hyperlink" Target="https://commons.wikimedia.org/wiki/User:Nbareschu" TargetMode="External"/><Relationship Id="rId674" Type="http://schemas.openxmlformats.org/officeDocument/2006/relationships/hyperlink" Target="https://commons.wikimedia.org/wiki/User:Romauribe" TargetMode="External"/><Relationship Id="rId673" Type="http://schemas.openxmlformats.org/officeDocument/2006/relationships/hyperlink" Target="https://commons.wikimedia.org/wiki/User:Supertita" TargetMode="External"/><Relationship Id="rId672" Type="http://schemas.openxmlformats.org/officeDocument/2006/relationships/hyperlink" Target="https://commons.wikimedia.org/wiki/User:Diferoch" TargetMode="External"/><Relationship Id="rId190" Type="http://schemas.openxmlformats.org/officeDocument/2006/relationships/hyperlink" Target="https://commons.wikimedia.org/wiki/User:AmiGueko" TargetMode="External"/><Relationship Id="rId194" Type="http://schemas.openxmlformats.org/officeDocument/2006/relationships/hyperlink" Target="https://commons.wikimedia.org/wiki/User:AmiGueko" TargetMode="External"/><Relationship Id="rId193" Type="http://schemas.openxmlformats.org/officeDocument/2006/relationships/hyperlink" Target="https://commons.wikimedia.org/wiki/User:AmiGueko" TargetMode="External"/><Relationship Id="rId192" Type="http://schemas.openxmlformats.org/officeDocument/2006/relationships/hyperlink" Target="https://commons.wikimedia.org/wiki/User:AmiGueko" TargetMode="External"/><Relationship Id="rId191" Type="http://schemas.openxmlformats.org/officeDocument/2006/relationships/hyperlink" Target="https://commons.wikimedia.org/wiki/User:AmiGueko" TargetMode="External"/><Relationship Id="rId187" Type="http://schemas.openxmlformats.org/officeDocument/2006/relationships/hyperlink" Target="https://commons.wikimedia.org/wiki/User:Diferoch" TargetMode="External"/><Relationship Id="rId186" Type="http://schemas.openxmlformats.org/officeDocument/2006/relationships/hyperlink" Target="https://commons.wikimedia.org/wiki/User:Diferoch" TargetMode="External"/><Relationship Id="rId185" Type="http://schemas.openxmlformats.org/officeDocument/2006/relationships/hyperlink" Target="https://commons.wikimedia.org/wiki/User:Diferoch" TargetMode="External"/><Relationship Id="rId184" Type="http://schemas.openxmlformats.org/officeDocument/2006/relationships/hyperlink" Target="https://commons.wikimedia.org/wiki/User:Diferoch" TargetMode="External"/><Relationship Id="rId189" Type="http://schemas.openxmlformats.org/officeDocument/2006/relationships/hyperlink" Target="https://commons.wikimedia.org/wiki/User:AmiGueko" TargetMode="External"/><Relationship Id="rId188" Type="http://schemas.openxmlformats.org/officeDocument/2006/relationships/hyperlink" Target="https://commons.wikimedia.org/wiki/User:AmiGueko" TargetMode="External"/><Relationship Id="rId183" Type="http://schemas.openxmlformats.org/officeDocument/2006/relationships/hyperlink" Target="https://commons.wikimedia.org/wiki/User:Diferoch" TargetMode="External"/><Relationship Id="rId182" Type="http://schemas.openxmlformats.org/officeDocument/2006/relationships/hyperlink" Target="https://commons.wikimedia.org/wiki/User:Diferoch" TargetMode="External"/><Relationship Id="rId181" Type="http://schemas.openxmlformats.org/officeDocument/2006/relationships/hyperlink" Target="https://commons.wikimedia.org/wiki/User:Sebasgr05" TargetMode="External"/><Relationship Id="rId180" Type="http://schemas.openxmlformats.org/officeDocument/2006/relationships/hyperlink" Target="https://commons.wikimedia.org/wiki/User:Cathetovar" TargetMode="External"/><Relationship Id="rId176" Type="http://schemas.openxmlformats.org/officeDocument/2006/relationships/hyperlink" Target="https://commons.wikimedia.org/wiki/User:Noeliachalfoun" TargetMode="External"/><Relationship Id="rId175" Type="http://schemas.openxmlformats.org/officeDocument/2006/relationships/hyperlink" Target="https://commons.wikimedia.org/wiki/User:Noeliachalfoun" TargetMode="External"/><Relationship Id="rId174" Type="http://schemas.openxmlformats.org/officeDocument/2006/relationships/hyperlink" Target="https://commons.wikimedia.org/wiki/User:NMontoya%20%28WMCO%29" TargetMode="External"/><Relationship Id="rId173" Type="http://schemas.openxmlformats.org/officeDocument/2006/relationships/hyperlink" Target="https://commons.wikimedia.org/wiki/User:Nbareschu" TargetMode="External"/><Relationship Id="rId179" Type="http://schemas.openxmlformats.org/officeDocument/2006/relationships/hyperlink" Target="https://commons.wikimedia.org/wiki/User:Juanrapave" TargetMode="External"/><Relationship Id="rId178" Type="http://schemas.openxmlformats.org/officeDocument/2006/relationships/hyperlink" Target="https://commons.wikimedia.org/wiki/User:Noeliachalfoun" TargetMode="External"/><Relationship Id="rId177" Type="http://schemas.openxmlformats.org/officeDocument/2006/relationships/hyperlink" Target="https://commons.wikimedia.org/wiki/User:Noeliachalfoun" TargetMode="External"/><Relationship Id="rId198" Type="http://schemas.openxmlformats.org/officeDocument/2006/relationships/hyperlink" Target="https://commons.wikimedia.org/wiki/User:Diferoch" TargetMode="External"/><Relationship Id="rId197" Type="http://schemas.openxmlformats.org/officeDocument/2006/relationships/hyperlink" Target="https://commons.wikimedia.org/wiki/User:AmiGueko" TargetMode="External"/><Relationship Id="rId196" Type="http://schemas.openxmlformats.org/officeDocument/2006/relationships/hyperlink" Target="https://commons.wikimedia.org/wiki/User:Project5443" TargetMode="External"/><Relationship Id="rId195" Type="http://schemas.openxmlformats.org/officeDocument/2006/relationships/hyperlink" Target="https://commons.wikimedia.org/wiki/User:AmiGueko" TargetMode="External"/><Relationship Id="rId199" Type="http://schemas.openxmlformats.org/officeDocument/2006/relationships/hyperlink" Target="https://commons.wikimedia.org/wiki/User:Diferoch" TargetMode="External"/><Relationship Id="rId150" Type="http://schemas.openxmlformats.org/officeDocument/2006/relationships/hyperlink" Target="https://commons.wikimedia.org/wiki/User:Supertita" TargetMode="External"/><Relationship Id="rId149" Type="http://schemas.openxmlformats.org/officeDocument/2006/relationships/hyperlink" Target="https://commons.wikimedia.org/wiki/User:Overlabor5010" TargetMode="External"/><Relationship Id="rId148" Type="http://schemas.openxmlformats.org/officeDocument/2006/relationships/hyperlink" Target="https://commons.wikimedia.org/wiki/User:Diferoch" TargetMode="External"/><Relationship Id="rId143" Type="http://schemas.openxmlformats.org/officeDocument/2006/relationships/hyperlink" Target="https://commons.wikimedia.org/wiki/User:Romauribe" TargetMode="External"/><Relationship Id="rId142" Type="http://schemas.openxmlformats.org/officeDocument/2006/relationships/hyperlink" Target="https://commons.wikimedia.org/wiki/User:Cathetovar" TargetMode="External"/><Relationship Id="rId141" Type="http://schemas.openxmlformats.org/officeDocument/2006/relationships/hyperlink" Target="https://commons.wikimedia.org/wiki/User:Romauribe" TargetMode="External"/><Relationship Id="rId140" Type="http://schemas.openxmlformats.org/officeDocument/2006/relationships/hyperlink" Target="https://commons.wikimedia.org/wiki/User:CHAVESJUAN19" TargetMode="External"/><Relationship Id="rId147" Type="http://schemas.openxmlformats.org/officeDocument/2006/relationships/hyperlink" Target="https://commons.wikimedia.org/wiki/User:Nbareschu" TargetMode="External"/><Relationship Id="rId146" Type="http://schemas.openxmlformats.org/officeDocument/2006/relationships/hyperlink" Target="https://commons.wikimedia.org/wiki/User:AmiGueko" TargetMode="External"/><Relationship Id="rId145" Type="http://schemas.openxmlformats.org/officeDocument/2006/relationships/hyperlink" Target="https://commons.wikimedia.org/wiki/User:JJCL09" TargetMode="External"/><Relationship Id="rId144" Type="http://schemas.openxmlformats.org/officeDocument/2006/relationships/hyperlink" Target="https://commons.wikimedia.org/wiki/User:Nbareschu" TargetMode="External"/><Relationship Id="rId139" Type="http://schemas.openxmlformats.org/officeDocument/2006/relationships/hyperlink" Target="https://commons.wikimedia.org/wiki/User:Charlesjsharp" TargetMode="External"/><Relationship Id="rId138" Type="http://schemas.openxmlformats.org/officeDocument/2006/relationships/hyperlink" Target="https://commons.wikimedia.org/wiki/User:NMontoya%20%28WMCO%29" TargetMode="External"/><Relationship Id="rId137" Type="http://schemas.openxmlformats.org/officeDocument/2006/relationships/hyperlink" Target="https://commons.wikimedia.org/wiki/User:Leo123qwerty" TargetMode="External"/><Relationship Id="rId132" Type="http://schemas.openxmlformats.org/officeDocument/2006/relationships/hyperlink" Target="https://commons.wikimedia.org/wiki/User:AmiGueko" TargetMode="External"/><Relationship Id="rId131" Type="http://schemas.openxmlformats.org/officeDocument/2006/relationships/hyperlink" Target="https://commons.wikimedia.org/wiki/User:Supertita" TargetMode="External"/><Relationship Id="rId130" Type="http://schemas.openxmlformats.org/officeDocument/2006/relationships/hyperlink" Target="https://commons.wikimedia.org/wiki/User:AmiGueko" TargetMode="External"/><Relationship Id="rId136" Type="http://schemas.openxmlformats.org/officeDocument/2006/relationships/hyperlink" Target="https://commons.wikimedia.org/wiki/User:NMontoya%20%28WMCO%29" TargetMode="External"/><Relationship Id="rId135" Type="http://schemas.openxmlformats.org/officeDocument/2006/relationships/hyperlink" Target="https://commons.wikimedia.org/wiki/User:AmiGueko" TargetMode="External"/><Relationship Id="rId134" Type="http://schemas.openxmlformats.org/officeDocument/2006/relationships/hyperlink" Target="https://commons.wikimedia.org/wiki/User:AmiGueko" TargetMode="External"/><Relationship Id="rId133" Type="http://schemas.openxmlformats.org/officeDocument/2006/relationships/hyperlink" Target="https://commons.wikimedia.org/wiki/User:AmiGueko" TargetMode="External"/><Relationship Id="rId172" Type="http://schemas.openxmlformats.org/officeDocument/2006/relationships/hyperlink" Target="https://commons.wikimedia.org/wiki/User:Johan%20Andr%C3%A9s%20Toro" TargetMode="External"/><Relationship Id="rId171" Type="http://schemas.openxmlformats.org/officeDocument/2006/relationships/hyperlink" Target="https://commons.wikimedia.org/wiki/User:Estudiante0001" TargetMode="External"/><Relationship Id="rId170" Type="http://schemas.openxmlformats.org/officeDocument/2006/relationships/hyperlink" Target="https://commons.wikimedia.org/wiki/User:Estudiante0001" TargetMode="External"/><Relationship Id="rId165" Type="http://schemas.openxmlformats.org/officeDocument/2006/relationships/hyperlink" Target="https://commons.wikimedia.org/wiki/User:AmiGueko" TargetMode="External"/><Relationship Id="rId164" Type="http://schemas.openxmlformats.org/officeDocument/2006/relationships/hyperlink" Target="https://commons.wikimedia.org/wiki/User:AmiGueko" TargetMode="External"/><Relationship Id="rId163" Type="http://schemas.openxmlformats.org/officeDocument/2006/relationships/hyperlink" Target="https://commons.wikimedia.org/wiki/User:AmiGueko" TargetMode="External"/><Relationship Id="rId162" Type="http://schemas.openxmlformats.org/officeDocument/2006/relationships/hyperlink" Target="https://commons.wikimedia.org/wiki/User:AmiGueko" TargetMode="External"/><Relationship Id="rId169" Type="http://schemas.openxmlformats.org/officeDocument/2006/relationships/hyperlink" Target="https://commons.wikimedia.org/wiki/User:Seacowatee" TargetMode="External"/><Relationship Id="rId168" Type="http://schemas.openxmlformats.org/officeDocument/2006/relationships/hyperlink" Target="https://commons.wikimedia.org/wiki/User:Supertita" TargetMode="External"/><Relationship Id="rId167" Type="http://schemas.openxmlformats.org/officeDocument/2006/relationships/hyperlink" Target="https://commons.wikimedia.org/wiki/User:AmiGueko" TargetMode="External"/><Relationship Id="rId166" Type="http://schemas.openxmlformats.org/officeDocument/2006/relationships/hyperlink" Target="https://commons.wikimedia.org/wiki/User:AmiGueko" TargetMode="External"/><Relationship Id="rId161" Type="http://schemas.openxmlformats.org/officeDocument/2006/relationships/hyperlink" Target="https://commons.wikimedia.org/wiki/User:AmiGueko" TargetMode="External"/><Relationship Id="rId160" Type="http://schemas.openxmlformats.org/officeDocument/2006/relationships/hyperlink" Target="https://commons.wikimedia.org/wiki/User:AmiGueko" TargetMode="External"/><Relationship Id="rId159" Type="http://schemas.openxmlformats.org/officeDocument/2006/relationships/hyperlink" Target="https://commons.wikimedia.org/wiki/User:AmiGueko" TargetMode="External"/><Relationship Id="rId154" Type="http://schemas.openxmlformats.org/officeDocument/2006/relationships/hyperlink" Target="https://commons.wikimedia.org/wiki/User:NicolleTorresG" TargetMode="External"/><Relationship Id="rId153" Type="http://schemas.openxmlformats.org/officeDocument/2006/relationships/hyperlink" Target="https://commons.wikimedia.org/wiki/User:Sophy%20Martinez" TargetMode="External"/><Relationship Id="rId152" Type="http://schemas.openxmlformats.org/officeDocument/2006/relationships/hyperlink" Target="https://commons.wikimedia.org/wiki/User:AmiGueko" TargetMode="External"/><Relationship Id="rId151" Type="http://schemas.openxmlformats.org/officeDocument/2006/relationships/hyperlink" Target="https://commons.wikimedia.org/wiki/User:Nbareschu" TargetMode="External"/><Relationship Id="rId158" Type="http://schemas.openxmlformats.org/officeDocument/2006/relationships/hyperlink" Target="https://commons.wikimedia.org/wiki/User:AmiGueko" TargetMode="External"/><Relationship Id="rId157" Type="http://schemas.openxmlformats.org/officeDocument/2006/relationships/hyperlink" Target="https://commons.wikimedia.org/wiki/User:AmiGueko" TargetMode="External"/><Relationship Id="rId156" Type="http://schemas.openxmlformats.org/officeDocument/2006/relationships/hyperlink" Target="https://commons.wikimedia.org/wiki/User:AmiGueko" TargetMode="External"/><Relationship Id="rId155" Type="http://schemas.openxmlformats.org/officeDocument/2006/relationships/hyperlink" Target="https://commons.wikimedia.org/wiki/User:ZulayMR" TargetMode="External"/><Relationship Id="rId107" Type="http://schemas.openxmlformats.org/officeDocument/2006/relationships/hyperlink" Target="https://commons.wikimedia.org/wiki/User:Juanrapave" TargetMode="External"/><Relationship Id="rId106" Type="http://schemas.openxmlformats.org/officeDocument/2006/relationships/hyperlink" Target="https://commons.wikimedia.org/wiki/User:AmiGueko" TargetMode="External"/><Relationship Id="rId105" Type="http://schemas.openxmlformats.org/officeDocument/2006/relationships/hyperlink" Target="https://commons.wikimedia.org/wiki/User:XimmoY" TargetMode="External"/><Relationship Id="rId104" Type="http://schemas.openxmlformats.org/officeDocument/2006/relationships/hyperlink" Target="https://commons.wikimedia.org/wiki/User:JJCL09" TargetMode="External"/><Relationship Id="rId109" Type="http://schemas.openxmlformats.org/officeDocument/2006/relationships/hyperlink" Target="https://commons.wikimedia.org/wiki/User:Supertita" TargetMode="External"/><Relationship Id="rId108" Type="http://schemas.openxmlformats.org/officeDocument/2006/relationships/hyperlink" Target="https://commons.wikimedia.org/wiki/User:Charlesjsharp" TargetMode="External"/><Relationship Id="rId103" Type="http://schemas.openxmlformats.org/officeDocument/2006/relationships/hyperlink" Target="https://commons.wikimedia.org/wiki/User:AmiGueko" TargetMode="External"/><Relationship Id="rId102" Type="http://schemas.openxmlformats.org/officeDocument/2006/relationships/hyperlink" Target="https://commons.wikimedia.org/wiki/User:AmiGueko" TargetMode="External"/><Relationship Id="rId101" Type="http://schemas.openxmlformats.org/officeDocument/2006/relationships/hyperlink" Target="https://commons.wikimedia.org/wiki/User:Supertita" TargetMode="External"/><Relationship Id="rId100" Type="http://schemas.openxmlformats.org/officeDocument/2006/relationships/hyperlink" Target="https://commons.wikimedia.org/wiki/User:AmiGueko" TargetMode="External"/><Relationship Id="rId129" Type="http://schemas.openxmlformats.org/officeDocument/2006/relationships/hyperlink" Target="https://commons.wikimedia.org/wiki/User:NMontoya%20%28WMCO%29" TargetMode="External"/><Relationship Id="rId128" Type="http://schemas.openxmlformats.org/officeDocument/2006/relationships/hyperlink" Target="https://commons.wikimedia.org/wiki/User:Nbareschu" TargetMode="External"/><Relationship Id="rId127" Type="http://schemas.openxmlformats.org/officeDocument/2006/relationships/hyperlink" Target="https://commons.wikimedia.org/wiki/User:Supertita" TargetMode="External"/><Relationship Id="rId126" Type="http://schemas.openxmlformats.org/officeDocument/2006/relationships/hyperlink" Target="https://commons.wikimedia.org/wiki/User:XimmoY" TargetMode="External"/><Relationship Id="rId121" Type="http://schemas.openxmlformats.org/officeDocument/2006/relationships/hyperlink" Target="https://commons.wikimedia.org/wiki/User:AmiGueko" TargetMode="External"/><Relationship Id="rId120" Type="http://schemas.openxmlformats.org/officeDocument/2006/relationships/hyperlink" Target="https://commons.wikimedia.org/wiki/User:AmiGueko" TargetMode="External"/><Relationship Id="rId125" Type="http://schemas.openxmlformats.org/officeDocument/2006/relationships/hyperlink" Target="https://commons.wikimedia.org/wiki/User:CHAVESJUAN19" TargetMode="External"/><Relationship Id="rId124" Type="http://schemas.openxmlformats.org/officeDocument/2006/relationships/hyperlink" Target="https://commons.wikimedia.org/wiki/User:Johannelob" TargetMode="External"/><Relationship Id="rId123" Type="http://schemas.openxmlformats.org/officeDocument/2006/relationships/hyperlink" Target="https://commons.wikimedia.org/wiki/User:Mfrancoavellaneda" TargetMode="External"/><Relationship Id="rId122" Type="http://schemas.openxmlformats.org/officeDocument/2006/relationships/hyperlink" Target="https://commons.wikimedia.org/wiki/User:Tatiana%20Silva%2017" TargetMode="External"/><Relationship Id="rId118" Type="http://schemas.openxmlformats.org/officeDocument/2006/relationships/hyperlink" Target="https://commons.wikimedia.org/wiki/User:Rodrigomacrophoto" TargetMode="External"/><Relationship Id="rId117" Type="http://schemas.openxmlformats.org/officeDocument/2006/relationships/hyperlink" Target="https://commons.wikimedia.org/wiki/User:Diferoch" TargetMode="External"/><Relationship Id="rId116" Type="http://schemas.openxmlformats.org/officeDocument/2006/relationships/hyperlink" Target="https://commons.wikimedia.org/wiki/User:Diferoch" TargetMode="External"/><Relationship Id="rId115" Type="http://schemas.openxmlformats.org/officeDocument/2006/relationships/hyperlink" Target="https://commons.wikimedia.org/wiki/User:XimmoY" TargetMode="External"/><Relationship Id="rId119" Type="http://schemas.openxmlformats.org/officeDocument/2006/relationships/hyperlink" Target="https://commons.wikimedia.org/wiki/User:Supertita" TargetMode="External"/><Relationship Id="rId110" Type="http://schemas.openxmlformats.org/officeDocument/2006/relationships/hyperlink" Target="https://commons.wikimedia.org/wiki/User:Dewinjj" TargetMode="External"/><Relationship Id="rId114" Type="http://schemas.openxmlformats.org/officeDocument/2006/relationships/hyperlink" Target="https://commons.wikimedia.org/wiki/User:XimmoY" TargetMode="External"/><Relationship Id="rId113" Type="http://schemas.openxmlformats.org/officeDocument/2006/relationships/hyperlink" Target="https://commons.wikimedia.org/wiki/User:XimmoY" TargetMode="External"/><Relationship Id="rId112" Type="http://schemas.openxmlformats.org/officeDocument/2006/relationships/hyperlink" Target="https://commons.wikimedia.org/wiki/User:Alexpanther" TargetMode="External"/><Relationship Id="rId111" Type="http://schemas.openxmlformats.org/officeDocument/2006/relationships/hyperlink" Target="https://commons.wikimedia.org/wiki/User:Alexpanther" TargetMode="External"/><Relationship Id="rId906" Type="http://schemas.openxmlformats.org/officeDocument/2006/relationships/drawing" Target="../drawings/drawing3.xml"/><Relationship Id="rId905" Type="http://schemas.openxmlformats.org/officeDocument/2006/relationships/hyperlink" Target="https://commons.wikimedia.org/wiki/User:AntonioEliseo" TargetMode="External"/><Relationship Id="rId904" Type="http://schemas.openxmlformats.org/officeDocument/2006/relationships/hyperlink" Target="https://commons.wikimedia.org/wiki/User:NMontoya%20%28WMCO%29" TargetMode="External"/><Relationship Id="rId903" Type="http://schemas.openxmlformats.org/officeDocument/2006/relationships/hyperlink" Target="https://commons.wikimedia.org/wiki/User:NMontoya%20%28WMCO%29" TargetMode="External"/><Relationship Id="rId902" Type="http://schemas.openxmlformats.org/officeDocument/2006/relationships/hyperlink" Target="https://commons.wikimedia.org/wiki/User:NMontoya%20%28WMCO%29" TargetMode="External"/><Relationship Id="rId901" Type="http://schemas.openxmlformats.org/officeDocument/2006/relationships/hyperlink" Target="https://commons.wikimedia.org/wiki/User:Rodrigomacrophoto" TargetMode="External"/><Relationship Id="rId900" Type="http://schemas.openxmlformats.org/officeDocument/2006/relationships/hyperlink" Target="https://commons.wikimedia.org/wiki/User:Diferoch" TargetMode="External"/><Relationship Id="rId866" Type="http://schemas.openxmlformats.org/officeDocument/2006/relationships/hyperlink" Target="https://commons.wikimedia.org/wiki/User:AmiGueko" TargetMode="External"/><Relationship Id="rId865" Type="http://schemas.openxmlformats.org/officeDocument/2006/relationships/hyperlink" Target="https://commons.wikimedia.org/wiki/User:AmiGueko" TargetMode="External"/><Relationship Id="rId864" Type="http://schemas.openxmlformats.org/officeDocument/2006/relationships/hyperlink" Target="https://commons.wikimedia.org/wiki/User:AmiGueko" TargetMode="External"/><Relationship Id="rId863" Type="http://schemas.openxmlformats.org/officeDocument/2006/relationships/hyperlink" Target="https://commons.wikimedia.org/wiki/User:AmiGueko" TargetMode="External"/><Relationship Id="rId869" Type="http://schemas.openxmlformats.org/officeDocument/2006/relationships/hyperlink" Target="https://commons.wikimedia.org/wiki/User:Diferoch" TargetMode="External"/><Relationship Id="rId868" Type="http://schemas.openxmlformats.org/officeDocument/2006/relationships/hyperlink" Target="https://commons.wikimedia.org/wiki/User:JJCL09" TargetMode="External"/><Relationship Id="rId867" Type="http://schemas.openxmlformats.org/officeDocument/2006/relationships/hyperlink" Target="https://commons.wikimedia.org/wiki/User:AmiGueko" TargetMode="External"/><Relationship Id="rId862" Type="http://schemas.openxmlformats.org/officeDocument/2006/relationships/hyperlink" Target="https://commons.wikimedia.org/wiki/User:AmiGueko" TargetMode="External"/><Relationship Id="rId861" Type="http://schemas.openxmlformats.org/officeDocument/2006/relationships/hyperlink" Target="https://commons.wikimedia.org/wiki/User:AmiGueko" TargetMode="External"/><Relationship Id="rId860" Type="http://schemas.openxmlformats.org/officeDocument/2006/relationships/hyperlink" Target="https://commons.wikimedia.org/wiki/User:AmiGueko" TargetMode="External"/><Relationship Id="rId855" Type="http://schemas.openxmlformats.org/officeDocument/2006/relationships/hyperlink" Target="https://commons.wikimedia.org/wiki/User:AmiGueko" TargetMode="External"/><Relationship Id="rId854" Type="http://schemas.openxmlformats.org/officeDocument/2006/relationships/hyperlink" Target="https://commons.wikimedia.org/wiki/User:AmiGueko" TargetMode="External"/><Relationship Id="rId853" Type="http://schemas.openxmlformats.org/officeDocument/2006/relationships/hyperlink" Target="https://commons.wikimedia.org/wiki/User:AmiGueko" TargetMode="External"/><Relationship Id="rId852" Type="http://schemas.openxmlformats.org/officeDocument/2006/relationships/hyperlink" Target="https://commons.wikimedia.org/wiki/User:AmiGueko" TargetMode="External"/><Relationship Id="rId859" Type="http://schemas.openxmlformats.org/officeDocument/2006/relationships/hyperlink" Target="https://commons.wikimedia.org/wiki/User:AmiGueko" TargetMode="External"/><Relationship Id="rId858" Type="http://schemas.openxmlformats.org/officeDocument/2006/relationships/hyperlink" Target="https://commons.wikimedia.org/wiki/User:AmiGueko" TargetMode="External"/><Relationship Id="rId857" Type="http://schemas.openxmlformats.org/officeDocument/2006/relationships/hyperlink" Target="https://commons.wikimedia.org/wiki/User:AmiGueko" TargetMode="External"/><Relationship Id="rId856" Type="http://schemas.openxmlformats.org/officeDocument/2006/relationships/hyperlink" Target="https://commons.wikimedia.org/wiki/User:AmiGueko" TargetMode="External"/><Relationship Id="rId851" Type="http://schemas.openxmlformats.org/officeDocument/2006/relationships/hyperlink" Target="https://commons.wikimedia.org/wiki/User:Adrianvargasag" TargetMode="External"/><Relationship Id="rId850" Type="http://schemas.openxmlformats.org/officeDocument/2006/relationships/hyperlink" Target="https://commons.wikimedia.org/wiki/User:Nbareschu" TargetMode="External"/><Relationship Id="rId888" Type="http://schemas.openxmlformats.org/officeDocument/2006/relationships/hyperlink" Target="https://commons.wikimedia.org/wiki/User:FranciscoFajardoG" TargetMode="External"/><Relationship Id="rId887" Type="http://schemas.openxmlformats.org/officeDocument/2006/relationships/hyperlink" Target="https://commons.wikimedia.org/wiki/User:Supertita" TargetMode="External"/><Relationship Id="rId886" Type="http://schemas.openxmlformats.org/officeDocument/2006/relationships/hyperlink" Target="https://commons.wikimedia.org/wiki/User:Mfrancoavellaneda" TargetMode="External"/><Relationship Id="rId885" Type="http://schemas.openxmlformats.org/officeDocument/2006/relationships/hyperlink" Target="https://commons.wikimedia.org/wiki/User:LentedeBerilo" TargetMode="External"/><Relationship Id="rId889" Type="http://schemas.openxmlformats.org/officeDocument/2006/relationships/hyperlink" Target="https://commons.wikimedia.org/wiki/User:FranciscoFajardoG" TargetMode="External"/><Relationship Id="rId880" Type="http://schemas.openxmlformats.org/officeDocument/2006/relationships/hyperlink" Target="https://commons.wikimedia.org/wiki/User:Johan%20Andr%C3%A9s%20Toro" TargetMode="External"/><Relationship Id="rId884" Type="http://schemas.openxmlformats.org/officeDocument/2006/relationships/hyperlink" Target="https://commons.wikimedia.org/wiki/User:JuanitoCISF" TargetMode="External"/><Relationship Id="rId883" Type="http://schemas.openxmlformats.org/officeDocument/2006/relationships/hyperlink" Target="https://commons.wikimedia.org/wiki/User:JuanitoCISF" TargetMode="External"/><Relationship Id="rId882" Type="http://schemas.openxmlformats.org/officeDocument/2006/relationships/hyperlink" Target="https://commons.wikimedia.org/wiki/User:XimmoY" TargetMode="External"/><Relationship Id="rId881" Type="http://schemas.openxmlformats.org/officeDocument/2006/relationships/hyperlink" Target="https://commons.wikimedia.org/wiki/User:Johan%20Andr%C3%A9s%20Toro" TargetMode="External"/><Relationship Id="rId877" Type="http://schemas.openxmlformats.org/officeDocument/2006/relationships/hyperlink" Target="https://commons.wikimedia.org/wiki/User:NycDM" TargetMode="External"/><Relationship Id="rId876" Type="http://schemas.openxmlformats.org/officeDocument/2006/relationships/hyperlink" Target="https://commons.wikimedia.org/wiki/User:NycDM" TargetMode="External"/><Relationship Id="rId875" Type="http://schemas.openxmlformats.org/officeDocument/2006/relationships/hyperlink" Target="https://commons.wikimedia.org/wiki/User:LentedeBerilo" TargetMode="External"/><Relationship Id="rId874" Type="http://schemas.openxmlformats.org/officeDocument/2006/relationships/hyperlink" Target="https://commons.wikimedia.org/wiki/User:Supertita" TargetMode="External"/><Relationship Id="rId879" Type="http://schemas.openxmlformats.org/officeDocument/2006/relationships/hyperlink" Target="https://commons.wikimedia.org/wiki/User:Johan%20Andr%C3%A9s%20Toro" TargetMode="External"/><Relationship Id="rId878" Type="http://schemas.openxmlformats.org/officeDocument/2006/relationships/hyperlink" Target="https://commons.wikimedia.org/wiki/User:Charlesjsharp" TargetMode="External"/><Relationship Id="rId873" Type="http://schemas.openxmlformats.org/officeDocument/2006/relationships/hyperlink" Target="https://commons.wikimedia.org/wiki/User:Johannelob" TargetMode="External"/><Relationship Id="rId872" Type="http://schemas.openxmlformats.org/officeDocument/2006/relationships/hyperlink" Target="https://commons.wikimedia.org/wiki/User:JJCL09" TargetMode="External"/><Relationship Id="rId871" Type="http://schemas.openxmlformats.org/officeDocument/2006/relationships/hyperlink" Target="https://commons.wikimedia.org/wiki/User:SergioM01" TargetMode="External"/><Relationship Id="rId870" Type="http://schemas.openxmlformats.org/officeDocument/2006/relationships/hyperlink" Target="https://commons.wikimedia.org/wiki/User:Diferoch" TargetMode="External"/><Relationship Id="rId829" Type="http://schemas.openxmlformats.org/officeDocument/2006/relationships/hyperlink" Target="https://commons.wikimedia.org/wiki/User:Diferoch" TargetMode="External"/><Relationship Id="rId828" Type="http://schemas.openxmlformats.org/officeDocument/2006/relationships/hyperlink" Target="https://commons.wikimedia.org/wiki/User:XimmoY" TargetMode="External"/><Relationship Id="rId827" Type="http://schemas.openxmlformats.org/officeDocument/2006/relationships/hyperlink" Target="https://commons.wikimedia.org/wiki/User:Diferoch" TargetMode="External"/><Relationship Id="rId822" Type="http://schemas.openxmlformats.org/officeDocument/2006/relationships/hyperlink" Target="https://commons.wikimedia.org/wiki/User:Supertita" TargetMode="External"/><Relationship Id="rId821" Type="http://schemas.openxmlformats.org/officeDocument/2006/relationships/hyperlink" Target="https://commons.wikimedia.org/wiki/User:Supertita" TargetMode="External"/><Relationship Id="rId820" Type="http://schemas.openxmlformats.org/officeDocument/2006/relationships/hyperlink" Target="https://commons.wikimedia.org/wiki/User:Supertita" TargetMode="External"/><Relationship Id="rId826" Type="http://schemas.openxmlformats.org/officeDocument/2006/relationships/hyperlink" Target="https://commons.wikimedia.org/wiki/User:Diferoch" TargetMode="External"/><Relationship Id="rId825" Type="http://schemas.openxmlformats.org/officeDocument/2006/relationships/hyperlink" Target="https://commons.wikimedia.org/wiki/User:Diferoch" TargetMode="External"/><Relationship Id="rId824" Type="http://schemas.openxmlformats.org/officeDocument/2006/relationships/hyperlink" Target="https://commons.wikimedia.org/wiki/User:Nbareschu" TargetMode="External"/><Relationship Id="rId823" Type="http://schemas.openxmlformats.org/officeDocument/2006/relationships/hyperlink" Target="https://commons.wikimedia.org/wiki/User:NicolleTorresG" TargetMode="External"/><Relationship Id="rId819" Type="http://schemas.openxmlformats.org/officeDocument/2006/relationships/hyperlink" Target="https://commons.wikimedia.org/wiki/User:NicolleTorresG" TargetMode="External"/><Relationship Id="rId818" Type="http://schemas.openxmlformats.org/officeDocument/2006/relationships/hyperlink" Target="https://commons.wikimedia.org/wiki/User:Antoniacorralosorio" TargetMode="External"/><Relationship Id="rId817" Type="http://schemas.openxmlformats.org/officeDocument/2006/relationships/hyperlink" Target="https://commons.wikimedia.org/wiki/User:AntonioEliseo" TargetMode="External"/><Relationship Id="rId816" Type="http://schemas.openxmlformats.org/officeDocument/2006/relationships/hyperlink" Target="https://commons.wikimedia.org/wiki/User:NicolleTorresG" TargetMode="External"/><Relationship Id="rId811" Type="http://schemas.openxmlformats.org/officeDocument/2006/relationships/hyperlink" Target="https://commons.wikimedia.org/wiki/User:Kithpro" TargetMode="External"/><Relationship Id="rId810" Type="http://schemas.openxmlformats.org/officeDocument/2006/relationships/hyperlink" Target="https://commons.wikimedia.org/wiki/User:XimmoY" TargetMode="External"/><Relationship Id="rId815" Type="http://schemas.openxmlformats.org/officeDocument/2006/relationships/hyperlink" Target="https://commons.wikimedia.org/wiki/User:NicolleTorresG" TargetMode="External"/><Relationship Id="rId814" Type="http://schemas.openxmlformats.org/officeDocument/2006/relationships/hyperlink" Target="https://commons.wikimedia.org/wiki/User:Rodrigomacrophoto" TargetMode="External"/><Relationship Id="rId813" Type="http://schemas.openxmlformats.org/officeDocument/2006/relationships/hyperlink" Target="https://commons.wikimedia.org/wiki/User:Diferoch" TargetMode="External"/><Relationship Id="rId812" Type="http://schemas.openxmlformats.org/officeDocument/2006/relationships/hyperlink" Target="https://commons.wikimedia.org/wiki/User:Diferoch" TargetMode="External"/><Relationship Id="rId849" Type="http://schemas.openxmlformats.org/officeDocument/2006/relationships/hyperlink" Target="https://commons.wikimedia.org/wiki/User:Hector%20Bottai" TargetMode="External"/><Relationship Id="rId844" Type="http://schemas.openxmlformats.org/officeDocument/2006/relationships/hyperlink" Target="https://commons.wikimedia.org/wiki/User:Elprofeta91" TargetMode="External"/><Relationship Id="rId843" Type="http://schemas.openxmlformats.org/officeDocument/2006/relationships/hyperlink" Target="https://commons.wikimedia.org/wiki/User:Halleyuncometafotografo" TargetMode="External"/><Relationship Id="rId842" Type="http://schemas.openxmlformats.org/officeDocument/2006/relationships/hyperlink" Target="https://commons.wikimedia.org/wiki/User:Elprofeta91" TargetMode="External"/><Relationship Id="rId841" Type="http://schemas.openxmlformats.org/officeDocument/2006/relationships/hyperlink" Target="https://commons.wikimedia.org/wiki/User:Elprofeta91" TargetMode="External"/><Relationship Id="rId848" Type="http://schemas.openxmlformats.org/officeDocument/2006/relationships/hyperlink" Target="https://commons.wikimedia.org/wiki/User:JJCL09" TargetMode="External"/><Relationship Id="rId847" Type="http://schemas.openxmlformats.org/officeDocument/2006/relationships/hyperlink" Target="https://commons.wikimedia.org/wiki/User:NataMendietaOrtega" TargetMode="External"/><Relationship Id="rId846" Type="http://schemas.openxmlformats.org/officeDocument/2006/relationships/hyperlink" Target="https://commons.wikimedia.org/wiki/User:Juanrapave" TargetMode="External"/><Relationship Id="rId845" Type="http://schemas.openxmlformats.org/officeDocument/2006/relationships/hyperlink" Target="https://commons.wikimedia.org/wiki/User:KingJo09" TargetMode="External"/><Relationship Id="rId840" Type="http://schemas.openxmlformats.org/officeDocument/2006/relationships/hyperlink" Target="https://commons.wikimedia.org/wiki/User:Zamstiv" TargetMode="External"/><Relationship Id="rId839" Type="http://schemas.openxmlformats.org/officeDocument/2006/relationships/hyperlink" Target="https://commons.wikimedia.org/wiki/User:Zamstiv" TargetMode="External"/><Relationship Id="rId838" Type="http://schemas.openxmlformats.org/officeDocument/2006/relationships/hyperlink" Target="https://commons.wikimedia.org/wiki/User:Elprofeta91" TargetMode="External"/><Relationship Id="rId833" Type="http://schemas.openxmlformats.org/officeDocument/2006/relationships/hyperlink" Target="https://commons.wikimedia.org/wiki/User:Diferoch" TargetMode="External"/><Relationship Id="rId832" Type="http://schemas.openxmlformats.org/officeDocument/2006/relationships/hyperlink" Target="https://commons.wikimedia.org/wiki/User:Diferoch" TargetMode="External"/><Relationship Id="rId831" Type="http://schemas.openxmlformats.org/officeDocument/2006/relationships/hyperlink" Target="https://commons.wikimedia.org/wiki/User:Diferoch" TargetMode="External"/><Relationship Id="rId830" Type="http://schemas.openxmlformats.org/officeDocument/2006/relationships/hyperlink" Target="https://commons.wikimedia.org/wiki/User:Diferoch" TargetMode="External"/><Relationship Id="rId837" Type="http://schemas.openxmlformats.org/officeDocument/2006/relationships/hyperlink" Target="https://commons.wikimedia.org/wiki/User:Elprofeta91" TargetMode="External"/><Relationship Id="rId836" Type="http://schemas.openxmlformats.org/officeDocument/2006/relationships/hyperlink" Target="https://commons.wikimedia.org/wiki/User:NicolleTorresG" TargetMode="External"/><Relationship Id="rId835" Type="http://schemas.openxmlformats.org/officeDocument/2006/relationships/hyperlink" Target="https://commons.wikimedia.org/wiki/User:Diferoch" TargetMode="External"/><Relationship Id="rId834" Type="http://schemas.openxmlformats.org/officeDocument/2006/relationships/hyperlink" Target="https://commons.wikimedia.org/wiki/User:Diferoch" TargetMode="External"/><Relationship Id="rId899" Type="http://schemas.openxmlformats.org/officeDocument/2006/relationships/hyperlink" Target="https://commons.wikimedia.org/wiki/User:Diferoch" TargetMode="External"/><Relationship Id="rId898" Type="http://schemas.openxmlformats.org/officeDocument/2006/relationships/hyperlink" Target="https://commons.wikimedia.org/wiki/User:Sigolene-jomain" TargetMode="External"/><Relationship Id="rId897" Type="http://schemas.openxmlformats.org/officeDocument/2006/relationships/hyperlink" Target="https://commons.wikimedia.org/wiki/User:Natlycu" TargetMode="External"/><Relationship Id="rId896" Type="http://schemas.openxmlformats.org/officeDocument/2006/relationships/hyperlink" Target="https://commons.wikimedia.org/wiki/User:JJCL09" TargetMode="External"/><Relationship Id="rId891" Type="http://schemas.openxmlformats.org/officeDocument/2006/relationships/hyperlink" Target="https://commons.wikimedia.org/wiki/User:Charlesjsharp" TargetMode="External"/><Relationship Id="rId890" Type="http://schemas.openxmlformats.org/officeDocument/2006/relationships/hyperlink" Target="https://commons.wikimedia.org/wiki/User:FranciscoFajardoG" TargetMode="External"/><Relationship Id="rId895" Type="http://schemas.openxmlformats.org/officeDocument/2006/relationships/hyperlink" Target="https://commons.wikimedia.org/wiki/User:AmiGueko" TargetMode="External"/><Relationship Id="rId894" Type="http://schemas.openxmlformats.org/officeDocument/2006/relationships/hyperlink" Target="https://commons.wikimedia.org/wiki/User:Diferoch" TargetMode="External"/><Relationship Id="rId893" Type="http://schemas.openxmlformats.org/officeDocument/2006/relationships/hyperlink" Target="https://commons.wikimedia.org/wiki/User:Overlabor5010" TargetMode="External"/><Relationship Id="rId892" Type="http://schemas.openxmlformats.org/officeDocument/2006/relationships/hyperlink" Target="https://commons.wikimedia.org/wiki/User:Superti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71"/>
    <col customWidth="1" min="2" max="2" width="32.0"/>
    <col customWidth="1" min="3" max="3" width="33.43"/>
    <col customWidth="1" min="4" max="4" width="45.0"/>
    <col customWidth="1" min="5" max="5" width="22.0"/>
    <col customWidth="1" min="6" max="6" width="18.0"/>
    <col customWidth="1" min="7" max="7" width="20.0"/>
    <col customWidth="1" min="8" max="8" width="18.0"/>
    <col customWidth="1" min="9" max="9" width="45.0"/>
    <col customWidth="1" min="10" max="26" width="8.71"/>
  </cols>
  <sheetData>
    <row r="1" ht="27.75" customHeight="1">
      <c r="A1" s="3" t="s">
        <v>1</v>
      </c>
      <c r="B1" s="3" t="s">
        <v>4</v>
      </c>
      <c r="C1" s="3" t="s">
        <v>5</v>
      </c>
      <c r="D1" s="3" t="s">
        <v>6</v>
      </c>
      <c r="E1" s="3" t="s">
        <v>7</v>
      </c>
      <c r="F1" s="3" t="s">
        <v>8</v>
      </c>
      <c r="G1" s="3" t="s">
        <v>9</v>
      </c>
      <c r="H1" s="3" t="s">
        <v>10</v>
      </c>
      <c r="I1" s="5" t="s">
        <v>12</v>
      </c>
    </row>
    <row r="2" ht="36.0" customHeight="1">
      <c r="A2" s="10" t="str">
        <f t="shared" ref="A2:A5" si="1">HYPERLINK("https://commons.wikimedia.org/wiki/User:" &amp; ENCODEURL("Supertita"), "Supertita")</f>
        <v>Supertita</v>
      </c>
      <c r="B2" s="11" t="s">
        <v>13</v>
      </c>
      <c r="C2" s="12">
        <v>46191.905277777776</v>
      </c>
      <c r="D2" s="11" t="s">
        <v>14</v>
      </c>
      <c r="E2" s="14" t="s">
        <v>15</v>
      </c>
      <c r="F2" s="15" t="s">
        <v>16</v>
      </c>
      <c r="G2" s="15" t="s">
        <v>17</v>
      </c>
      <c r="H2" s="15" t="s">
        <v>18</v>
      </c>
      <c r="I2" s="14" t="str">
        <f>IMAGE("https://upload.wikimedia.org/wikipedia/commons/9/9e/%28Daptrius_chimachima%29.jpg")</f>
        <v/>
      </c>
      <c r="K2" s="1"/>
    </row>
    <row r="3" ht="36.0" customHeight="1">
      <c r="A3" s="16" t="str">
        <f t="shared" si="1"/>
        <v>Supertita</v>
      </c>
      <c r="B3" s="17" t="s">
        <v>19</v>
      </c>
      <c r="C3" s="18">
        <v>46192.70730324074</v>
      </c>
      <c r="D3" s="17" t="s">
        <v>20</v>
      </c>
      <c r="E3" s="19" t="s">
        <v>21</v>
      </c>
      <c r="F3" s="20" t="s">
        <v>16</v>
      </c>
      <c r="G3" s="20" t="s">
        <v>17</v>
      </c>
      <c r="H3" s="20" t="s">
        <v>18</v>
      </c>
      <c r="I3" s="19" t="str">
        <f>IMAGE("https://upload.wikimedia.org/wikipedia/commons/6/68/%28Eryngium_humboldtii%29_Familia_Apiaceae.jpg")</f>
        <v/>
      </c>
      <c r="K3" s="1"/>
    </row>
    <row r="4" ht="36.0" customHeight="1">
      <c r="A4" s="10" t="str">
        <f t="shared" si="1"/>
        <v>Supertita</v>
      </c>
      <c r="B4" s="11" t="s">
        <v>22</v>
      </c>
      <c r="C4" s="12">
        <v>46192.60912037037</v>
      </c>
      <c r="D4" s="11" t="s">
        <v>23</v>
      </c>
      <c r="E4" s="14" t="s">
        <v>24</v>
      </c>
      <c r="F4" s="15" t="s">
        <v>16</v>
      </c>
      <c r="G4" s="15" t="s">
        <v>17</v>
      </c>
      <c r="H4" s="15" t="s">
        <v>18</v>
      </c>
      <c r="I4" s="14" t="str">
        <f>IMAGE("https://upload.wikimedia.org/wikipedia/commons/4/4d/%28Hippeastrum%29.jpg")</f>
        <v/>
      </c>
      <c r="K4" s="1"/>
    </row>
    <row r="5" ht="36.0" customHeight="1">
      <c r="A5" s="16" t="str">
        <f t="shared" si="1"/>
        <v>Supertita</v>
      </c>
      <c r="B5" s="17" t="s">
        <v>25</v>
      </c>
      <c r="C5" s="18">
        <v>46191.90539351852</v>
      </c>
      <c r="D5" s="17" t="s">
        <v>26</v>
      </c>
      <c r="E5" s="19" t="s">
        <v>15</v>
      </c>
      <c r="F5" s="20" t="s">
        <v>16</v>
      </c>
      <c r="G5" s="20" t="s">
        <v>17</v>
      </c>
      <c r="H5" s="20" t="s">
        <v>18</v>
      </c>
      <c r="I5" s="19" t="str">
        <f>IMAGE("https://upload.wikimedia.org/wikipedia/commons/3/31/%28Nymphaea_lotus%29_Nymphaeaceae.jpg")</f>
        <v/>
      </c>
    </row>
    <row r="6" ht="36.0" customHeight="1">
      <c r="A6" s="10" t="str">
        <f>HYPERLINK("https://commons.wikimedia.org/wiki/User:" &amp; ENCODEURL("Mathias David P"), "Mathias David P")</f>
        <v>Mathias David P</v>
      </c>
      <c r="B6" s="11" t="s">
        <v>27</v>
      </c>
      <c r="C6" s="12">
        <v>46201.74664351852</v>
      </c>
      <c r="D6" s="11" t="s">
        <v>28</v>
      </c>
      <c r="E6" s="14" t="s">
        <v>29</v>
      </c>
      <c r="F6" s="14" t="s">
        <v>30</v>
      </c>
      <c r="G6" s="15" t="s">
        <v>17</v>
      </c>
      <c r="H6" s="15" t="s">
        <v>18</v>
      </c>
      <c r="I6" s="14" t="str">
        <f>IMAGE("https://upload.wikimedia.org/wikipedia/commons/f/f5/3_mosqueteros.jpg")</f>
        <v/>
      </c>
    </row>
    <row r="7" ht="36.0" customHeight="1">
      <c r="A7" s="16" t="str">
        <f>HYPERLINK("https://commons.wikimedia.org/wiki/User:" &amp; ENCODEURL("Elprofeta91"), "Elprofeta91")</f>
        <v>Elprofeta91</v>
      </c>
      <c r="B7" s="17" t="s">
        <v>31</v>
      </c>
      <c r="C7" s="18">
        <v>46147.79121527778</v>
      </c>
      <c r="D7" s="17" t="s">
        <v>32</v>
      </c>
      <c r="E7" s="19" t="s">
        <v>33</v>
      </c>
      <c r="F7" s="20" t="s">
        <v>16</v>
      </c>
      <c r="G7" s="20" t="s">
        <v>17</v>
      </c>
      <c r="H7" s="20" t="s">
        <v>18</v>
      </c>
      <c r="I7" s="19" t="str">
        <f>IMAGE("https://upload.wikimedia.org/wikipedia/commons/8/81/A_la_sombra_en_Nech%C3%AD.jpg")</f>
        <v/>
      </c>
    </row>
    <row r="8" ht="36.0" customHeight="1">
      <c r="A8" s="10" t="str">
        <f t="shared" ref="A8:A9" si="2">HYPERLINK("https://commons.wikimedia.org/wiki/User:" &amp; ENCODEURL("Santiago Styles - Protect the Andes"), "Santiago Styles - Protect the Andes")</f>
        <v>Santiago Styles - Protect the Andes</v>
      </c>
      <c r="B8" s="11" t="s">
        <v>34</v>
      </c>
      <c r="C8" s="12">
        <v>46203.825057870374</v>
      </c>
      <c r="D8" s="11" t="s">
        <v>35</v>
      </c>
      <c r="E8" s="14" t="s">
        <v>36</v>
      </c>
      <c r="F8" s="15" t="s">
        <v>16</v>
      </c>
      <c r="G8" s="15" t="s">
        <v>17</v>
      </c>
      <c r="H8" s="15" t="s">
        <v>18</v>
      </c>
      <c r="I8" s="14" t="str">
        <f>IMAGE("https://upload.wikimedia.org/wikipedia/commons/6/60/A_male_caring_for_the_next_generation.jpg")</f>
        <v/>
      </c>
    </row>
    <row r="9" ht="36.0" customHeight="1">
      <c r="A9" s="16" t="str">
        <f t="shared" si="2"/>
        <v>Santiago Styles - Protect the Andes</v>
      </c>
      <c r="B9" s="17" t="s">
        <v>37</v>
      </c>
      <c r="C9" s="18">
        <v>46203.79887731482</v>
      </c>
      <c r="D9" s="17" t="s">
        <v>38</v>
      </c>
      <c r="E9" s="19" t="s">
        <v>39</v>
      </c>
      <c r="F9" s="20" t="s">
        <v>16</v>
      </c>
      <c r="G9" s="20" t="s">
        <v>17</v>
      </c>
      <c r="H9" s="20" t="s">
        <v>18</v>
      </c>
      <c r="I9" s="19" t="str">
        <f>IMAGE("https://upload.wikimedia.org/wikipedia/commons/b/bb/A_story_of_the_victims_of_Colombia%27s_armed_conflict.jpg")</f>
        <v/>
      </c>
    </row>
    <row r="10" ht="36.0" customHeight="1">
      <c r="A10" s="10" t="str">
        <f>HYPERLINK("https://commons.wikimedia.org/wiki/User:" &amp; ENCODEURL("Mottenpriesterin"), "Mottenpriesterin")</f>
        <v>Mottenpriesterin</v>
      </c>
      <c r="B10" s="11" t="s">
        <v>40</v>
      </c>
      <c r="C10" s="12">
        <v>46202.91966435185</v>
      </c>
      <c r="D10" s="11" t="s">
        <v>41</v>
      </c>
      <c r="E10" s="14" t="s">
        <v>29</v>
      </c>
      <c r="F10" s="14" t="s">
        <v>30</v>
      </c>
      <c r="G10" s="15" t="s">
        <v>17</v>
      </c>
      <c r="H10" s="15" t="s">
        <v>18</v>
      </c>
      <c r="I10" s="14" t="str">
        <f>IMAGE("https://upload.wikimedia.org/wikipedia/commons/f/ff/A_tropical_milipede%2C_family_Rhinocricidae%2C_Tayrona_National_Park%2C_2025.jpg")</f>
        <v/>
      </c>
    </row>
    <row r="11" ht="36.0" customHeight="1">
      <c r="A11" s="16" t="str">
        <f t="shared" ref="A11:A12" si="3">HYPERLINK("https://commons.wikimedia.org/wiki/User:" &amp; ENCODEURL("Rodrigomacrophoto"), "Rodrigomacrophoto")</f>
        <v>Rodrigomacrophoto</v>
      </c>
      <c r="B11" s="17" t="s">
        <v>42</v>
      </c>
      <c r="C11" s="18">
        <v>46196.61181712963</v>
      </c>
      <c r="D11" s="17" t="s">
        <v>43</v>
      </c>
      <c r="E11" s="19" t="s">
        <v>44</v>
      </c>
      <c r="F11" s="20" t="s">
        <v>16</v>
      </c>
      <c r="G11" s="20" t="s">
        <v>17</v>
      </c>
      <c r="H11" s="20" t="s">
        <v>18</v>
      </c>
      <c r="I11" s="19" t="str">
        <f>IMAGE("https://upload.wikimedia.org/wikipedia/commons/e/e6/Abeja%2C_Halictidae_alimentandose.jpg")</f>
        <v/>
      </c>
    </row>
    <row r="12" ht="36.0" customHeight="1">
      <c r="A12" s="10" t="str">
        <f t="shared" si="3"/>
        <v>Rodrigomacrophoto</v>
      </c>
      <c r="B12" s="11" t="s">
        <v>45</v>
      </c>
      <c r="C12" s="12">
        <v>46196.61185185185</v>
      </c>
      <c r="D12" s="11" t="s">
        <v>46</v>
      </c>
      <c r="E12" s="14" t="s">
        <v>44</v>
      </c>
      <c r="F12" s="15" t="s">
        <v>16</v>
      </c>
      <c r="G12" s="15" t="s">
        <v>17</v>
      </c>
      <c r="H12" s="15" t="s">
        <v>18</v>
      </c>
      <c r="I12" s="14" t="str">
        <f>IMAGE("https://upload.wikimedia.org/wikipedia/commons/6/6c/Abeja_Halictidae_sobre_flor.jpg")</f>
        <v/>
      </c>
    </row>
    <row r="13" ht="36.0" customHeight="1">
      <c r="A13" s="16" t="str">
        <f>HYPERLINK("https://commons.wikimedia.org/wiki/User:" &amp; ENCODEURL("Andresdflorez23"), "Andresdflorez23")</f>
        <v>Andresdflorez23</v>
      </c>
      <c r="B13" s="17" t="s">
        <v>47</v>
      </c>
      <c r="C13" s="18">
        <v>46203.44746527778</v>
      </c>
      <c r="D13" s="17" t="s">
        <v>48</v>
      </c>
      <c r="E13" s="19" t="s">
        <v>49</v>
      </c>
      <c r="F13" s="20" t="s">
        <v>16</v>
      </c>
      <c r="G13" s="20" t="s">
        <v>17</v>
      </c>
      <c r="H13" s="20" t="s">
        <v>18</v>
      </c>
      <c r="I13" s="19" t="str">
        <f>IMAGE("https://upload.wikimedia.org/wikipedia/commons/3/33/Abeja_Thygater_sp.jpg")</f>
        <v/>
      </c>
    </row>
    <row r="14" ht="36.0" customHeight="1">
      <c r="A14" s="10" t="str">
        <f t="shared" ref="A14:A15" si="4">HYPERLINK("https://commons.wikimedia.org/wiki/User:" &amp; ENCODEURL("AmiGueko"), "AmiGueko")</f>
        <v>AmiGueko</v>
      </c>
      <c r="B14" s="11" t="s">
        <v>50</v>
      </c>
      <c r="C14" s="12">
        <v>46161.31208333333</v>
      </c>
      <c r="D14" s="11" t="s">
        <v>51</v>
      </c>
      <c r="E14" s="14" t="s">
        <v>52</v>
      </c>
      <c r="F14" s="15" t="s">
        <v>16</v>
      </c>
      <c r="G14" s="15" t="s">
        <v>17</v>
      </c>
      <c r="H14" s="15" t="s">
        <v>18</v>
      </c>
      <c r="I14" s="14" t="str">
        <f>IMAGE("https://upload.wikimedia.org/wikipedia/commons/b/b3/Abeja_melipona_%2857935%29.jpg")</f>
        <v/>
      </c>
    </row>
    <row r="15" ht="36.0" customHeight="1">
      <c r="A15" s="16" t="str">
        <f t="shared" si="4"/>
        <v>AmiGueko</v>
      </c>
      <c r="B15" s="17" t="s">
        <v>53</v>
      </c>
      <c r="C15" s="18">
        <v>46161.31329861111</v>
      </c>
      <c r="D15" s="17" t="s">
        <v>54</v>
      </c>
      <c r="E15" s="19" t="s">
        <v>55</v>
      </c>
      <c r="F15" s="20" t="s">
        <v>16</v>
      </c>
      <c r="G15" s="20" t="s">
        <v>17</v>
      </c>
      <c r="H15" s="20" t="s">
        <v>18</v>
      </c>
      <c r="I15" s="19" t="str">
        <f>IMAGE("https://upload.wikimedia.org/wikipedia/commons/f/fe/Abeja_melipona_cafetera.jpg")</f>
        <v/>
      </c>
    </row>
    <row r="16" ht="36.0" customHeight="1">
      <c r="A16" s="10" t="str">
        <f t="shared" ref="A16:A18" si="5">HYPERLINK("https://commons.wikimedia.org/wiki/User:" &amp; ENCODEURL("Rodrigomacrophoto"), "Rodrigomacrophoto")</f>
        <v>Rodrigomacrophoto</v>
      </c>
      <c r="B16" s="11" t="s">
        <v>56</v>
      </c>
      <c r="C16" s="12">
        <v>46146.837685185186</v>
      </c>
      <c r="D16" s="11" t="s">
        <v>57</v>
      </c>
      <c r="E16" s="14" t="s">
        <v>58</v>
      </c>
      <c r="F16" s="15" t="s">
        <v>16</v>
      </c>
      <c r="G16" s="15" t="s">
        <v>17</v>
      </c>
      <c r="H16" s="15" t="s">
        <v>18</v>
      </c>
      <c r="I16" s="14" t="str">
        <f>IMAGE("https://upload.wikimedia.org/wikipedia/commons/0/0b/Abeja_polinizando_una_flor_de_Excremis_sp.jpg")</f>
        <v/>
      </c>
    </row>
    <row r="17" ht="36.0" customHeight="1">
      <c r="A17" s="16" t="str">
        <f t="shared" si="5"/>
        <v>Rodrigomacrophoto</v>
      </c>
      <c r="B17" s="17" t="s">
        <v>59</v>
      </c>
      <c r="C17" s="18">
        <v>46201.75136574074</v>
      </c>
      <c r="D17" s="17" t="s">
        <v>60</v>
      </c>
      <c r="E17" s="19" t="s">
        <v>61</v>
      </c>
      <c r="F17" s="20" t="s">
        <v>16</v>
      </c>
      <c r="G17" s="20" t="s">
        <v>17</v>
      </c>
      <c r="H17" s="20" t="s">
        <v>18</v>
      </c>
      <c r="I17" s="19" t="str">
        <f>IMAGE("https://upload.wikimedia.org/wikipedia/commons/0/0c/Abeja_sobre_flor_de_Praxelis.jpg")</f>
        <v/>
      </c>
    </row>
    <row r="18" ht="36.0" customHeight="1">
      <c r="A18" s="10" t="str">
        <f t="shared" si="5"/>
        <v>Rodrigomacrophoto</v>
      </c>
      <c r="B18" s="11" t="s">
        <v>62</v>
      </c>
      <c r="C18" s="12">
        <v>46201.75135416666</v>
      </c>
      <c r="D18" s="11" t="s">
        <v>60</v>
      </c>
      <c r="E18" s="14" t="s">
        <v>61</v>
      </c>
      <c r="F18" s="15" t="s">
        <v>16</v>
      </c>
      <c r="G18" s="15" t="s">
        <v>17</v>
      </c>
      <c r="H18" s="15" t="s">
        <v>18</v>
      </c>
      <c r="I18" s="14" t="str">
        <f>IMAGE("https://upload.wikimedia.org/wikipedia/commons/7/77/Abeja_sobre_flor_de_Praxelis_sp.jpg")</f>
        <v/>
      </c>
    </row>
    <row r="19" ht="36.0" customHeight="1">
      <c r="A19" s="16" t="str">
        <f>HYPERLINK("https://commons.wikimedia.org/wiki/User:" &amp; ENCODEURL("ZulayMR"), "ZulayMR")</f>
        <v>ZulayMR</v>
      </c>
      <c r="B19" s="17" t="s">
        <v>63</v>
      </c>
      <c r="C19" s="18">
        <v>46201.70376157408</v>
      </c>
      <c r="D19" s="17" t="s">
        <v>64</v>
      </c>
      <c r="E19" s="19" t="s">
        <v>29</v>
      </c>
      <c r="F19" s="19" t="s">
        <v>30</v>
      </c>
      <c r="G19" s="20" t="s">
        <v>17</v>
      </c>
      <c r="H19" s="20" t="s">
        <v>18</v>
      </c>
      <c r="I19" s="19" t="str">
        <f>IMAGE("https://upload.wikimedia.org/wikipedia/commons/f/fa/Abejas_angelitas_trabajadoras.jpg")</f>
        <v/>
      </c>
    </row>
    <row r="20" ht="36.0" customHeight="1">
      <c r="A20" s="10" t="str">
        <f>HYPERLINK("https://commons.wikimedia.org/wiki/User:" &amp; ENCODEURL("AmiGueko"), "AmiGueko")</f>
        <v>AmiGueko</v>
      </c>
      <c r="B20" s="11" t="s">
        <v>65</v>
      </c>
      <c r="C20" s="12">
        <v>46161.31747685185</v>
      </c>
      <c r="D20" s="11" t="s">
        <v>66</v>
      </c>
      <c r="E20" s="14" t="s">
        <v>67</v>
      </c>
      <c r="F20" s="15" t="s">
        <v>16</v>
      </c>
      <c r="G20" s="15" t="s">
        <v>17</v>
      </c>
      <c r="H20" s="15" t="s">
        <v>18</v>
      </c>
      <c r="I20" s="14" t="str">
        <f>IMAGE("https://upload.wikimedia.org/wikipedia/commons/4/49/Abejas_meliponas_angelitas.jpg")</f>
        <v/>
      </c>
    </row>
    <row r="21" ht="36.0" customHeight="1">
      <c r="A21" s="16" t="str">
        <f>HYPERLINK("https://commons.wikimedia.org/wiki/User:" &amp; ENCODEURL("Javierrpz"), "Javierrpz")</f>
        <v>Javierrpz</v>
      </c>
      <c r="B21" s="17" t="s">
        <v>68</v>
      </c>
      <c r="C21" s="18">
        <v>46165.77488425926</v>
      </c>
      <c r="D21" s="17" t="s">
        <v>69</v>
      </c>
      <c r="E21" s="19" t="s">
        <v>29</v>
      </c>
      <c r="F21" s="19" t="s">
        <v>30</v>
      </c>
      <c r="G21" s="20" t="s">
        <v>17</v>
      </c>
      <c r="H21" s="20" t="s">
        <v>18</v>
      </c>
      <c r="I21" s="19" t="str">
        <f>IMAGE("https://upload.wikimedia.org/wikipedia/commons/e/e2/Abejas_sobre_flores_de_chia.jpg")</f>
        <v/>
      </c>
    </row>
    <row r="22" ht="36.0" customHeight="1">
      <c r="A22" s="10" t="str">
        <f>HYPERLINK("https://commons.wikimedia.org/wiki/User:" &amp; ENCODEURL("Andresdflorez23"), "Andresdflorez23")</f>
        <v>Andresdflorez23</v>
      </c>
      <c r="B22" s="11" t="s">
        <v>70</v>
      </c>
      <c r="C22" s="12">
        <v>46203.44752314815</v>
      </c>
      <c r="D22" s="11" t="s">
        <v>71</v>
      </c>
      <c r="E22" s="14" t="s">
        <v>72</v>
      </c>
      <c r="F22" s="15" t="s">
        <v>16</v>
      </c>
      <c r="G22" s="15" t="s">
        <v>17</v>
      </c>
      <c r="H22" s="15" t="s">
        <v>18</v>
      </c>
      <c r="I22" s="14" t="str">
        <f>IMAGE("https://upload.wikimedia.org/wikipedia/commons/8/8f/Abejorro_Bombus_sp.jpg")</f>
        <v/>
      </c>
    </row>
    <row r="23" ht="36.0" customHeight="1">
      <c r="A23" s="16" t="str">
        <f>HYPERLINK("https://commons.wikimedia.org/wiki/User:" &amp; ENCODEURL("Diferoch"), "Diferoch")</f>
        <v>Diferoch</v>
      </c>
      <c r="B23" s="17" t="s">
        <v>73</v>
      </c>
      <c r="C23" s="18">
        <v>46182.512141203704</v>
      </c>
      <c r="D23" s="17" t="s">
        <v>74</v>
      </c>
      <c r="E23" s="19" t="s">
        <v>75</v>
      </c>
      <c r="F23" s="20" t="s">
        <v>16</v>
      </c>
      <c r="G23" s="20" t="s">
        <v>17</v>
      </c>
      <c r="H23" s="20" t="s">
        <v>18</v>
      </c>
      <c r="I23" s="19" t="str">
        <f>IMAGE("https://upload.wikimedia.org/wikipedia/commons/6/66/Abracris_flavolineata_-_Barrancabermeja%2C_Santander%2C_Colombia_-_29_Jun_2026_-_Diferoch.jpg")</f>
        <v/>
      </c>
    </row>
    <row r="24" ht="36.0" customHeight="1">
      <c r="A24" s="10" t="str">
        <f>HYPERLINK("https://commons.wikimedia.org/wiki/User:" &amp; ENCODEURL("Gualy05"), "Gualy05")</f>
        <v>Gualy05</v>
      </c>
      <c r="B24" s="11" t="s">
        <v>76</v>
      </c>
      <c r="C24" s="12">
        <v>46166.93555555555</v>
      </c>
      <c r="D24" s="11" t="s">
        <v>77</v>
      </c>
      <c r="E24" s="14" t="s">
        <v>78</v>
      </c>
      <c r="F24" s="15" t="s">
        <v>16</v>
      </c>
      <c r="G24" s="15" t="s">
        <v>17</v>
      </c>
      <c r="H24" s="15" t="s">
        <v>18</v>
      </c>
      <c r="I24" s="14" t="str">
        <f>IMAGE("https://upload.wikimedia.org/wikipedia/commons/c/c8/Abrazo_pedemontano_de_manonegra.jpg")</f>
        <v/>
      </c>
    </row>
    <row r="25" ht="36.0" customHeight="1">
      <c r="A25" s="16" t="str">
        <f>HYPERLINK("https://commons.wikimedia.org/wiki/User:" &amp; ENCODEURL("Nathaly 1106"), "Nathaly 1106")</f>
        <v>Nathaly 1106</v>
      </c>
      <c r="B25" s="17" t="s">
        <v>79</v>
      </c>
      <c r="C25" s="18">
        <v>46148.61920138889</v>
      </c>
      <c r="D25" s="17" t="s">
        <v>80</v>
      </c>
      <c r="E25" s="19" t="s">
        <v>29</v>
      </c>
      <c r="F25" s="19" t="s">
        <v>30</v>
      </c>
      <c r="G25" s="20" t="s">
        <v>17</v>
      </c>
      <c r="H25" s="20" t="s">
        <v>18</v>
      </c>
      <c r="I25" s="19" t="str">
        <f>IMAGE("https://upload.wikimedia.org/wikipedia/commons/9/90/Abutil%C3%B3n_o_farolito_japon%C3%A9s_%28Callianthe_picta%29.jpg")</f>
        <v/>
      </c>
    </row>
    <row r="26" ht="36.0" customHeight="1">
      <c r="A26" s="10" t="str">
        <f t="shared" ref="A26:A27" si="6">HYPERLINK("https://commons.wikimedia.org/wiki/User:" &amp; ENCODEURL("Johan Andrés Toro"), "Johan Andrés Toro")</f>
        <v>Johan Andrés Toro</v>
      </c>
      <c r="B26" s="11" t="s">
        <v>82</v>
      </c>
      <c r="C26" s="12">
        <v>46171.490798611114</v>
      </c>
      <c r="D26" s="11" t="s">
        <v>83</v>
      </c>
      <c r="E26" s="14" t="s">
        <v>29</v>
      </c>
      <c r="F26" s="14" t="s">
        <v>30</v>
      </c>
      <c r="G26" s="15" t="s">
        <v>17</v>
      </c>
      <c r="H26" s="15" t="s">
        <v>18</v>
      </c>
      <c r="I26" s="14" t="str">
        <f>IMAGE("https://upload.wikimedia.org/wikipedia/commons/f/fc/Acantilado_de_los_Farallones_de_Sutatausa_con_vista_al_valle.jpg")</f>
        <v/>
      </c>
    </row>
    <row r="27" ht="36.0" customHeight="1">
      <c r="A27" s="16" t="str">
        <f t="shared" si="6"/>
        <v>Johan Andrés Toro</v>
      </c>
      <c r="B27" s="17" t="s">
        <v>84</v>
      </c>
      <c r="C27" s="18">
        <v>46171.626909722225</v>
      </c>
      <c r="D27" s="17" t="s">
        <v>85</v>
      </c>
      <c r="E27" s="19" t="s">
        <v>86</v>
      </c>
      <c r="F27" s="20" t="s">
        <v>16</v>
      </c>
      <c r="G27" s="20" t="s">
        <v>17</v>
      </c>
      <c r="H27" s="20" t="s">
        <v>18</v>
      </c>
      <c r="I27" s="19" t="str">
        <f>IMAGE("https://upload.wikimedia.org/wikipedia/commons/e/e2/Acantilados_y_bosque_de_niebla_en_el_ca%C3%B1%C3%B3n_del_Tequendama.jpg")</f>
        <v/>
      </c>
    </row>
    <row r="28" ht="36.0" customHeight="1">
      <c r="A28" s="10" t="str">
        <f>HYPERLINK("https://commons.wikimedia.org/wiki/User:" &amp; ENCODEURL("Nathaly 1106"), "Nathaly 1106")</f>
        <v>Nathaly 1106</v>
      </c>
      <c r="B28" s="11" t="s">
        <v>87</v>
      </c>
      <c r="C28" s="12">
        <v>46147.609305555554</v>
      </c>
      <c r="D28" s="11" t="s">
        <v>88</v>
      </c>
      <c r="E28" s="14" t="s">
        <v>29</v>
      </c>
      <c r="F28" s="14" t="s">
        <v>30</v>
      </c>
      <c r="G28" s="15" t="s">
        <v>17</v>
      </c>
      <c r="H28" s="15" t="s">
        <v>18</v>
      </c>
      <c r="I28" s="14" t="str">
        <f>IMAGE("https://upload.wikimedia.org/wikipedia/commons/1/1a/Acanto_-_oreja_de_oso_%28Acanthus_mollis%29.jpg")</f>
        <v/>
      </c>
    </row>
    <row r="29" ht="36.0" customHeight="1">
      <c r="A29" s="16" t="str">
        <f>HYPERLINK("https://commons.wikimedia.org/wiki/User:" &amp; ENCODEURL("Mar 21DS"), "Mar 21DS")</f>
        <v>Mar 21DS</v>
      </c>
      <c r="B29" s="17" t="s">
        <v>89</v>
      </c>
      <c r="C29" s="18">
        <v>46163.524930555555</v>
      </c>
      <c r="D29" s="17" t="s">
        <v>90</v>
      </c>
      <c r="E29" s="19" t="s">
        <v>29</v>
      </c>
      <c r="F29" s="19" t="s">
        <v>30</v>
      </c>
      <c r="G29" s="20" t="s">
        <v>17</v>
      </c>
      <c r="H29" s="20" t="s">
        <v>18</v>
      </c>
      <c r="I29" s="19" t="str">
        <f>IMAGE("https://upload.wikimedia.org/wikipedia/commons/2/2f/Achira_amarilla_%28Canna_indica%29.jpg")</f>
        <v/>
      </c>
    </row>
    <row r="30" ht="36.0" customHeight="1">
      <c r="A30" s="10" t="str">
        <f>HYPERLINK("https://commons.wikimedia.org/wiki/User:" &amp; ENCODEURL("ChopinxEtude"), "ChopinxEtude")</f>
        <v>ChopinxEtude</v>
      </c>
      <c r="B30" s="11" t="s">
        <v>91</v>
      </c>
      <c r="C30" s="12">
        <v>46146.87613425926</v>
      </c>
      <c r="D30" s="11" t="s">
        <v>92</v>
      </c>
      <c r="E30" s="14" t="s">
        <v>29</v>
      </c>
      <c r="F30" s="14" t="s">
        <v>30</v>
      </c>
      <c r="G30" s="15" t="s">
        <v>17</v>
      </c>
      <c r="H30" s="15" t="s">
        <v>18</v>
      </c>
      <c r="I30" s="14" t="str">
        <f>IMAGE("https://upload.wikimedia.org/wikipedia/commons/a/ab/Acromyrmex_ant.jpg")</f>
        <v/>
      </c>
    </row>
    <row r="31" ht="36.0" customHeight="1">
      <c r="A31" s="16" t="str">
        <f>HYPERLINK("https://commons.wikimedia.org/wiki/User:" &amp; ENCODEURL("Aparizap"), "Aparizap")</f>
        <v>Aparizap</v>
      </c>
      <c r="B31" s="17" t="s">
        <v>93</v>
      </c>
      <c r="C31" s="18">
        <v>46199.71703703704</v>
      </c>
      <c r="D31" s="17" t="s">
        <v>94</v>
      </c>
      <c r="E31" s="19" t="s">
        <v>29</v>
      </c>
      <c r="F31" s="19" t="s">
        <v>30</v>
      </c>
      <c r="G31" s="20" t="s">
        <v>17</v>
      </c>
      <c r="H31" s="20" t="s">
        <v>18</v>
      </c>
      <c r="I31" s="19" t="str">
        <f>IMAGE("https://upload.wikimedia.org/wikipedia/commons/8/8d/Acr%C3%B3batas_del_r%C3%ADo_Magdalena.jpg")</f>
        <v/>
      </c>
    </row>
    <row r="32" ht="36.0" customHeight="1">
      <c r="A32" s="10" t="str">
        <f t="shared" ref="A32:A33" si="7">HYPERLINK("https://commons.wikimedia.org/wiki/User:" &amp; ENCODEURL("Diferoch"), "Diferoch")</f>
        <v>Diferoch</v>
      </c>
      <c r="B32" s="11" t="s">
        <v>95</v>
      </c>
      <c r="C32" s="12">
        <v>46190.94084490741</v>
      </c>
      <c r="D32" s="11" t="s">
        <v>96</v>
      </c>
      <c r="E32" s="14" t="s">
        <v>97</v>
      </c>
      <c r="F32" s="15" t="s">
        <v>16</v>
      </c>
      <c r="G32" s="15" t="s">
        <v>17</v>
      </c>
      <c r="H32" s="15" t="s">
        <v>18</v>
      </c>
      <c r="I32" s="14" t="str">
        <f>IMAGE("https://upload.wikimedia.org/wikipedia/commons/4/46/Actitis_macularius_-_Cimitarra%2C_Santander%2C_Colombia_-_30_Sep_2025_-_Diferoch.jpg")</f>
        <v/>
      </c>
    </row>
    <row r="33" ht="36.0" customHeight="1">
      <c r="A33" s="16" t="str">
        <f t="shared" si="7"/>
        <v>Diferoch</v>
      </c>
      <c r="B33" s="17" t="s">
        <v>98</v>
      </c>
      <c r="C33" s="18">
        <v>46198.742256944446</v>
      </c>
      <c r="D33" s="17" t="s">
        <v>99</v>
      </c>
      <c r="E33" s="19" t="s">
        <v>100</v>
      </c>
      <c r="F33" s="20" t="s">
        <v>16</v>
      </c>
      <c r="G33" s="20" t="s">
        <v>17</v>
      </c>
      <c r="H33" s="20" t="s">
        <v>18</v>
      </c>
      <c r="I33" s="19" t="str">
        <f>IMAGE("https://upload.wikimedia.org/wikipedia/commons/9/90/Actitis_macularius_-_Nuqu%C3%AD%2C_Choc%C3%B3%2C_Colombia_-_23_Oct_2025_-_Diferoch.jpg")</f>
        <v/>
      </c>
    </row>
    <row r="34" ht="36.0" customHeight="1">
      <c r="A34" s="10" t="str">
        <f>HYPERLINK("https://commons.wikimedia.org/wiki/User:" &amp; ENCODEURL("NMontoya (WMCO)"), "NMontoya (WMCO)")</f>
        <v>NMontoya (WMCO)</v>
      </c>
      <c r="B34" s="11" t="s">
        <v>101</v>
      </c>
      <c r="C34" s="12">
        <v>46177.80658564815</v>
      </c>
      <c r="D34" s="11" t="s">
        <v>102</v>
      </c>
      <c r="E34" s="14" t="s">
        <v>103</v>
      </c>
      <c r="F34" s="15" t="s">
        <v>16</v>
      </c>
      <c r="G34" s="15" t="s">
        <v>17</v>
      </c>
      <c r="H34" s="15" t="s">
        <v>18</v>
      </c>
      <c r="I34" s="14" t="str">
        <f>IMAGE("https://upload.wikimedia.org/wikipedia/commons/6/6d/Aechmea_fasciata_%28Lindl.%29_Baker.png")</f>
        <v/>
      </c>
    </row>
    <row r="35" ht="36.0" customHeight="1">
      <c r="A35" s="16" t="str">
        <f>HYPERLINK("https://commons.wikimedia.org/wiki/User:" &amp; ENCODEURL("Nathaly 1106"), "Nathaly 1106")</f>
        <v>Nathaly 1106</v>
      </c>
      <c r="B35" s="17" t="s">
        <v>104</v>
      </c>
      <c r="C35" s="18">
        <v>46147.671319444446</v>
      </c>
      <c r="D35" s="17" t="s">
        <v>105</v>
      </c>
      <c r="E35" s="19" t="s">
        <v>29</v>
      </c>
      <c r="F35" s="19" t="s">
        <v>30</v>
      </c>
      <c r="G35" s="20" t="s">
        <v>17</v>
      </c>
      <c r="H35" s="20" t="s">
        <v>18</v>
      </c>
      <c r="I35" s="19" t="str">
        <f>IMAGE("https://upload.wikimedia.org/wikipedia/commons/f/f7/Agave_%28Asparagaceae%29.jpg")</f>
        <v/>
      </c>
    </row>
    <row r="36" ht="36.0" customHeight="1">
      <c r="A36" s="10" t="str">
        <f>HYPERLINK("https://commons.wikimedia.org/wiki/User:" &amp; ENCODEURL("Rodrigomacrophoto"), "Rodrigomacrophoto")</f>
        <v>Rodrigomacrophoto</v>
      </c>
      <c r="B36" s="11" t="s">
        <v>106</v>
      </c>
      <c r="C36" s="12">
        <v>46146.83770833333</v>
      </c>
      <c r="D36" s="11" t="s">
        <v>107</v>
      </c>
      <c r="E36" s="14" t="s">
        <v>108</v>
      </c>
      <c r="F36" s="15" t="s">
        <v>16</v>
      </c>
      <c r="G36" s="15" t="s">
        <v>17</v>
      </c>
      <c r="H36" s="15" t="s">
        <v>18</v>
      </c>
      <c r="I36" s="14" t="str">
        <f>IMAGE("https://upload.wikimedia.org/wikipedia/commons/0/03/Agesander_ruficornis._Acrididae.jpg")</f>
        <v/>
      </c>
    </row>
    <row r="37" ht="36.0" customHeight="1">
      <c r="A37" s="16" t="str">
        <f t="shared" ref="A37:A38" si="8">HYPERLINK("https://commons.wikimedia.org/wiki/User:" &amp; ENCODEURL("Bioedna.ro"), "Bioedna.ro")</f>
        <v>Bioedna.ro</v>
      </c>
      <c r="B37" s="17" t="s">
        <v>109</v>
      </c>
      <c r="C37" s="18">
        <v>46203.913460648146</v>
      </c>
      <c r="D37" s="17" t="s">
        <v>110</v>
      </c>
      <c r="E37" s="19" t="s">
        <v>111</v>
      </c>
      <c r="F37" s="20" t="s">
        <v>16</v>
      </c>
      <c r="G37" s="20" t="s">
        <v>17</v>
      </c>
      <c r="H37" s="20" t="s">
        <v>18</v>
      </c>
      <c r="I37" s="19" t="str">
        <f>IMAGE("https://upload.wikimedia.org/wikipedia/commons/6/6e/Agriacris_sp._observado_en_Medina%2C_COL.jpg")</f>
        <v/>
      </c>
    </row>
    <row r="38" ht="36.0" customHeight="1">
      <c r="A38" s="10" t="str">
        <f t="shared" si="8"/>
        <v>Bioedna.ro</v>
      </c>
      <c r="B38" s="11" t="s">
        <v>112</v>
      </c>
      <c r="C38" s="12">
        <v>46203.913460648146</v>
      </c>
      <c r="D38" s="11" t="s">
        <v>110</v>
      </c>
      <c r="E38" s="14" t="s">
        <v>111</v>
      </c>
      <c r="F38" s="15" t="s">
        <v>16</v>
      </c>
      <c r="G38" s="15" t="s">
        <v>17</v>
      </c>
      <c r="H38" s="15" t="s">
        <v>18</v>
      </c>
      <c r="I38" s="14" t="str">
        <f>IMAGE("https://upload.wikimedia.org/wikipedia/commons/0/01/Agriacris_sp._observado_en_Medina%2C_Colombia.jpg")</f>
        <v/>
      </c>
    </row>
    <row r="39" ht="36.0" customHeight="1">
      <c r="A39" s="16" t="str">
        <f>HYPERLINK("https://commons.wikimedia.org/wiki/User:" &amp; ENCODEURL("Guiverfer"), "Guiverfer")</f>
        <v>Guiverfer</v>
      </c>
      <c r="B39" s="17" t="s">
        <v>113</v>
      </c>
      <c r="C39" s="18">
        <v>46202.81203703704</v>
      </c>
      <c r="D39" s="17" t="s">
        <v>114</v>
      </c>
      <c r="E39" s="19" t="s">
        <v>29</v>
      </c>
      <c r="F39" s="19" t="s">
        <v>30</v>
      </c>
      <c r="G39" s="20" t="s">
        <v>17</v>
      </c>
      <c r="H39" s="20" t="s">
        <v>18</v>
      </c>
      <c r="I39" s="19" t="str">
        <f>IMAGE("https://upload.wikimedia.org/wikipedia/commons/5/52/Aguas_bajo_el_puente.jpg")</f>
        <v/>
      </c>
    </row>
    <row r="40" ht="36.0" customHeight="1">
      <c r="A40" s="10" t="str">
        <f>HYPERLINK("https://commons.wikimedia.org/wiki/User:" &amp; ENCODEURL("Jose Arbelaez 78"), "Jose Arbelaez 78")</f>
        <v>Jose Arbelaez 78</v>
      </c>
      <c r="B40" s="11" t="s">
        <v>115</v>
      </c>
      <c r="C40" s="12">
        <v>46202.66034722222</v>
      </c>
      <c r="D40" s="11" t="s">
        <v>116</v>
      </c>
      <c r="E40" s="14" t="s">
        <v>29</v>
      </c>
      <c r="F40" s="14" t="s">
        <v>30</v>
      </c>
      <c r="G40" s="15" t="s">
        <v>17</v>
      </c>
      <c r="H40" s="15" t="s">
        <v>18</v>
      </c>
      <c r="I40" s="14" t="str">
        <f>IMAGE("https://upload.wikimedia.org/wikipedia/commons/4/41/Aguila_Real_de_Monta%C3%B1a.jpg")</f>
        <v/>
      </c>
    </row>
    <row r="41" ht="36.0" customHeight="1">
      <c r="A41" s="16" t="str">
        <f>HYPERLINK("https://commons.wikimedia.org/wiki/User:" &amp; ENCODEURL("Avargasc1"), "Avargasc1")</f>
        <v>Avargasc1</v>
      </c>
      <c r="B41" s="17" t="s">
        <v>117</v>
      </c>
      <c r="C41" s="18">
        <v>46171.40788194445</v>
      </c>
      <c r="D41" s="17" t="s">
        <v>118</v>
      </c>
      <c r="E41" s="19" t="s">
        <v>29</v>
      </c>
      <c r="F41" s="19" t="s">
        <v>30</v>
      </c>
      <c r="G41" s="20" t="s">
        <v>17</v>
      </c>
      <c r="H41" s="20" t="s">
        <v>18</v>
      </c>
      <c r="I41" s="19" t="str">
        <f>IMAGE("https://upload.wikimedia.org/wikipedia/commons/1/11/Ala_de_sable_Lazulita.jpg")</f>
        <v/>
      </c>
    </row>
    <row r="42" ht="36.0" customHeight="1">
      <c r="A42" s="10" t="str">
        <f>HYPERLINK("https://commons.wikimedia.org/wiki/User:" &amp; ENCODEURL("Nathaly 1106"), "Nathaly 1106")</f>
        <v>Nathaly 1106</v>
      </c>
      <c r="B42" s="11" t="s">
        <v>119</v>
      </c>
      <c r="C42" s="12">
        <v>46147.60943287037</v>
      </c>
      <c r="D42" s="11" t="s">
        <v>120</v>
      </c>
      <c r="E42" s="14" t="s">
        <v>29</v>
      </c>
      <c r="F42" s="14" t="s">
        <v>30</v>
      </c>
      <c r="G42" s="15" t="s">
        <v>17</v>
      </c>
      <c r="H42" s="15" t="s">
        <v>18</v>
      </c>
      <c r="I42" s="14" t="str">
        <f>IMAGE("https://upload.wikimedia.org/wikipedia/commons/c/c5/Alegr%C3%ADa_de_la_casa%2C_Belenes_o_Miramelindos_%28Impatiens%29.jpg")</f>
        <v/>
      </c>
    </row>
    <row r="43" ht="36.0" customHeight="1">
      <c r="A43" s="16" t="str">
        <f t="shared" ref="A43:A44" si="9">HYPERLINK("https://commons.wikimedia.org/wiki/User:" &amp; ENCODEURL("AmiGueko"), "AmiGueko")</f>
        <v>AmiGueko</v>
      </c>
      <c r="B43" s="17" t="s">
        <v>121</v>
      </c>
      <c r="C43" s="18">
        <v>46177.87578703704</v>
      </c>
      <c r="D43" s="17" t="s">
        <v>122</v>
      </c>
      <c r="E43" s="19" t="s">
        <v>103</v>
      </c>
      <c r="F43" s="20" t="s">
        <v>16</v>
      </c>
      <c r="G43" s="20" t="s">
        <v>17</v>
      </c>
      <c r="H43" s="20" t="s">
        <v>18</v>
      </c>
      <c r="I43" s="19" t="str">
        <f>IMAGE("https://upload.wikimedia.org/wikipedia/commons/b/bb/Algodon1.jpg")</f>
        <v/>
      </c>
    </row>
    <row r="44" ht="36.0" customHeight="1">
      <c r="A44" s="10" t="str">
        <f t="shared" si="9"/>
        <v>AmiGueko</v>
      </c>
      <c r="B44" s="11" t="s">
        <v>123</v>
      </c>
      <c r="C44" s="12">
        <v>46177.87577546296</v>
      </c>
      <c r="D44" s="11" t="s">
        <v>122</v>
      </c>
      <c r="E44" s="14" t="s">
        <v>103</v>
      </c>
      <c r="F44" s="15" t="s">
        <v>16</v>
      </c>
      <c r="G44" s="15" t="s">
        <v>17</v>
      </c>
      <c r="H44" s="15" t="s">
        <v>18</v>
      </c>
      <c r="I44" s="14" t="str">
        <f>IMAGE("https://upload.wikimedia.org/wikipedia/commons/4/4d/Algod%C3%B3n.jpg")</f>
        <v/>
      </c>
    </row>
    <row r="45" ht="36.0" customHeight="1">
      <c r="A45" s="16" t="str">
        <f>HYPERLINK("https://commons.wikimedia.org/wiki/User:" &amp; ENCODEURL("Nathaly 1106"), "Nathaly 1106")</f>
        <v>Nathaly 1106</v>
      </c>
      <c r="B45" s="17" t="s">
        <v>124</v>
      </c>
      <c r="C45" s="18">
        <v>46147.60949074074</v>
      </c>
      <c r="D45" s="17" t="s">
        <v>125</v>
      </c>
      <c r="E45" s="19" t="s">
        <v>29</v>
      </c>
      <c r="F45" s="19" t="s">
        <v>30</v>
      </c>
      <c r="G45" s="20" t="s">
        <v>17</v>
      </c>
      <c r="H45" s="20" t="s">
        <v>18</v>
      </c>
      <c r="I45" s="19" t="str">
        <f>IMAGE("https://upload.wikimedia.org/wikipedia/commons/d/d3/Aljaba_%28Fuchsia_magellanica%29.jpg")</f>
        <v/>
      </c>
    </row>
    <row r="46" ht="36.0" customHeight="1">
      <c r="A46" s="10" t="str">
        <f>HYPERLINK("https://commons.wikimedia.org/wiki/User:" &amp; ENCODEURL("Coreduco"), "Coreduco")</f>
        <v>Coreduco</v>
      </c>
      <c r="B46" s="11" t="s">
        <v>126</v>
      </c>
      <c r="C46" s="12">
        <v>46169.37467592592</v>
      </c>
      <c r="D46" s="11" t="s">
        <v>127</v>
      </c>
      <c r="E46" s="14" t="s">
        <v>29</v>
      </c>
      <c r="F46" s="14" t="s">
        <v>30</v>
      </c>
      <c r="G46" s="15" t="s">
        <v>17</v>
      </c>
      <c r="H46" s="15" t="s">
        <v>18</v>
      </c>
      <c r="I46" s="14" t="str">
        <f>IMAGE("https://upload.wikimedia.org/wikipedia/commons/a/ab/Altiplano_cundiboyacense.jpg")</f>
        <v/>
      </c>
    </row>
    <row r="47" ht="36.0" customHeight="1">
      <c r="A47" s="16" t="str">
        <f>HYPERLINK("https://commons.wikimedia.org/wiki/User:" &amp; ENCODEURL("Mat1318"), "Mat1318")</f>
        <v>Mat1318</v>
      </c>
      <c r="B47" s="17" t="s">
        <v>128</v>
      </c>
      <c r="C47" s="18">
        <v>46193.81402777778</v>
      </c>
      <c r="D47" s="17" t="s">
        <v>129</v>
      </c>
      <c r="E47" s="19" t="s">
        <v>130</v>
      </c>
      <c r="F47" s="20" t="s">
        <v>16</v>
      </c>
      <c r="G47" s="20" t="s">
        <v>17</v>
      </c>
      <c r="H47" s="20" t="s">
        <v>18</v>
      </c>
      <c r="I47" s="19" t="str">
        <f>IMAGE("https://upload.wikimedia.org/wikipedia/commons/4/49/Alto_del_%C3%A1guila_%28Chia%29.jpg")</f>
        <v/>
      </c>
    </row>
    <row r="48" ht="36.0" customHeight="1">
      <c r="A48" s="10" t="str">
        <f>HYPERLINK("https://commons.wikimedia.org/wiki/User:" &amp; ENCODEURL("CHAVESJUAN19"), "CHAVESJUAN19")</f>
        <v>CHAVESJUAN19</v>
      </c>
      <c r="B48" s="11" t="s">
        <v>131</v>
      </c>
      <c r="C48" s="12">
        <v>46203.96219907407</v>
      </c>
      <c r="D48" s="11" t="s">
        <v>132</v>
      </c>
      <c r="E48" s="14" t="s">
        <v>29</v>
      </c>
      <c r="F48" s="14" t="s">
        <v>30</v>
      </c>
      <c r="G48" s="15" t="s">
        <v>17</v>
      </c>
      <c r="H48" s="15" t="s">
        <v>18</v>
      </c>
      <c r="I48" s="14" t="str">
        <f>IMAGE("https://upload.wikimedia.org/wikipedia/commons/e/e1/Altos_de_Chingaza_-_PNN_Chingaza.jpg")</f>
        <v/>
      </c>
    </row>
    <row r="49" ht="36.0" customHeight="1">
      <c r="A49" s="16" t="str">
        <f>HYPERLINK("https://commons.wikimedia.org/wiki/User:" &amp; ENCODEURL("Easlava7"), "Easlava7")</f>
        <v>Easlava7</v>
      </c>
      <c r="B49" s="17" t="s">
        <v>133</v>
      </c>
      <c r="C49" s="18">
        <v>46163.57140046296</v>
      </c>
      <c r="D49" s="17" t="s">
        <v>134</v>
      </c>
      <c r="E49" s="19" t="s">
        <v>29</v>
      </c>
      <c r="F49" s="19" t="s">
        <v>30</v>
      </c>
      <c r="G49" s="20" t="s">
        <v>17</v>
      </c>
      <c r="H49" s="20" t="s">
        <v>18</v>
      </c>
      <c r="I49" s="19" t="str">
        <f>IMAGE("https://upload.wikimedia.org/wikipedia/commons/8/80/Amanecer_Nevado_Cocuy_01.jpg")</f>
        <v/>
      </c>
    </row>
    <row r="50" ht="36.0" customHeight="1">
      <c r="A50" s="10" t="str">
        <f>HYPERLINK("https://commons.wikimedia.org/wiki/User:" &amp; ENCODEURL("Mottenpriesterin"), "Mottenpriesterin")</f>
        <v>Mottenpriesterin</v>
      </c>
      <c r="B50" s="11" t="s">
        <v>135</v>
      </c>
      <c r="C50" s="12">
        <v>46202.9197337963</v>
      </c>
      <c r="D50" s="11" t="s">
        <v>136</v>
      </c>
      <c r="E50" s="14" t="s">
        <v>29</v>
      </c>
      <c r="F50" s="14" t="s">
        <v>30</v>
      </c>
      <c r="G50" s="15" t="s">
        <v>17</v>
      </c>
      <c r="H50" s="15" t="s">
        <v>18</v>
      </c>
      <c r="I50" s="14" t="str">
        <f>IMAGE("https://upload.wikimedia.org/wikipedia/commons/5/51/Amanecer_con_vistas_al_Pico_Crist%C3%B3bal_Col%C3%B3n_und_Pico_Sim%C3%B3n_Bol%C3%ADvar_en_la_Sierra_Nevada_de_Santa_Marta%2C_Departamento_de_Magdalena%2C_Colombia.jpg")</f>
        <v/>
      </c>
    </row>
    <row r="51" ht="36.0" customHeight="1">
      <c r="A51" s="16" t="str">
        <f>HYPERLINK("https://commons.wikimedia.org/wiki/User:" &amp; ENCODEURL("GABRIELITO5711"), "GABRIELITO5711")</f>
        <v>GABRIELITO5711</v>
      </c>
      <c r="B51" s="17" t="s">
        <v>137</v>
      </c>
      <c r="C51" s="18">
        <v>46155.02186342593</v>
      </c>
      <c r="D51" s="17" t="s">
        <v>138</v>
      </c>
      <c r="E51" s="19" t="s">
        <v>29</v>
      </c>
      <c r="F51" s="19" t="s">
        <v>30</v>
      </c>
      <c r="G51" s="20" t="s">
        <v>17</v>
      </c>
      <c r="H51" s="20" t="s">
        <v>18</v>
      </c>
      <c r="I51" s="19" t="str">
        <f>IMAGE("https://upload.wikimedia.org/wikipedia/commons/4/45/Amanecer_del_R%C3%ADo_Cauca.jpg")</f>
        <v/>
      </c>
    </row>
    <row r="52" ht="36.0" customHeight="1">
      <c r="A52" s="10" t="str">
        <f t="shared" ref="A52:A57" si="10">HYPERLINK("https://commons.wikimedia.org/wiki/User:" &amp; ENCODEURL("Easlava7"), "Easlava7")</f>
        <v>Easlava7</v>
      </c>
      <c r="B52" s="11" t="s">
        <v>139</v>
      </c>
      <c r="C52" s="12">
        <v>46163.57141203704</v>
      </c>
      <c r="D52" s="11" t="s">
        <v>140</v>
      </c>
      <c r="E52" s="14" t="s">
        <v>29</v>
      </c>
      <c r="F52" s="14" t="s">
        <v>30</v>
      </c>
      <c r="G52" s="15" t="s">
        <v>17</v>
      </c>
      <c r="H52" s="15" t="s">
        <v>18</v>
      </c>
      <c r="I52" s="14" t="str">
        <f>IMAGE("https://upload.wikimedia.org/wikipedia/commons/2/2a/Amanecer_Nevado_Cocuy_03.jpg")</f>
        <v/>
      </c>
    </row>
    <row r="53" ht="36.0" customHeight="1">
      <c r="A53" s="16" t="str">
        <f t="shared" si="10"/>
        <v>Easlava7</v>
      </c>
      <c r="B53" s="17" t="s">
        <v>141</v>
      </c>
      <c r="C53" s="18">
        <v>46163.571435185186</v>
      </c>
      <c r="D53" s="17" t="s">
        <v>142</v>
      </c>
      <c r="E53" s="19" t="s">
        <v>29</v>
      </c>
      <c r="F53" s="19" t="s">
        <v>30</v>
      </c>
      <c r="G53" s="20" t="s">
        <v>17</v>
      </c>
      <c r="H53" s="20" t="s">
        <v>18</v>
      </c>
      <c r="I53" s="19" t="str">
        <f>IMAGE("https://upload.wikimedia.org/wikipedia/commons/5/53/Amanecer_Nevado_Cocuy_04.jpg")</f>
        <v/>
      </c>
    </row>
    <row r="54" ht="36.0" customHeight="1">
      <c r="A54" s="10" t="str">
        <f t="shared" si="10"/>
        <v>Easlava7</v>
      </c>
      <c r="B54" s="11" t="s">
        <v>143</v>
      </c>
      <c r="C54" s="12">
        <v>46163.57144675926</v>
      </c>
      <c r="D54" s="11" t="s">
        <v>144</v>
      </c>
      <c r="E54" s="14" t="s">
        <v>29</v>
      </c>
      <c r="F54" s="14" t="s">
        <v>30</v>
      </c>
      <c r="G54" s="15" t="s">
        <v>17</v>
      </c>
      <c r="H54" s="15" t="s">
        <v>18</v>
      </c>
      <c r="I54" s="14" t="str">
        <f>IMAGE("https://upload.wikimedia.org/wikipedia/commons/0/00/Amanecer_Nevado_Cocuy_05.jpg")</f>
        <v/>
      </c>
    </row>
    <row r="55" ht="36.0" customHeight="1">
      <c r="A55" s="16" t="str">
        <f t="shared" si="10"/>
        <v>Easlava7</v>
      </c>
      <c r="B55" s="17" t="s">
        <v>145</v>
      </c>
      <c r="C55" s="18">
        <v>46163.57145833333</v>
      </c>
      <c r="D55" s="17" t="s">
        <v>146</v>
      </c>
      <c r="E55" s="19" t="s">
        <v>29</v>
      </c>
      <c r="F55" s="19" t="s">
        <v>30</v>
      </c>
      <c r="G55" s="20" t="s">
        <v>17</v>
      </c>
      <c r="H55" s="20" t="s">
        <v>18</v>
      </c>
      <c r="I55" s="19" t="str">
        <f>IMAGE("https://upload.wikimedia.org/wikipedia/commons/c/c2/Amanecer_Nevado_Cocuy_06.jpg")</f>
        <v/>
      </c>
    </row>
    <row r="56" ht="36.0" customHeight="1">
      <c r="A56" s="10" t="str">
        <f t="shared" si="10"/>
        <v>Easlava7</v>
      </c>
      <c r="B56" s="11" t="s">
        <v>147</v>
      </c>
      <c r="C56" s="12">
        <v>46163.57148148148</v>
      </c>
      <c r="D56" s="11" t="s">
        <v>148</v>
      </c>
      <c r="E56" s="14" t="s">
        <v>29</v>
      </c>
      <c r="F56" s="14" t="s">
        <v>30</v>
      </c>
      <c r="G56" s="15" t="s">
        <v>17</v>
      </c>
      <c r="H56" s="15" t="s">
        <v>18</v>
      </c>
      <c r="I56" s="14" t="str">
        <f>IMAGE("https://upload.wikimedia.org/wikipedia/commons/d/d1/Amanecer_Nevado_Cocuy_07.jpg")</f>
        <v/>
      </c>
    </row>
    <row r="57" ht="36.0" customHeight="1">
      <c r="A57" s="16" t="str">
        <f t="shared" si="10"/>
        <v>Easlava7</v>
      </c>
      <c r="B57" s="17" t="s">
        <v>149</v>
      </c>
      <c r="C57" s="18">
        <v>46163.571493055555</v>
      </c>
      <c r="D57" s="17" t="s">
        <v>150</v>
      </c>
      <c r="E57" s="19" t="s">
        <v>29</v>
      </c>
      <c r="F57" s="19" t="s">
        <v>30</v>
      </c>
      <c r="G57" s="20" t="s">
        <v>17</v>
      </c>
      <c r="H57" s="20" t="s">
        <v>18</v>
      </c>
      <c r="I57" s="19" t="str">
        <f>IMAGE("https://upload.wikimedia.org/wikipedia/commons/f/f1/Amanecer_Nevado_Cocuy_09.jpg")</f>
        <v/>
      </c>
    </row>
    <row r="58" ht="36.0" customHeight="1">
      <c r="A58" s="10" t="str">
        <f>HYPERLINK("https://commons.wikimedia.org/wiki/User:" &amp; ENCODEURL("Estudiante0001"), "Estudiante0001")</f>
        <v>Estudiante0001</v>
      </c>
      <c r="B58" s="11" t="s">
        <v>151</v>
      </c>
      <c r="C58" s="12">
        <v>46163.55556712963</v>
      </c>
      <c r="D58" s="11" t="s">
        <v>152</v>
      </c>
      <c r="E58" s="14" t="s">
        <v>29</v>
      </c>
      <c r="F58" s="14" t="s">
        <v>30</v>
      </c>
      <c r="G58" s="15" t="s">
        <v>17</v>
      </c>
      <c r="H58" s="15" t="s">
        <v>18</v>
      </c>
      <c r="I58" s="14" t="str">
        <f>IMAGE("https://upload.wikimedia.org/wikipedia/commons/2/21/Amanita_muscaria_en_Cu%C3%ACtiva_Boyac%C3%A0.jpg")</f>
        <v/>
      </c>
    </row>
    <row r="59" ht="36.0" customHeight="1">
      <c r="A59" s="16" t="str">
        <f>HYPERLINK("https://commons.wikimedia.org/wiki/User:" &amp; ENCODEURL("Saboru Miro"), "Saboru Miro")</f>
        <v>Saboru Miro</v>
      </c>
      <c r="B59" s="17" t="s">
        <v>153</v>
      </c>
      <c r="C59" s="18">
        <v>46143.40876157407</v>
      </c>
      <c r="D59" s="17" t="s">
        <v>154</v>
      </c>
      <c r="E59" s="19" t="s">
        <v>29</v>
      </c>
      <c r="F59" s="19" t="s">
        <v>30</v>
      </c>
      <c r="G59" s="20" t="s">
        <v>17</v>
      </c>
      <c r="H59" s="20" t="s">
        <v>18</v>
      </c>
      <c r="I59" s="19" t="str">
        <f>IMAGE("https://upload.wikimedia.org/wikipedia/commons/a/ad/Amanita_muscaria_in_a_conifer.jpg")</f>
        <v/>
      </c>
    </row>
    <row r="60" ht="36.0" customHeight="1">
      <c r="A60" s="10" t="str">
        <f>HYPERLINK("https://commons.wikimedia.org/wiki/User:" &amp; ENCODEURL("PauMU86"), "PauMU86")</f>
        <v>PauMU86</v>
      </c>
      <c r="B60" s="11" t="s">
        <v>155</v>
      </c>
      <c r="C60" s="12">
        <v>46171.690520833334</v>
      </c>
      <c r="D60" s="11" t="s">
        <v>156</v>
      </c>
      <c r="E60" s="14" t="s">
        <v>29</v>
      </c>
      <c r="F60" s="14" t="s">
        <v>30</v>
      </c>
      <c r="G60" s="15" t="s">
        <v>17</v>
      </c>
      <c r="H60" s="15" t="s">
        <v>18</v>
      </c>
      <c r="I60" s="14" t="str">
        <f>IMAGE("https://upload.wikimedia.org/wikipedia/commons/9/99/Amarilis_en_Bogot%C3%A1.jpg")</f>
        <v/>
      </c>
    </row>
    <row r="61" ht="36.0" customHeight="1">
      <c r="A61" s="16" t="str">
        <f t="shared" ref="A61:A62" si="11">HYPERLINK("https://commons.wikimedia.org/wiki/User:" &amp; ENCODEURL("DeibyJk"), "DeibyJk")</f>
        <v>DeibyJk</v>
      </c>
      <c r="B61" s="17" t="s">
        <v>157</v>
      </c>
      <c r="C61" s="18">
        <v>46166.942025462966</v>
      </c>
      <c r="D61" s="17" t="s">
        <v>158</v>
      </c>
      <c r="E61" s="19" t="s">
        <v>29</v>
      </c>
      <c r="F61" s="19" t="s">
        <v>30</v>
      </c>
      <c r="G61" s="20" t="s">
        <v>17</v>
      </c>
      <c r="H61" s="20" t="s">
        <v>18</v>
      </c>
      <c r="I61" s="19" t="str">
        <f>IMAGE("https://upload.wikimedia.org/wikipedia/commons/1/17/Amarillapollitohuila_11.jpg")</f>
        <v/>
      </c>
    </row>
    <row r="62" ht="36.0" customHeight="1">
      <c r="A62" s="10" t="str">
        <f t="shared" si="11"/>
        <v>DeibyJk</v>
      </c>
      <c r="B62" s="11" t="s">
        <v>159</v>
      </c>
      <c r="C62" s="12">
        <v>46166.94200231481</v>
      </c>
      <c r="D62" s="11" t="s">
        <v>158</v>
      </c>
      <c r="E62" s="14" t="s">
        <v>29</v>
      </c>
      <c r="F62" s="14" t="s">
        <v>30</v>
      </c>
      <c r="G62" s="15" t="s">
        <v>17</v>
      </c>
      <c r="H62" s="15" t="s">
        <v>18</v>
      </c>
      <c r="I62" s="14" t="str">
        <f>IMAGE("https://upload.wikimedia.org/wikipedia/commons/3/33/Amarillashuila_10.jpg")</f>
        <v/>
      </c>
    </row>
    <row r="63" ht="36.0" customHeight="1">
      <c r="A63" s="16" t="str">
        <f t="shared" ref="A63:A64" si="12">HYPERLINK("https://commons.wikimedia.org/wiki/User:" &amp; ENCODEURL("AmiGueko"), "AmiGueko")</f>
        <v>AmiGueko</v>
      </c>
      <c r="B63" s="17" t="s">
        <v>160</v>
      </c>
      <c r="C63" s="18">
        <v>46166.58068287037</v>
      </c>
      <c r="D63" s="17" t="s">
        <v>161</v>
      </c>
      <c r="E63" s="19" t="s">
        <v>162</v>
      </c>
      <c r="F63" s="20" t="s">
        <v>16</v>
      </c>
      <c r="G63" s="20" t="s">
        <v>17</v>
      </c>
      <c r="H63" s="20" t="s">
        <v>18</v>
      </c>
      <c r="I63" s="19" t="str">
        <f>IMAGE("https://upload.wikimedia.org/wikipedia/commons/8/8f/Amarylia.jpg")</f>
        <v/>
      </c>
    </row>
    <row r="64" ht="36.0" customHeight="1">
      <c r="A64" s="10" t="str">
        <f t="shared" si="12"/>
        <v>AmiGueko</v>
      </c>
      <c r="B64" s="11" t="s">
        <v>163</v>
      </c>
      <c r="C64" s="12">
        <v>46166.58081018519</v>
      </c>
      <c r="D64" s="11" t="s">
        <v>161</v>
      </c>
      <c r="E64" s="14" t="s">
        <v>164</v>
      </c>
      <c r="F64" s="15" t="s">
        <v>16</v>
      </c>
      <c r="G64" s="15" t="s">
        <v>17</v>
      </c>
      <c r="H64" s="15" t="s">
        <v>18</v>
      </c>
      <c r="I64" s="14" t="str">
        <f>IMAGE("https://upload.wikimedia.org/wikipedia/commons/3/3c/Amarylia_%2837161%29.jpg")</f>
        <v/>
      </c>
    </row>
    <row r="65" ht="36.0" customHeight="1">
      <c r="A65" s="16" t="str">
        <f>HYPERLINK("https://commons.wikimedia.org/wiki/User:" &amp; ENCODEURL("Munigarro"), "Munigarro")</f>
        <v>Munigarro</v>
      </c>
      <c r="B65" s="17" t="s">
        <v>165</v>
      </c>
      <c r="C65" s="18">
        <v>46202.65505787037</v>
      </c>
      <c r="D65" s="17" t="s">
        <v>166</v>
      </c>
      <c r="E65" s="19" t="s">
        <v>29</v>
      </c>
      <c r="F65" s="19" t="s">
        <v>30</v>
      </c>
      <c r="G65" s="20" t="s">
        <v>17</v>
      </c>
      <c r="H65" s="20" t="s">
        <v>18</v>
      </c>
      <c r="I65" s="19" t="str">
        <f>IMAGE("https://upload.wikimedia.org/wikipedia/commons/6/63/Amazilia_Colirrufo.jpg")</f>
        <v/>
      </c>
    </row>
    <row r="66" ht="36.0" customHeight="1">
      <c r="A66" s="10" t="str">
        <f t="shared" ref="A66:A67" si="13">HYPERLINK("https://commons.wikimedia.org/wiki/User:" &amp; ENCODEURL("Avargasc1"), "Avargasc1")</f>
        <v>Avargasc1</v>
      </c>
      <c r="B66" s="11" t="s">
        <v>167</v>
      </c>
      <c r="C66" s="12">
        <v>46170.74435185185</v>
      </c>
      <c r="D66" s="11" t="s">
        <v>168</v>
      </c>
      <c r="E66" s="14" t="s">
        <v>29</v>
      </c>
      <c r="F66" s="14" t="s">
        <v>30</v>
      </c>
      <c r="G66" s="15" t="s">
        <v>17</v>
      </c>
      <c r="H66" s="15" t="s">
        <v>18</v>
      </c>
      <c r="I66" s="14" t="str">
        <f>IMAGE("https://upload.wikimedia.org/wikipedia/commons/4/47/Amazilia_Ventricasta%C3%B1a_Macho.jpg")</f>
        <v/>
      </c>
    </row>
    <row r="67" ht="36.0" customHeight="1">
      <c r="A67" s="16" t="str">
        <f t="shared" si="13"/>
        <v>Avargasc1</v>
      </c>
      <c r="B67" s="17" t="s">
        <v>169</v>
      </c>
      <c r="C67" s="18">
        <v>46170.740694444445</v>
      </c>
      <c r="D67" s="17" t="s">
        <v>170</v>
      </c>
      <c r="E67" s="19" t="s">
        <v>29</v>
      </c>
      <c r="F67" s="19" t="s">
        <v>30</v>
      </c>
      <c r="G67" s="20" t="s">
        <v>17</v>
      </c>
      <c r="H67" s="20" t="s">
        <v>18</v>
      </c>
      <c r="I67" s="19" t="str">
        <f>IMAGE("https://upload.wikimedia.org/wikipedia/commons/a/ae/Amazilia_Ventricasta%C3%B1a_hembra.jpg")</f>
        <v/>
      </c>
    </row>
    <row r="68" ht="36.0" customHeight="1">
      <c r="A68" s="10" t="str">
        <f t="shared" ref="A68:A69" si="14">HYPERLINK("https://commons.wikimedia.org/wiki/User:" &amp; ENCODEURL("Diferoch"), "Diferoch")</f>
        <v>Diferoch</v>
      </c>
      <c r="B68" s="11" t="s">
        <v>171</v>
      </c>
      <c r="C68" s="12">
        <v>46198.74232638889</v>
      </c>
      <c r="D68" s="11" t="s">
        <v>172</v>
      </c>
      <c r="E68" s="14" t="s">
        <v>173</v>
      </c>
      <c r="F68" s="15" t="s">
        <v>16</v>
      </c>
      <c r="G68" s="15" t="s">
        <v>17</v>
      </c>
      <c r="H68" s="15" t="s">
        <v>18</v>
      </c>
      <c r="I68" s="14" t="str">
        <f>IMAGE("https://upload.wikimedia.org/wikipedia/commons/a/a5/Amazilia_tzacatl_jucunda_-_Nuqu%C3%AD%2C_Choc%C3%B3%2C_Colombia_-_23_Oct_2025_-_Diferoch.jpg")</f>
        <v/>
      </c>
    </row>
    <row r="69" ht="36.0" customHeight="1">
      <c r="A69" s="16" t="str">
        <f t="shared" si="14"/>
        <v>Diferoch</v>
      </c>
      <c r="B69" s="17" t="s">
        <v>174</v>
      </c>
      <c r="C69" s="18">
        <v>46179.97201388889</v>
      </c>
      <c r="D69" s="17" t="s">
        <v>175</v>
      </c>
      <c r="E69" s="19" t="s">
        <v>176</v>
      </c>
      <c r="F69" s="20" t="s">
        <v>16</v>
      </c>
      <c r="G69" s="20" t="s">
        <v>17</v>
      </c>
      <c r="H69" s="20" t="s">
        <v>18</v>
      </c>
      <c r="I69" s="19" t="str">
        <f>IMAGE("https://upload.wikimedia.org/wikipedia/commons/c/c1/Ameiva_bifrontata_-_Santa_Marta%2C_Magdalena%2C_Colombia_-_24_Jun_2025_-_Diferoch.jpg")</f>
        <v/>
      </c>
    </row>
    <row r="70" ht="36.0" customHeight="1">
      <c r="A70" s="10" t="str">
        <f>HYPERLINK("https://commons.wikimedia.org/wiki/User:" &amp; ENCODEURL("CHAVESJUAN19"), "CHAVESJUAN19")</f>
        <v>CHAVESJUAN19</v>
      </c>
      <c r="B70" s="11" t="s">
        <v>177</v>
      </c>
      <c r="C70" s="12">
        <v>46203.9621412037</v>
      </c>
      <c r="D70" s="11" t="s">
        <v>178</v>
      </c>
      <c r="E70" s="14" t="s">
        <v>179</v>
      </c>
      <c r="F70" s="15" t="s">
        <v>16</v>
      </c>
      <c r="G70" s="15" t="s">
        <v>17</v>
      </c>
      <c r="H70" s="15" t="s">
        <v>18</v>
      </c>
      <c r="I70" s="14" t="str">
        <f>IMAGE("https://upload.wikimedia.org/wikipedia/commons/9/92/Amor_frugivoro_nocturno_-_PNN_Cueva_de_los_Guacharos_%28PRIMER_PLANO%29.jpg")</f>
        <v/>
      </c>
    </row>
    <row r="71" ht="36.0" customHeight="1">
      <c r="A71" s="16" t="str">
        <f>HYPERLINK("https://commons.wikimedia.org/wiki/User:" &amp; ENCODEURL("Jeiver.alejo"), "Jeiver.alejo")</f>
        <v>Jeiver.alejo</v>
      </c>
      <c r="B71" s="17" t="s">
        <v>180</v>
      </c>
      <c r="C71" s="18">
        <v>46150.64732638889</v>
      </c>
      <c r="D71" s="17" t="s">
        <v>181</v>
      </c>
      <c r="E71" s="19" t="s">
        <v>29</v>
      </c>
      <c r="F71" s="19" t="s">
        <v>30</v>
      </c>
      <c r="G71" s="20" t="s">
        <v>17</v>
      </c>
      <c r="H71" s="20" t="s">
        <v>18</v>
      </c>
      <c r="I71" s="19" t="str">
        <f>IMAGE("https://upload.wikimedia.org/wikipedia/commons/c/ca/Amor_por_la_vida_y_bienestar_de_las_especies.jpg")</f>
        <v/>
      </c>
    </row>
    <row r="72" ht="36.0" customHeight="1">
      <c r="A72" s="10" t="str">
        <f>HYPERLINK("https://commons.wikimedia.org/wiki/User:" &amp; ENCODEURL("XimmoY"), "XimmoY")</f>
        <v>XimmoY</v>
      </c>
      <c r="B72" s="11" t="s">
        <v>182</v>
      </c>
      <c r="C72" s="12">
        <v>46203.81628472222</v>
      </c>
      <c r="D72" s="11" t="s">
        <v>183</v>
      </c>
      <c r="E72" s="14" t="s">
        <v>184</v>
      </c>
      <c r="F72" s="15" t="s">
        <v>16</v>
      </c>
      <c r="G72" s="15" t="s">
        <v>17</v>
      </c>
      <c r="H72" s="15" t="s">
        <v>18</v>
      </c>
      <c r="I72" s="14" t="str">
        <f>IMAGE("https://upload.wikimedia.org/wikipedia/commons/6/6c/Amplexo_de_Boana_pugnax.jpg")</f>
        <v/>
      </c>
    </row>
    <row r="73" ht="36.0" customHeight="1">
      <c r="A73" s="16" t="str">
        <f>HYPERLINK("https://commons.wikimedia.org/wiki/User:" &amp; ENCODEURL("Diferoch"), "Diferoch")</f>
        <v>Diferoch</v>
      </c>
      <c r="B73" s="17" t="s">
        <v>185</v>
      </c>
      <c r="C73" s="18">
        <v>46195.94881944444</v>
      </c>
      <c r="D73" s="17" t="s">
        <v>186</v>
      </c>
      <c r="E73" s="19" t="s">
        <v>187</v>
      </c>
      <c r="F73" s="20" t="s">
        <v>16</v>
      </c>
      <c r="G73" s="20" t="s">
        <v>17</v>
      </c>
      <c r="H73" s="20" t="s">
        <v>18</v>
      </c>
      <c r="I73" s="19" t="str">
        <f>IMAGE("https://upload.wikimedia.org/wikipedia/commons/b/be/Amplexus_of_Leptodactylus_savagei_-_Cimitarra%2C_Santander%2C_Colombia_-_03_Oct_2025_-_Diferoch.jpg")</f>
        <v/>
      </c>
    </row>
    <row r="74" ht="36.0" customHeight="1">
      <c r="A74" s="10" t="str">
        <f>HYPERLINK("https://commons.wikimedia.org/wiki/User:" &amp; ENCODEURL("Mottenpriesterin"), "Mottenpriesterin")</f>
        <v>Mottenpriesterin</v>
      </c>
      <c r="B74" s="11" t="s">
        <v>188</v>
      </c>
      <c r="C74" s="12">
        <v>46202.91960648148</v>
      </c>
      <c r="D74" s="11" t="s">
        <v>189</v>
      </c>
      <c r="E74" s="14" t="s">
        <v>29</v>
      </c>
      <c r="F74" s="14" t="s">
        <v>30</v>
      </c>
      <c r="G74" s="15" t="s">
        <v>17</v>
      </c>
      <c r="H74" s="15" t="s">
        <v>18</v>
      </c>
      <c r="I74" s="14" t="str">
        <f>IMAGE("https://upload.wikimedia.org/wikipedia/commons/1/1b/Anacardium_excelsum%2C_Caracol%C3%AD%2C_in_Tayrona_National_Park%2C_Caribbean_region%2C_tropical_dry_forest%2C_Colombia_-_2025.jpg")</f>
        <v/>
      </c>
    </row>
    <row r="75" ht="36.0" customHeight="1">
      <c r="A75" s="16" t="str">
        <f>HYPERLINK("https://commons.wikimedia.org/wiki/User:" &amp; ENCODEURL("Juan Antonio Liévano A"), "Juan Antonio Liévano A")</f>
        <v>Juan Antonio Liévano A</v>
      </c>
      <c r="B75" s="17" t="s">
        <v>190</v>
      </c>
      <c r="C75" s="18">
        <v>46203.58001157407</v>
      </c>
      <c r="D75" s="17" t="s">
        <v>191</v>
      </c>
      <c r="E75" s="19" t="s">
        <v>29</v>
      </c>
      <c r="F75" s="19" t="s">
        <v>30</v>
      </c>
      <c r="G75" s="20" t="s">
        <v>17</v>
      </c>
      <c r="H75" s="20" t="s">
        <v>18</v>
      </c>
      <c r="I75" s="19" t="str">
        <f>IMAGE("https://upload.wikimedia.org/wikipedia/commons/b/b0/Anaconda_%28Eunectes_murinus%29_PNN_Cahuinari.jpg")</f>
        <v/>
      </c>
    </row>
    <row r="76" ht="36.0" customHeight="1">
      <c r="A76" s="10" t="str">
        <f t="shared" ref="A76:A78" si="15">HYPERLINK("https://commons.wikimedia.org/wiki/User:" &amp; ENCODEURL("Juli 2000 her"), "Juli 2000 her")</f>
        <v>Juli 2000 her</v>
      </c>
      <c r="B76" s="11" t="s">
        <v>192</v>
      </c>
      <c r="C76" s="12">
        <v>46189.054976851854</v>
      </c>
      <c r="D76" s="11" t="s">
        <v>193</v>
      </c>
      <c r="E76" s="14" t="s">
        <v>29</v>
      </c>
      <c r="F76" s="14" t="s">
        <v>30</v>
      </c>
      <c r="G76" s="15" t="s">
        <v>17</v>
      </c>
      <c r="H76" s="15" t="s">
        <v>18</v>
      </c>
      <c r="I76" s="14" t="str">
        <f>IMAGE("https://upload.wikimedia.org/wikipedia/commons/a/ae/Anaconda_verde_%28Eunectes_murinus%29_de_Casanare%2C_Colombia.jpg")</f>
        <v/>
      </c>
    </row>
    <row r="77" ht="36.0" customHeight="1">
      <c r="A77" s="16" t="str">
        <f t="shared" si="15"/>
        <v>Juli 2000 her</v>
      </c>
      <c r="B77" s="17" t="s">
        <v>194</v>
      </c>
      <c r="C77" s="18">
        <v>46189.054236111115</v>
      </c>
      <c r="D77" s="17" t="s">
        <v>195</v>
      </c>
      <c r="E77" s="19" t="s">
        <v>29</v>
      </c>
      <c r="F77" s="19" t="s">
        <v>30</v>
      </c>
      <c r="G77" s="20" t="s">
        <v>17</v>
      </c>
      <c r="H77" s="20" t="s">
        <v>18</v>
      </c>
      <c r="I77" s="19" t="str">
        <f>IMAGE("https://upload.wikimedia.org/wikipedia/commons/4/4c/Anaconda_verde_%28Eunectes_murinus%29_en_Casanare%2C_Colombia.jpg")</f>
        <v/>
      </c>
    </row>
    <row r="78" ht="36.0" customHeight="1">
      <c r="A78" s="10" t="str">
        <f t="shared" si="15"/>
        <v>Juli 2000 her</v>
      </c>
      <c r="B78" s="11" t="s">
        <v>196</v>
      </c>
      <c r="C78" s="12">
        <v>46189.05496527778</v>
      </c>
      <c r="D78" s="11" t="s">
        <v>197</v>
      </c>
      <c r="E78" s="14" t="s">
        <v>29</v>
      </c>
      <c r="F78" s="14" t="s">
        <v>30</v>
      </c>
      <c r="G78" s="15" t="s">
        <v>17</v>
      </c>
      <c r="H78" s="15" t="s">
        <v>18</v>
      </c>
      <c r="I78" s="14" t="str">
        <f>IMAGE("https://upload.wikimedia.org/wikipedia/commons/9/9f/Anaconda_verde_%28Eunectes_murinus%29_fotografiada_en_Casanare%2C_Colombia.jpg")</f>
        <v/>
      </c>
    </row>
    <row r="79" ht="36.0" customHeight="1">
      <c r="A79" s="16" t="str">
        <f>HYPERLINK("https://commons.wikimedia.org/wiki/User:" &amp; ENCODEURL("Jukaper23"), "Jukaper23")</f>
        <v>Jukaper23</v>
      </c>
      <c r="B79" s="17" t="s">
        <v>198</v>
      </c>
      <c r="C79" s="18">
        <v>46201.53797453704</v>
      </c>
      <c r="D79" s="17" t="s">
        <v>199</v>
      </c>
      <c r="E79" s="19" t="s">
        <v>29</v>
      </c>
      <c r="F79" s="19" t="s">
        <v>30</v>
      </c>
      <c r="G79" s="20" t="s">
        <v>17</v>
      </c>
      <c r="H79" s="20" t="s">
        <v>18</v>
      </c>
      <c r="I79" s="19" t="str">
        <f>IMAGE("https://upload.wikimedia.org/wikipedia/commons/e/e9/Anacridium_2026-06-26.jpg")</f>
        <v/>
      </c>
    </row>
    <row r="80" ht="36.0" customHeight="1">
      <c r="A80" s="10" t="str">
        <f>HYPERLINK("https://commons.wikimedia.org/wiki/User:" &amp; ENCODEURL("Mfrancoavellaneda"), "Mfrancoavellaneda")</f>
        <v>Mfrancoavellaneda</v>
      </c>
      <c r="B80" s="11" t="s">
        <v>200</v>
      </c>
      <c r="C80" s="12">
        <v>46203.71146990741</v>
      </c>
      <c r="D80" s="11" t="s">
        <v>201</v>
      </c>
      <c r="E80" s="14" t="s">
        <v>202</v>
      </c>
      <c r="F80" s="15" t="s">
        <v>16</v>
      </c>
      <c r="G80" s="15" t="s">
        <v>17</v>
      </c>
      <c r="H80" s="15" t="s">
        <v>18</v>
      </c>
      <c r="I80" s="14" t="str">
        <f>IMAGE("https://upload.wikimedia.org/wikipedia/commons/5/5e/Ananas_comosus_Bogot%C3%A1.jpg")</f>
        <v/>
      </c>
    </row>
    <row r="81" ht="36.0" customHeight="1">
      <c r="A81" s="16" t="str">
        <f>HYPERLINK("https://commons.wikimedia.org/wiki/User:" &amp; ENCODEURL("Jukaper23"), "Jukaper23")</f>
        <v>Jukaper23</v>
      </c>
      <c r="B81" s="17" t="s">
        <v>203</v>
      </c>
      <c r="C81" s="18">
        <v>46201.53701388889</v>
      </c>
      <c r="D81" s="17" t="s">
        <v>204</v>
      </c>
      <c r="E81" s="19" t="s">
        <v>29</v>
      </c>
      <c r="F81" s="19" t="s">
        <v>30</v>
      </c>
      <c r="G81" s="20" t="s">
        <v>17</v>
      </c>
      <c r="H81" s="20" t="s">
        <v>18</v>
      </c>
      <c r="I81" s="19" t="str">
        <f>IMAGE("https://upload.wikimedia.org/wikipedia/commons/0/01/Anartia_Amathea_-_Pavo_real_rojo.jpg")</f>
        <v/>
      </c>
    </row>
    <row r="82" ht="36.0" customHeight="1">
      <c r="A82" s="10" t="str">
        <f>HYPERLINK("https://commons.wikimedia.org/wiki/User:" &amp; ENCODEURL("Charlesjsharp"), "Charlesjsharp")</f>
        <v>Charlesjsharp</v>
      </c>
      <c r="B82" s="11" t="s">
        <v>205</v>
      </c>
      <c r="C82" s="12">
        <v>46171.62175925926</v>
      </c>
      <c r="D82" s="11" t="s">
        <v>206</v>
      </c>
      <c r="E82" s="14" t="s">
        <v>29</v>
      </c>
      <c r="F82" s="14" t="s">
        <v>30</v>
      </c>
      <c r="G82" s="15" t="s">
        <v>17</v>
      </c>
      <c r="H82" s="15" t="s">
        <v>18</v>
      </c>
      <c r="I82" s="14" t="str">
        <f>IMAGE("https://upload.wikimedia.org/wikipedia/commons/3/33/Andean_cock-of-the-rock_%28Rupicola_peruvianus%29_Antioquia_4.jpg")</f>
        <v/>
      </c>
    </row>
    <row r="83" ht="36.0" customHeight="1">
      <c r="A83" s="16" t="str">
        <f t="shared" ref="A83:A84" si="16">HYPERLINK("https://commons.wikimedia.org/wiki/User:" &amp; ENCODEURL("SergiXCX"), "SergiXCX")</f>
        <v>SergiXCX</v>
      </c>
      <c r="B83" s="17" t="s">
        <v>207</v>
      </c>
      <c r="C83" s="18">
        <v>46203.98082175926</v>
      </c>
      <c r="D83" s="17" t="s">
        <v>208</v>
      </c>
      <c r="E83" s="19" t="s">
        <v>29</v>
      </c>
      <c r="F83" s="19" t="s">
        <v>30</v>
      </c>
      <c r="G83" s="20" t="s">
        <v>17</v>
      </c>
      <c r="H83" s="20" t="s">
        <v>18</v>
      </c>
      <c r="I83" s="19" t="str">
        <f>IMAGE("https://upload.wikimedia.org/wikipedia/commons/d/d8/Andes_mountains_in_Murillo_%28Monta%C3%B1as_de_los_Andes_en_Murillo%29.jpg")</f>
        <v/>
      </c>
    </row>
    <row r="84" ht="36.0" customHeight="1">
      <c r="A84" s="10" t="str">
        <f t="shared" si="16"/>
        <v>SergiXCX</v>
      </c>
      <c r="B84" s="11" t="s">
        <v>209</v>
      </c>
      <c r="C84" s="12">
        <v>46203.980833333335</v>
      </c>
      <c r="D84" s="11" t="s">
        <v>210</v>
      </c>
      <c r="E84" s="14" t="s">
        <v>29</v>
      </c>
      <c r="F84" s="14" t="s">
        <v>30</v>
      </c>
      <c r="G84" s="15" t="s">
        <v>17</v>
      </c>
      <c r="H84" s="15" t="s">
        <v>18</v>
      </c>
      <c r="I84" s="14" t="str">
        <f>IMAGE("https://upload.wikimedia.org/wikipedia/commons/b/b5/Andes_mountains_in_the_Huila_department_%28Monta%C3%B1as_de_los_Andes_en_el_departamento_del_Huila%29.jpg")</f>
        <v/>
      </c>
    </row>
    <row r="85" ht="36.0" customHeight="1">
      <c r="A85" s="16" t="str">
        <f>HYPERLINK("https://commons.wikimedia.org/wiki/User:" &amp; ENCODEURL("AmiGueko"), "AmiGueko")</f>
        <v>AmiGueko</v>
      </c>
      <c r="B85" s="17" t="s">
        <v>211</v>
      </c>
      <c r="C85" s="18">
        <v>46177.87578703704</v>
      </c>
      <c r="D85" s="17" t="s">
        <v>212</v>
      </c>
      <c r="E85" s="19" t="s">
        <v>103</v>
      </c>
      <c r="F85" s="20" t="s">
        <v>16</v>
      </c>
      <c r="G85" s="20" t="s">
        <v>17</v>
      </c>
      <c r="H85" s="20" t="s">
        <v>18</v>
      </c>
      <c r="I85" s="19" t="str">
        <f>IMAGE("https://upload.wikimedia.org/wikipedia/commons/a/a8/Andicolea_colombiana.jpg")</f>
        <v/>
      </c>
    </row>
    <row r="86" ht="36.0" customHeight="1">
      <c r="A86" s="10" t="str">
        <f>HYPERLINK("https://commons.wikimedia.org/wiki/User:" &amp; ENCODEURL("LentedeBerilo"), "LentedeBerilo")</f>
        <v>LentedeBerilo</v>
      </c>
      <c r="B86" s="11" t="s">
        <v>213</v>
      </c>
      <c r="C86" s="12">
        <v>46190.74188657408</v>
      </c>
      <c r="D86" s="11" t="s">
        <v>214</v>
      </c>
      <c r="E86" s="14" t="s">
        <v>215</v>
      </c>
      <c r="F86" s="15" t="s">
        <v>16</v>
      </c>
      <c r="G86" s="15" t="s">
        <v>17</v>
      </c>
      <c r="H86" s="15" t="s">
        <v>18</v>
      </c>
      <c r="I86" s="14" t="str">
        <f>IMAGE("https://upload.wikimedia.org/wikipedia/commons/d/d7/Anfibios_de_la_Isla_Gorgona.jpg")</f>
        <v/>
      </c>
    </row>
    <row r="87" ht="36.0" customHeight="1">
      <c r="A87" s="16" t="str">
        <f>HYPERLINK("https://commons.wikimedia.org/wiki/User:" &amp; ENCODEURL("Supertita"), "Supertita")</f>
        <v>Supertita</v>
      </c>
      <c r="B87" s="17" t="s">
        <v>216</v>
      </c>
      <c r="C87" s="18">
        <v>46191.90534722222</v>
      </c>
      <c r="D87" s="17" t="s">
        <v>217</v>
      </c>
      <c r="E87" s="19" t="s">
        <v>15</v>
      </c>
      <c r="F87" s="20" t="s">
        <v>16</v>
      </c>
      <c r="G87" s="20" t="s">
        <v>17</v>
      </c>
      <c r="H87" s="20" t="s">
        <v>18</v>
      </c>
      <c r="I87" s="19" t="str">
        <f>IMAGE("https://upload.wikimedia.org/wikipedia/commons/b/b2/Anhinga_Americana_-_Pato_aguja_americano_-_p%C3%A1jaro_serpiente_americano.jpg")</f>
        <v/>
      </c>
    </row>
    <row r="88" ht="36.0" customHeight="1">
      <c r="A88" s="10" t="str">
        <f>HYPERLINK("https://commons.wikimedia.org/wiki/User:" &amp; ENCODEURL("Diferoch"), "Diferoch")</f>
        <v>Diferoch</v>
      </c>
      <c r="B88" s="11" t="s">
        <v>218</v>
      </c>
      <c r="C88" s="12">
        <v>46190.964641203704</v>
      </c>
      <c r="D88" s="11" t="s">
        <v>219</v>
      </c>
      <c r="E88" s="14" t="s">
        <v>220</v>
      </c>
      <c r="F88" s="15" t="s">
        <v>16</v>
      </c>
      <c r="G88" s="15" t="s">
        <v>17</v>
      </c>
      <c r="H88" s="15" t="s">
        <v>18</v>
      </c>
      <c r="I88" s="14" t="str">
        <f>IMAGE("https://upload.wikimedia.org/wikipedia/commons/8/85/Anhinga_anhinga_anhinga_-_Cimitarra%2C_Santander%2C_Colombia_-_2_Oct_2025_-_Diferoch.jpg")</f>
        <v/>
      </c>
    </row>
    <row r="89" ht="36.0" customHeight="1">
      <c r="A89" s="16" t="str">
        <f>HYPERLINK("https://commons.wikimedia.org/wiki/User:" &amp; ENCODEURL("Johannelob"), "Johannelob")</f>
        <v>Johannelob</v>
      </c>
      <c r="B89" s="17" t="s">
        <v>221</v>
      </c>
      <c r="C89" s="18">
        <v>46200.6808912037</v>
      </c>
      <c r="D89" s="17" t="s">
        <v>222</v>
      </c>
      <c r="E89" s="19" t="s">
        <v>223</v>
      </c>
      <c r="F89" s="20" t="s">
        <v>16</v>
      </c>
      <c r="G89" s="20" t="s">
        <v>17</v>
      </c>
      <c r="H89" s="20" t="s">
        <v>18</v>
      </c>
      <c r="I89" s="19" t="str">
        <f>IMAGE("https://upload.wikimedia.org/wikipedia/commons/3/3a/Animales_en_armon%C3%ADa.jpg")</f>
        <v/>
      </c>
    </row>
    <row r="90" ht="36.0" customHeight="1">
      <c r="A90" s="10" t="str">
        <f t="shared" ref="A90:A93" si="17">HYPERLINK("https://commons.wikimedia.org/wiki/User:" &amp; ENCODEURL("Diferoch"), "Diferoch")</f>
        <v>Diferoch</v>
      </c>
      <c r="B90" s="11" t="s">
        <v>224</v>
      </c>
      <c r="C90" s="12">
        <v>46184.91453703704</v>
      </c>
      <c r="D90" s="11" t="s">
        <v>225</v>
      </c>
      <c r="E90" s="14" t="s">
        <v>226</v>
      </c>
      <c r="F90" s="15" t="s">
        <v>16</v>
      </c>
      <c r="G90" s="15" t="s">
        <v>17</v>
      </c>
      <c r="H90" s="15" t="s">
        <v>18</v>
      </c>
      <c r="I90" s="14" t="str">
        <f>IMAGE("https://upload.wikimedia.org/wikipedia/commons/f/f9/Anisoptera_-_Barrancabermeja%2C_Santander%2C_Colombia_-_20_Jul_2025_-_Diferoch.jpg")</f>
        <v/>
      </c>
    </row>
    <row r="91" ht="36.0" customHeight="1">
      <c r="A91" s="16" t="str">
        <f t="shared" si="17"/>
        <v>Diferoch</v>
      </c>
      <c r="B91" s="17" t="s">
        <v>227</v>
      </c>
      <c r="C91" s="18">
        <v>46161.87756944444</v>
      </c>
      <c r="D91" s="17" t="s">
        <v>228</v>
      </c>
      <c r="E91" s="19" t="s">
        <v>229</v>
      </c>
      <c r="F91" s="20" t="s">
        <v>16</v>
      </c>
      <c r="G91" s="20" t="s">
        <v>17</v>
      </c>
      <c r="H91" s="20" t="s">
        <v>18</v>
      </c>
      <c r="I91" s="19" t="str">
        <f>IMAGE("https://upload.wikimedia.org/wikipedia/commons/d/d9/Anisoptera_-_Barrancabermeja%2C_Santander%2C_Colombia_-_2_Jun_2025.jpg")</f>
        <v/>
      </c>
    </row>
    <row r="92" ht="36.0" customHeight="1">
      <c r="A92" s="10" t="str">
        <f t="shared" si="17"/>
        <v>Diferoch</v>
      </c>
      <c r="B92" s="11" t="s">
        <v>230</v>
      </c>
      <c r="C92" s="12">
        <v>46202.935011574074</v>
      </c>
      <c r="D92" s="11" t="s">
        <v>225</v>
      </c>
      <c r="E92" s="14" t="s">
        <v>231</v>
      </c>
      <c r="F92" s="15" t="s">
        <v>16</v>
      </c>
      <c r="G92" s="15" t="s">
        <v>17</v>
      </c>
      <c r="H92" s="15" t="s">
        <v>18</v>
      </c>
      <c r="I92" s="14" t="str">
        <f>IMAGE("https://upload.wikimedia.org/wikipedia/commons/8/89/Anisoptera_-_Barrancabermeja%2C_Santander%2C_Colombia_-_31_Dec_2025_-_Diferoch_-_1.jpg")</f>
        <v/>
      </c>
    </row>
    <row r="93" ht="36.0" customHeight="1">
      <c r="A93" s="16" t="str">
        <f t="shared" si="17"/>
        <v>Diferoch</v>
      </c>
      <c r="B93" s="17" t="s">
        <v>232</v>
      </c>
      <c r="C93" s="18">
        <v>46202.93503472222</v>
      </c>
      <c r="D93" s="17" t="s">
        <v>225</v>
      </c>
      <c r="E93" s="19" t="s">
        <v>233</v>
      </c>
      <c r="F93" s="20" t="s">
        <v>16</v>
      </c>
      <c r="G93" s="20" t="s">
        <v>17</v>
      </c>
      <c r="H93" s="20" t="s">
        <v>18</v>
      </c>
      <c r="I93" s="19" t="str">
        <f>IMAGE("https://upload.wikimedia.org/wikipedia/commons/b/b7/Anisoptera_-_Barrancabermeja%2C_Santander%2C_Colombia_-_31_Dec_2025_-_Diferoch_-_2.jpg")</f>
        <v/>
      </c>
    </row>
    <row r="94" ht="36.0" customHeight="1">
      <c r="A94" s="10" t="str">
        <f>HYPERLINK("https://commons.wikimedia.org/wiki/User:" &amp; ENCODEURL("Rodrigomacrophoto"), "Rodrigomacrophoto")</f>
        <v>Rodrigomacrophoto</v>
      </c>
      <c r="B94" s="11" t="s">
        <v>234</v>
      </c>
      <c r="C94" s="12">
        <v>46146.83766203704</v>
      </c>
      <c r="D94" s="11" t="s">
        <v>235</v>
      </c>
      <c r="E94" s="14" t="s">
        <v>236</v>
      </c>
      <c r="F94" s="15" t="s">
        <v>16</v>
      </c>
      <c r="G94" s="15" t="s">
        <v>17</v>
      </c>
      <c r="H94" s="15" t="s">
        <v>18</v>
      </c>
      <c r="I94" s="14" t="str">
        <f>IMAGE("https://upload.wikimedia.org/wikipedia/commons/5/53/Anolis_heterodermus_camuflado.jpg")</f>
        <v/>
      </c>
    </row>
    <row r="95" ht="36.0" customHeight="1">
      <c r="A95" s="16" t="str">
        <f t="shared" ref="A95:A96" si="18">HYPERLINK("https://commons.wikimedia.org/wiki/User:" &amp; ENCODEURL("XimmoY"), "XimmoY")</f>
        <v>XimmoY</v>
      </c>
      <c r="B95" s="17" t="s">
        <v>237</v>
      </c>
      <c r="C95" s="18">
        <v>46152.5321875</v>
      </c>
      <c r="D95" s="17" t="s">
        <v>238</v>
      </c>
      <c r="E95" s="19" t="s">
        <v>239</v>
      </c>
      <c r="F95" s="20" t="s">
        <v>16</v>
      </c>
      <c r="G95" s="20" t="s">
        <v>17</v>
      </c>
      <c r="H95" s="20" t="s">
        <v>18</v>
      </c>
      <c r="I95" s="19" t="str">
        <f>IMAGE("https://upload.wikimedia.org/wikipedia/commons/4/4a/Anolis_solitario.jpg")</f>
        <v/>
      </c>
    </row>
    <row r="96" ht="36.0" customHeight="1">
      <c r="A96" s="10" t="str">
        <f t="shared" si="18"/>
        <v>XimmoY</v>
      </c>
      <c r="B96" s="11" t="s">
        <v>240</v>
      </c>
      <c r="C96" s="12">
        <v>46152.5321875</v>
      </c>
      <c r="D96" s="11" t="s">
        <v>238</v>
      </c>
      <c r="E96" s="14" t="s">
        <v>239</v>
      </c>
      <c r="F96" s="15" t="s">
        <v>16</v>
      </c>
      <c r="G96" s="15" t="s">
        <v>17</v>
      </c>
      <c r="H96" s="15" t="s">
        <v>18</v>
      </c>
      <c r="I96" s="14" t="str">
        <f>IMAGE("https://upload.wikimedia.org/wikipedia/commons/b/b0/Anolis_solitario_01.jpg")</f>
        <v/>
      </c>
    </row>
    <row r="97" ht="36.0" customHeight="1">
      <c r="A97" s="16" t="str">
        <f>HYPERLINK("https://commons.wikimedia.org/wiki/User:" &amp; ENCODEURL("Andresdflorez23"), "Andresdflorez23")</f>
        <v>Andresdflorez23</v>
      </c>
      <c r="B97" s="17" t="s">
        <v>241</v>
      </c>
      <c r="C97" s="18">
        <v>46203.44752314815</v>
      </c>
      <c r="D97" s="17" t="s">
        <v>242</v>
      </c>
      <c r="E97" s="19" t="s">
        <v>243</v>
      </c>
      <c r="F97" s="20" t="s">
        <v>16</v>
      </c>
      <c r="G97" s="20" t="s">
        <v>17</v>
      </c>
      <c r="H97" s="20" t="s">
        <v>18</v>
      </c>
      <c r="I97" s="19" t="str">
        <f>IMAGE("https://upload.wikimedia.org/wikipedia/commons/4/4e/Anolis_sulcifrons.jpg")</f>
        <v/>
      </c>
    </row>
    <row r="98" ht="36.0" customHeight="1">
      <c r="A98" s="10" t="str">
        <f>HYPERLINK("https://commons.wikimedia.org/wiki/User:" &amp; ENCODEURL("JulianaaValenFrog28"), "JulianaaValenFrog28")</f>
        <v>JulianaaValenFrog28</v>
      </c>
      <c r="B98" s="11" t="s">
        <v>244</v>
      </c>
      <c r="C98" s="12">
        <v>46203.93472222222</v>
      </c>
      <c r="D98" s="11" t="s">
        <v>245</v>
      </c>
      <c r="E98" s="14" t="s">
        <v>246</v>
      </c>
      <c r="F98" s="15" t="s">
        <v>16</v>
      </c>
      <c r="G98" s="15" t="s">
        <v>17</v>
      </c>
      <c r="H98" s="15" t="s">
        <v>18</v>
      </c>
      <c r="I98" s="14" t="str">
        <f>IMAGE("https://upload.wikimedia.org/wikipedia/commons/f/fd/Antes_del_salto.jpg")</f>
        <v/>
      </c>
    </row>
    <row r="99" ht="36.0" customHeight="1">
      <c r="A99" s="16" t="str">
        <f>HYPERLINK("https://commons.wikimedia.org/wiki/User:" &amp; ENCODEURL("Supertita"), "Supertita")</f>
        <v>Supertita</v>
      </c>
      <c r="B99" s="17" t="s">
        <v>247</v>
      </c>
      <c r="C99" s="18">
        <v>46192.65451388889</v>
      </c>
      <c r="D99" s="17" t="s">
        <v>248</v>
      </c>
      <c r="E99" s="19" t="s">
        <v>249</v>
      </c>
      <c r="F99" s="20" t="s">
        <v>16</v>
      </c>
      <c r="G99" s="20" t="s">
        <v>17</v>
      </c>
      <c r="H99" s="20" t="s">
        <v>18</v>
      </c>
      <c r="I99" s="19" t="str">
        <f>IMAGE("https://upload.wikimedia.org/wikipedia/commons/7/78/Anthurium_veitchii-King_Anthurium.jpg")</f>
        <v/>
      </c>
    </row>
    <row r="100" ht="36.0" customHeight="1">
      <c r="A100" s="10" t="str">
        <f>HYPERLINK("https://commons.wikimedia.org/wiki/User:" &amp; ENCODEURL("Mfrancoavellaneda"), "Mfrancoavellaneda")</f>
        <v>Mfrancoavellaneda</v>
      </c>
      <c r="B100" s="11" t="s">
        <v>250</v>
      </c>
      <c r="C100" s="12">
        <v>46203.711435185185</v>
      </c>
      <c r="D100" s="11" t="s">
        <v>251</v>
      </c>
      <c r="E100" s="14" t="s">
        <v>252</v>
      </c>
      <c r="F100" s="15" t="s">
        <v>16</v>
      </c>
      <c r="G100" s="15" t="s">
        <v>17</v>
      </c>
      <c r="H100" s="15" t="s">
        <v>18</v>
      </c>
      <c r="I100" s="14" t="str">
        <f>IMAGE("https://upload.wikimedia.org/wikipedia/commons/c/c1/Anthurium_veitchil.jpg")</f>
        <v/>
      </c>
    </row>
    <row r="101" ht="36.0" customHeight="1">
      <c r="A101" s="16" t="str">
        <f>HYPERLINK("https://commons.wikimedia.org/wiki/User:" &amp; ENCODEURL("Camell32"), "Camell32")</f>
        <v>Camell32</v>
      </c>
      <c r="B101" s="17" t="s">
        <v>253</v>
      </c>
      <c r="C101" s="18">
        <v>46163.55467592592</v>
      </c>
      <c r="D101" s="17" t="s">
        <v>254</v>
      </c>
      <c r="E101" s="19" t="s">
        <v>29</v>
      </c>
      <c r="F101" s="19" t="s">
        <v>30</v>
      </c>
      <c r="G101" s="20" t="s">
        <v>17</v>
      </c>
      <c r="H101" s="20" t="s">
        <v>18</v>
      </c>
      <c r="I101" s="19" t="str">
        <f>IMAGE("https://upload.wikimedia.org/wikipedia/commons/4/44/Anturio-Anthurium_andraeanum_27_de_abril_2026.jpg")</f>
        <v/>
      </c>
    </row>
    <row r="102" ht="36.0" customHeight="1">
      <c r="A102" s="10" t="str">
        <f>HYPERLINK("https://commons.wikimedia.org/wiki/User:" &amp; ENCODEURL("Johan Andrés Toro"), "Johan Andrés Toro")</f>
        <v>Johan Andrés Toro</v>
      </c>
      <c r="B102" s="11" t="s">
        <v>255</v>
      </c>
      <c r="C102" s="12">
        <v>46166.956828703704</v>
      </c>
      <c r="D102" s="11" t="s">
        <v>256</v>
      </c>
      <c r="E102" s="14" t="s">
        <v>29</v>
      </c>
      <c r="F102" s="14" t="s">
        <v>30</v>
      </c>
      <c r="G102" s="15" t="s">
        <v>17</v>
      </c>
      <c r="H102" s="15" t="s">
        <v>18</v>
      </c>
      <c r="I102" s="14" t="str">
        <f>IMAGE("https://upload.wikimedia.org/wikipedia/commons/2/2e/ARA%C3%91A_TIGRE%28ARGIOPE_ARGENTATA%29.jpg")</f>
        <v/>
      </c>
    </row>
    <row r="103" ht="36.0" customHeight="1">
      <c r="A103" s="16" t="str">
        <f>HYPERLINK("https://commons.wikimedia.org/wiki/User:" &amp; ENCODEURL("Elprofeta91"), "Elprofeta91")</f>
        <v>Elprofeta91</v>
      </c>
      <c r="B103" s="17" t="s">
        <v>257</v>
      </c>
      <c r="C103" s="18">
        <v>46147.7909375</v>
      </c>
      <c r="D103" s="17" t="s">
        <v>32</v>
      </c>
      <c r="E103" s="19" t="s">
        <v>258</v>
      </c>
      <c r="F103" s="20" t="s">
        <v>16</v>
      </c>
      <c r="G103" s="20" t="s">
        <v>17</v>
      </c>
      <c r="H103" s="20" t="s">
        <v>18</v>
      </c>
      <c r="I103" s="19" t="str">
        <f>IMAGE("https://upload.wikimedia.org/wikipedia/commons/c/ce/Anuncio_de_lluvia.jpg")</f>
        <v/>
      </c>
    </row>
    <row r="104" ht="36.0" customHeight="1">
      <c r="A104" s="10" t="str">
        <f>HYPERLINK("https://commons.wikimedia.org/wiki/User:" &amp; ENCODEURL("Supertita"), "Supertita")</f>
        <v>Supertita</v>
      </c>
      <c r="B104" s="11" t="s">
        <v>259</v>
      </c>
      <c r="C104" s="12">
        <v>46192.65456018518</v>
      </c>
      <c r="D104" s="11" t="s">
        <v>260</v>
      </c>
      <c r="E104" s="14" t="s">
        <v>249</v>
      </c>
      <c r="F104" s="15" t="s">
        <v>16</v>
      </c>
      <c r="G104" s="15" t="s">
        <v>17</v>
      </c>
      <c r="H104" s="15" t="s">
        <v>18</v>
      </c>
      <c r="I104" s="14" t="str">
        <f>IMAGE("https://upload.wikimedia.org/wikipedia/commons/b/bd/Aphelandra_sinclairiana-Panama_Queen.jpg")</f>
        <v/>
      </c>
    </row>
    <row r="105" ht="36.0" customHeight="1">
      <c r="A105" s="16" t="str">
        <f>HYPERLINK("https://commons.wikimedia.org/wiki/User:" &amp; ENCODEURL("Diferoch"), "Diferoch")</f>
        <v>Diferoch</v>
      </c>
      <c r="B105" s="17" t="s">
        <v>261</v>
      </c>
      <c r="C105" s="18">
        <v>46189.81555555556</v>
      </c>
      <c r="D105" s="17" t="s">
        <v>262</v>
      </c>
      <c r="E105" s="19" t="s">
        <v>263</v>
      </c>
      <c r="F105" s="20" t="s">
        <v>16</v>
      </c>
      <c r="G105" s="20" t="s">
        <v>17</v>
      </c>
      <c r="H105" s="20" t="s">
        <v>18</v>
      </c>
      <c r="I105" s="19" t="str">
        <f>IMAGE("https://upload.wikimedia.org/wikipedia/commons/3/30/Apis_mellifera_-_Bogot%C3%A1_D._C.%2C_Colombia_-_23_Aug_2025_-_Diferoch.jpg")</f>
        <v/>
      </c>
    </row>
    <row r="106" ht="36.0" customHeight="1">
      <c r="A106" s="10" t="str">
        <f>HYPERLINK("https://commons.wikimedia.org/wiki/User:" &amp; ENCODEURL("Rodrigomacrophoto"), "Rodrigomacrophoto")</f>
        <v>Rodrigomacrophoto</v>
      </c>
      <c r="B106" s="11" t="s">
        <v>264</v>
      </c>
      <c r="C106" s="12">
        <v>46174.541967592595</v>
      </c>
      <c r="D106" s="11" t="s">
        <v>265</v>
      </c>
      <c r="E106" s="14" t="s">
        <v>266</v>
      </c>
      <c r="F106" s="15" t="s">
        <v>16</v>
      </c>
      <c r="G106" s="15" t="s">
        <v>17</v>
      </c>
      <c r="H106" s="15" t="s">
        <v>18</v>
      </c>
      <c r="I106" s="14" t="str">
        <f>IMAGE("https://upload.wikimedia.org/wikipedia/commons/d/d0/Apis_mellifera_aliment%C3%A1ndose.jpg")</f>
        <v/>
      </c>
    </row>
    <row r="107" ht="36.0" customHeight="1">
      <c r="A107" s="16" t="str">
        <f>HYPERLINK("https://commons.wikimedia.org/wiki/User:" &amp; ENCODEURL("Atomini"), "Atomini")</f>
        <v>Atomini</v>
      </c>
      <c r="B107" s="17" t="s">
        <v>267</v>
      </c>
      <c r="C107" s="18">
        <v>46203.445069444446</v>
      </c>
      <c r="D107" s="17" t="s">
        <v>268</v>
      </c>
      <c r="E107" s="19" t="s">
        <v>29</v>
      </c>
      <c r="F107" s="19" t="s">
        <v>30</v>
      </c>
      <c r="G107" s="20" t="s">
        <v>17</v>
      </c>
      <c r="H107" s="20" t="s">
        <v>18</v>
      </c>
      <c r="I107" s="19" t="str">
        <f>IMAGE("https://upload.wikimedia.org/wikipedia/commons/d/d4/Apis_mellifera_in_flight_approaching_flower.jpg")</f>
        <v/>
      </c>
    </row>
    <row r="108" ht="36.0" customHeight="1">
      <c r="A108" s="10" t="str">
        <f>HYPERLINK("https://commons.wikimedia.org/wiki/User:" &amp; ENCODEURL("Rodrigomacrophoto"), "Rodrigomacrophoto")</f>
        <v>Rodrigomacrophoto</v>
      </c>
      <c r="B108" s="11" t="s">
        <v>269</v>
      </c>
      <c r="C108" s="12">
        <v>46174.54195601852</v>
      </c>
      <c r="D108" s="11" t="s">
        <v>270</v>
      </c>
      <c r="E108" s="14" t="s">
        <v>266</v>
      </c>
      <c r="F108" s="15" t="s">
        <v>16</v>
      </c>
      <c r="G108" s="15" t="s">
        <v>17</v>
      </c>
      <c r="H108" s="15" t="s">
        <v>18</v>
      </c>
      <c r="I108" s="14" t="str">
        <f>IMAGE("https://upload.wikimedia.org/wikipedia/commons/7/76/Apis_mellifera_sobre_flor.jpg")</f>
        <v/>
      </c>
    </row>
    <row r="109" ht="36.0" customHeight="1">
      <c r="A109" s="16" t="str">
        <f t="shared" ref="A109:A110" si="19">HYPERLINK("https://commons.wikimedia.org/wiki/User:" &amp; ENCODEURL("Mfrancoavellaneda"), "Mfrancoavellaneda")</f>
        <v>Mfrancoavellaneda</v>
      </c>
      <c r="B109" s="17" t="s">
        <v>271</v>
      </c>
      <c r="C109" s="18">
        <v>46203.71140046296</v>
      </c>
      <c r="D109" s="17" t="s">
        <v>272</v>
      </c>
      <c r="E109" s="19" t="s">
        <v>29</v>
      </c>
      <c r="F109" s="19" t="s">
        <v>30</v>
      </c>
      <c r="G109" s="20" t="s">
        <v>17</v>
      </c>
      <c r="H109" s="20" t="s">
        <v>18</v>
      </c>
      <c r="I109" s="19" t="str">
        <f>IMAGE("https://upload.wikimedia.org/wikipedia/commons/5/56/Aquarius_Palifolius.jpg")</f>
        <v/>
      </c>
    </row>
    <row r="110" ht="36.0" customHeight="1">
      <c r="A110" s="10" t="str">
        <f t="shared" si="19"/>
        <v>Mfrancoavellaneda</v>
      </c>
      <c r="B110" s="11" t="s">
        <v>273</v>
      </c>
      <c r="C110" s="12">
        <v>46203.71146990741</v>
      </c>
      <c r="D110" s="11" t="s">
        <v>274</v>
      </c>
      <c r="E110" s="14" t="s">
        <v>275</v>
      </c>
      <c r="F110" s="15" t="s">
        <v>16</v>
      </c>
      <c r="G110" s="15" t="s">
        <v>17</v>
      </c>
      <c r="H110" s="15" t="s">
        <v>18</v>
      </c>
      <c r="I110" s="14" t="str">
        <f>IMAGE("https://upload.wikimedia.org/wikipedia/commons/9/97/Aquarius_Palifolius_detalle.jpg")</f>
        <v/>
      </c>
    </row>
    <row r="111" ht="36.0" customHeight="1">
      <c r="A111" s="16" t="str">
        <f>HYPERLINK("https://commons.wikimedia.org/wiki/User:" &amp; ENCODEURL("Supertita"), "Supertita")</f>
        <v>Supertita</v>
      </c>
      <c r="B111" s="17" t="s">
        <v>276</v>
      </c>
      <c r="C111" s="18">
        <v>46192.70726851852</v>
      </c>
      <c r="D111" s="17" t="s">
        <v>277</v>
      </c>
      <c r="E111" s="19" t="s">
        <v>21</v>
      </c>
      <c r="F111" s="20" t="s">
        <v>16</v>
      </c>
      <c r="G111" s="20" t="s">
        <v>17</v>
      </c>
      <c r="H111" s="20" t="s">
        <v>18</v>
      </c>
      <c r="I111" s="19" t="str">
        <f>IMAGE("https://upload.wikimedia.org/wikipedia/commons/2/28/Aragoa_abietina_%28con_un_saltamontes%29.jpg")</f>
        <v/>
      </c>
    </row>
    <row r="112" ht="36.0" customHeight="1">
      <c r="A112" s="10" t="str">
        <f>HYPERLINK("https://commons.wikimedia.org/wiki/User:" &amp; ENCODEURL("Diferoch"), "Diferoch")</f>
        <v>Diferoch</v>
      </c>
      <c r="B112" s="11" t="s">
        <v>278</v>
      </c>
      <c r="C112" s="12">
        <v>46199.87689814815</v>
      </c>
      <c r="D112" s="11" t="s">
        <v>279</v>
      </c>
      <c r="E112" s="14" t="s">
        <v>280</v>
      </c>
      <c r="F112" s="15" t="s">
        <v>16</v>
      </c>
      <c r="G112" s="15" t="s">
        <v>17</v>
      </c>
      <c r="H112" s="15" t="s">
        <v>18</v>
      </c>
      <c r="I112" s="14" t="str">
        <f>IMAGE("https://upload.wikimedia.org/wikipedia/commons/1/18/Araneae_-_Bogot%C3%A1_D._C.%2C_Colombia_-_10_Nov_2025_-_Diferoch.jpg")</f>
        <v/>
      </c>
    </row>
    <row r="113" ht="36.0" customHeight="1">
      <c r="A113" s="16" t="str">
        <f>HYPERLINK("https://commons.wikimedia.org/wiki/User:" &amp; ENCODEURL("Pilarrb9286"), "Pilarrb9286")</f>
        <v>Pilarrb9286</v>
      </c>
      <c r="B113" s="17" t="s">
        <v>281</v>
      </c>
      <c r="C113" s="18">
        <v>46150.85334490741</v>
      </c>
      <c r="D113" s="17" t="s">
        <v>282</v>
      </c>
      <c r="E113" s="19" t="s">
        <v>283</v>
      </c>
      <c r="F113" s="20" t="s">
        <v>16</v>
      </c>
      <c r="G113" s="20" t="s">
        <v>17</v>
      </c>
      <c r="H113" s="20" t="s">
        <v>18</v>
      </c>
      <c r="I113" s="19" t="str">
        <f>IMAGE("https://upload.wikimedia.org/wikipedia/commons/e/e5/Ara%C3%B1a_Paipa.jpg")</f>
        <v/>
      </c>
    </row>
    <row r="114" ht="36.0" customHeight="1">
      <c r="A114" s="10" t="str">
        <f t="shared" ref="A114:A115" si="20">HYPERLINK("https://commons.wikimedia.org/wiki/User:" &amp; ENCODEURL("Rodrigomacrophoto"), "Rodrigomacrophoto")</f>
        <v>Rodrigomacrophoto</v>
      </c>
      <c r="B114" s="11" t="s">
        <v>284</v>
      </c>
      <c r="C114" s="12">
        <v>46201.75141203704</v>
      </c>
      <c r="D114" s="11" t="s">
        <v>285</v>
      </c>
      <c r="E114" s="14" t="s">
        <v>61</v>
      </c>
      <c r="F114" s="15" t="s">
        <v>16</v>
      </c>
      <c r="G114" s="15" t="s">
        <v>17</v>
      </c>
      <c r="H114" s="15" t="s">
        <v>18</v>
      </c>
      <c r="I114" s="14" t="str">
        <f>IMAGE("https://upload.wikimedia.org/wikipedia/commons/c/c3/Ara%C3%B1a_Salticidae_en_posici%C3%B3n_previa_al_salto.jpg")</f>
        <v/>
      </c>
    </row>
    <row r="115" ht="36.0" customHeight="1">
      <c r="A115" s="16" t="str">
        <f t="shared" si="20"/>
        <v>Rodrigomacrophoto</v>
      </c>
      <c r="B115" s="17" t="s">
        <v>286</v>
      </c>
      <c r="C115" s="18">
        <v>46201.75140046296</v>
      </c>
      <c r="D115" s="17" t="s">
        <v>287</v>
      </c>
      <c r="E115" s="19" t="s">
        <v>61</v>
      </c>
      <c r="F115" s="20" t="s">
        <v>16</v>
      </c>
      <c r="G115" s="20" t="s">
        <v>17</v>
      </c>
      <c r="H115" s="20" t="s">
        <v>18</v>
      </c>
      <c r="I115" s="19" t="str">
        <f>IMAGE("https://upload.wikimedia.org/wikipedia/commons/a/a4/Ara%C3%B1a_Salticidae_trepando_sobre_una_hoja.jpg")</f>
        <v/>
      </c>
    </row>
    <row r="116" ht="36.0" customHeight="1">
      <c r="A116" s="10" t="str">
        <f t="shared" ref="A116:A117" si="21">HYPERLINK("https://commons.wikimedia.org/wiki/User:" &amp; ENCODEURL("Alzevi"), "Alzevi")</f>
        <v>Alzevi</v>
      </c>
      <c r="B116" s="11" t="s">
        <v>288</v>
      </c>
      <c r="C116" s="12">
        <v>46149.55137731481</v>
      </c>
      <c r="D116" s="11" t="s">
        <v>289</v>
      </c>
      <c r="E116" s="14" t="s">
        <v>29</v>
      </c>
      <c r="F116" s="14" t="s">
        <v>30</v>
      </c>
      <c r="G116" s="15" t="s">
        <v>17</v>
      </c>
      <c r="H116" s="15" t="s">
        <v>18</v>
      </c>
      <c r="I116" s="14" t="str">
        <f>IMAGE("https://upload.wikimedia.org/wikipedia/commons/9/97/Ara%C3%B1a_cangrejo.jpg")</f>
        <v/>
      </c>
    </row>
    <row r="117" ht="36.0" customHeight="1">
      <c r="A117" s="16" t="str">
        <f t="shared" si="21"/>
        <v>Alzevi</v>
      </c>
      <c r="B117" s="17" t="s">
        <v>290</v>
      </c>
      <c r="C117" s="18">
        <v>46149.55137731481</v>
      </c>
      <c r="D117" s="17" t="s">
        <v>291</v>
      </c>
      <c r="E117" s="19" t="s">
        <v>29</v>
      </c>
      <c r="F117" s="19" t="s">
        <v>30</v>
      </c>
      <c r="G117" s="20" t="s">
        <v>17</v>
      </c>
      <c r="H117" s="20" t="s">
        <v>18</v>
      </c>
      <c r="I117" s="19" t="str">
        <f>IMAGE("https://upload.wikimedia.org/wikipedia/commons/7/74/Ara%C3%B1a_cangrejo_de_las_flores.jpg")</f>
        <v/>
      </c>
    </row>
    <row r="118" ht="36.0" customHeight="1">
      <c r="A118" s="10" t="str">
        <f>HYPERLINK("https://commons.wikimedia.org/wiki/User:" &amp; ENCODEURL("Jhas24.09"), "Jhas24.09")</f>
        <v>Jhas24.09</v>
      </c>
      <c r="B118" s="11" t="s">
        <v>292</v>
      </c>
      <c r="C118" s="12">
        <v>46160.10109953704</v>
      </c>
      <c r="D118" s="11" t="s">
        <v>293</v>
      </c>
      <c r="E118" s="14" t="s">
        <v>29</v>
      </c>
      <c r="F118" s="14" t="s">
        <v>30</v>
      </c>
      <c r="G118" s="15" t="s">
        <v>17</v>
      </c>
      <c r="H118" s="15" t="s">
        <v>18</v>
      </c>
      <c r="I118" s="14" t="str">
        <f>IMAGE("https://upload.wikimedia.org/wikipedia/commons/4/4d/Ara%C3%B1a_en_vegetaci%C3%B3n.jpg")</f>
        <v/>
      </c>
    </row>
    <row r="119" ht="36.0" customHeight="1">
      <c r="A119" s="16" t="str">
        <f>HYPERLINK("https://commons.wikimedia.org/wiki/User:" &amp; ENCODEURL("Juan Carlos Sáenz Rodríguez"), "Juan Carlos Sáenz Rodríguez")</f>
        <v>Juan Carlos Sáenz Rodríguez</v>
      </c>
      <c r="B119" s="17" t="s">
        <v>294</v>
      </c>
      <c r="C119" s="18">
        <v>46194.58325231481</v>
      </c>
      <c r="D119" s="17" t="s">
        <v>295</v>
      </c>
      <c r="E119" s="19" t="s">
        <v>29</v>
      </c>
      <c r="F119" s="19" t="s">
        <v>30</v>
      </c>
      <c r="G119" s="20" t="s">
        <v>17</v>
      </c>
      <c r="H119" s="20" t="s">
        <v>18</v>
      </c>
      <c r="I119" s="19" t="str">
        <f>IMAGE("https://upload.wikimedia.org/wikipedia/commons/a/a0/Ara%C3%B1a_patona.jpg")</f>
        <v/>
      </c>
    </row>
    <row r="120" ht="36.0" customHeight="1">
      <c r="A120" s="10" t="str">
        <f>HYPERLINK("https://commons.wikimedia.org/wiki/User:" &amp; ENCODEURL("AmiGueko"), "AmiGueko")</f>
        <v>AmiGueko</v>
      </c>
      <c r="B120" s="11" t="s">
        <v>296</v>
      </c>
      <c r="C120" s="12">
        <v>46156.95877314815</v>
      </c>
      <c r="D120" s="11" t="s">
        <v>297</v>
      </c>
      <c r="E120" s="14" t="s">
        <v>298</v>
      </c>
      <c r="F120" s="15" t="s">
        <v>16</v>
      </c>
      <c r="G120" s="15" t="s">
        <v>17</v>
      </c>
      <c r="H120" s="15" t="s">
        <v>18</v>
      </c>
      <c r="I120" s="14" t="str">
        <f>IMAGE("https://upload.wikimedia.org/wikipedia/commons/f/f3/Ara%C3%B1a_tejedora_del_huerto.jpg")</f>
        <v/>
      </c>
    </row>
    <row r="121" ht="36.0" customHeight="1">
      <c r="A121" s="16" t="str">
        <f>HYPERLINK("https://commons.wikimedia.org/wiki/User:" &amp; ENCODEURL("Romauribe"), "Romauribe")</f>
        <v>Romauribe</v>
      </c>
      <c r="B121" s="17" t="s">
        <v>299</v>
      </c>
      <c r="C121" s="18">
        <v>46181.44488425926</v>
      </c>
      <c r="D121" s="17" t="s">
        <v>300</v>
      </c>
      <c r="E121" s="19" t="s">
        <v>301</v>
      </c>
      <c r="F121" s="20" t="s">
        <v>16</v>
      </c>
      <c r="G121" s="20" t="s">
        <v>17</v>
      </c>
      <c r="H121" s="20" t="s">
        <v>18</v>
      </c>
      <c r="I121" s="19" t="str">
        <f>IMAGE("https://upload.wikimedia.org/wikipedia/commons/4/48/Ara%C3%B1a_tigre%2C_Guaviare%2C_Colombia.jpg")</f>
        <v/>
      </c>
    </row>
    <row r="122" ht="36.0" customHeight="1">
      <c r="A122" s="10" t="str">
        <f>HYPERLINK("https://commons.wikimedia.org/wiki/User:" &amp; ENCODEURL("Mathias David P"), "Mathias David P")</f>
        <v>Mathias David P</v>
      </c>
      <c r="B122" s="11" t="s">
        <v>302</v>
      </c>
      <c r="C122" s="12">
        <v>46201.75267361111</v>
      </c>
      <c r="D122" s="11" t="s">
        <v>303</v>
      </c>
      <c r="E122" s="14" t="s">
        <v>29</v>
      </c>
      <c r="F122" s="14" t="s">
        <v>30</v>
      </c>
      <c r="G122" s="15" t="s">
        <v>17</v>
      </c>
      <c r="H122" s="15" t="s">
        <v>18</v>
      </c>
      <c r="I122" s="14" t="str">
        <f>IMAGE("https://upload.wikimedia.org/wikipedia/commons/9/90/Ara%C3%B1a_verde_en_un_amanecer.png")</f>
        <v/>
      </c>
    </row>
    <row r="123" ht="36.0" customHeight="1">
      <c r="A123" s="16" t="str">
        <f>HYPERLINK("https://commons.wikimedia.org/wiki/User:" &amp; ENCODEURL("Mfrancoavellaneda"), "Mfrancoavellaneda")</f>
        <v>Mfrancoavellaneda</v>
      </c>
      <c r="B123" s="17" t="s">
        <v>304</v>
      </c>
      <c r="C123" s="18">
        <v>46203.83809027778</v>
      </c>
      <c r="D123" s="17" t="s">
        <v>305</v>
      </c>
      <c r="E123" s="19" t="s">
        <v>29</v>
      </c>
      <c r="F123" s="19" t="s">
        <v>30</v>
      </c>
      <c r="G123" s="20" t="s">
        <v>17</v>
      </c>
      <c r="H123" s="20" t="s">
        <v>18</v>
      </c>
      <c r="I123" s="19" t="str">
        <f>IMAGE("https://upload.wikimedia.org/wikipedia/commons/d/dd/Arbol_Ciudad_de_piedra_Guaviares.jpg")</f>
        <v/>
      </c>
    </row>
    <row r="124" ht="36.0" customHeight="1">
      <c r="A124" s="10" t="str">
        <f>HYPERLINK("https://commons.wikimedia.org/wiki/User:" &amp; ENCODEURL("Leo123qwerty"), "Leo123qwerty")</f>
        <v>Leo123qwerty</v>
      </c>
      <c r="B124" s="11" t="s">
        <v>306</v>
      </c>
      <c r="C124" s="12">
        <v>46203.560752314814</v>
      </c>
      <c r="D124" s="11" t="s">
        <v>307</v>
      </c>
      <c r="E124" s="14" t="s">
        <v>29</v>
      </c>
      <c r="F124" s="14" t="s">
        <v>30</v>
      </c>
      <c r="G124" s="15" t="s">
        <v>17</v>
      </c>
      <c r="H124" s="15" t="s">
        <v>18</v>
      </c>
      <c r="I124" s="14" t="str">
        <f>IMAGE("https://upload.wikimedia.org/wikipedia/commons/e/e7/Arbol_a_contraluz.jpg")</f>
        <v/>
      </c>
    </row>
    <row r="125" ht="36.0" customHeight="1">
      <c r="A125" s="16" t="str">
        <f>HYPERLINK("https://commons.wikimedia.org/wiki/User:" &amp; ENCODEURL("Juanrapave"), "Juanrapave")</f>
        <v>Juanrapave</v>
      </c>
      <c r="B125" s="17" t="s">
        <v>308</v>
      </c>
      <c r="C125" s="18">
        <v>46166.313101851854</v>
      </c>
      <c r="D125" s="17" t="s">
        <v>309</v>
      </c>
      <c r="E125" s="19" t="s">
        <v>310</v>
      </c>
      <c r="F125" s="20" t="s">
        <v>16</v>
      </c>
      <c r="G125" s="20" t="s">
        <v>17</v>
      </c>
      <c r="H125" s="20" t="s">
        <v>18</v>
      </c>
      <c r="I125" s="19" t="str">
        <f>IMAGE("https://upload.wikimedia.org/wikipedia/commons/7/75/Arbol_de_Mango_en_Cartagena.jpg")</f>
        <v/>
      </c>
    </row>
    <row r="126" ht="36.0" customHeight="1">
      <c r="A126" s="10" t="str">
        <f>HYPERLINK("https://commons.wikimedia.org/wiki/User:" &amp; ENCODEURL("AnaPereaRo"), "AnaPereaRo")</f>
        <v>AnaPereaRo</v>
      </c>
      <c r="B126" s="11" t="s">
        <v>311</v>
      </c>
      <c r="C126" s="12">
        <v>46203.98006944444</v>
      </c>
      <c r="D126" s="11" t="s">
        <v>312</v>
      </c>
      <c r="E126" s="14" t="s">
        <v>29</v>
      </c>
      <c r="F126" s="14" t="s">
        <v>30</v>
      </c>
      <c r="G126" s="15" t="s">
        <v>17</v>
      </c>
      <c r="H126" s="15" t="s">
        <v>18</v>
      </c>
      <c r="I126" s="14" t="str">
        <f>IMAGE("https://upload.wikimedia.org/wikipedia/commons/c/c2/Arboloco_bogotano_%28Polymnia_pyramidalis%29_-_h%C3%BAmedal_Santa_Mar%C3%ADa_del_Lago%2C_Bogot%C3%A1%2C_Colombia.jpg")</f>
        <v/>
      </c>
    </row>
    <row r="127" ht="36.0" customHeight="1">
      <c r="A127" s="16" t="str">
        <f>HYPERLINK("https://commons.wikimedia.org/wiki/User:" &amp; ENCODEURL("ExploraMuseos"), "ExploraMuseos")</f>
        <v>ExploraMuseos</v>
      </c>
      <c r="B127" s="17" t="s">
        <v>313</v>
      </c>
      <c r="C127" s="18">
        <v>46201.439039351855</v>
      </c>
      <c r="D127" s="17" t="s">
        <v>314</v>
      </c>
      <c r="E127" s="19" t="s">
        <v>29</v>
      </c>
      <c r="F127" s="19" t="s">
        <v>30</v>
      </c>
      <c r="G127" s="20" t="s">
        <v>17</v>
      </c>
      <c r="H127" s="20" t="s">
        <v>18</v>
      </c>
      <c r="I127" s="19" t="str">
        <f>IMAGE("https://upload.wikimedia.org/wikipedia/commons/8/86/Arbusto_Volc%C3%A1n_en_Nuqu%C3%AD%2C_Choc%C3%B3_2025.jpg")</f>
        <v/>
      </c>
    </row>
    <row r="128" ht="36.0" customHeight="1">
      <c r="A128" s="10" t="str">
        <f>HYPERLINK("https://commons.wikimedia.org/wiki/User:" &amp; ENCODEURL("Nathaly 1106"), "Nathaly 1106")</f>
        <v>Nathaly 1106</v>
      </c>
      <c r="B128" s="11" t="s">
        <v>315</v>
      </c>
      <c r="C128" s="12">
        <v>46147.67140046296</v>
      </c>
      <c r="D128" s="11" t="s">
        <v>316</v>
      </c>
      <c r="E128" s="14" t="s">
        <v>29</v>
      </c>
      <c r="F128" s="14" t="s">
        <v>30</v>
      </c>
      <c r="G128" s="15" t="s">
        <v>17</v>
      </c>
      <c r="H128" s="15" t="s">
        <v>18</v>
      </c>
      <c r="I128" s="14" t="str">
        <f>IMAGE("https://upload.wikimedia.org/wikipedia/commons/6/66/Arbusto_de_Photinia_%28Rosaceae%29.jpg")</f>
        <v/>
      </c>
    </row>
    <row r="129" ht="36.0" customHeight="1">
      <c r="A129" s="16" t="str">
        <f>HYPERLINK("https://commons.wikimedia.org/wiki/User:" &amp; ENCODEURL("NataMendietaOrtega"), "NataMendietaOrtega")</f>
        <v>NataMendietaOrtega</v>
      </c>
      <c r="B129" s="17" t="s">
        <v>317</v>
      </c>
      <c r="C129" s="18">
        <v>46163.537094907406</v>
      </c>
      <c r="D129" s="17" t="s">
        <v>318</v>
      </c>
      <c r="E129" s="19" t="s">
        <v>29</v>
      </c>
      <c r="F129" s="19" t="s">
        <v>30</v>
      </c>
      <c r="G129" s="20" t="s">
        <v>17</v>
      </c>
      <c r="H129" s="20" t="s">
        <v>18</v>
      </c>
      <c r="I129" s="19" t="str">
        <f>IMAGE("https://upload.wikimedia.org/wikipedia/commons/1/1b/Arcoiris%2C_Bogot%C3%A1%2C_Colombia.jpg")</f>
        <v/>
      </c>
    </row>
    <row r="130" ht="36.0" customHeight="1">
      <c r="A130" s="10" t="str">
        <f>HYPERLINK("https://commons.wikimedia.org/wiki/User:" &amp; ENCODEURL("Vvelashue21"), "Vvelashue21")</f>
        <v>Vvelashue21</v>
      </c>
      <c r="B130" s="11" t="s">
        <v>319</v>
      </c>
      <c r="C130" s="12">
        <v>46163.54791666667</v>
      </c>
      <c r="D130" s="11" t="s">
        <v>320</v>
      </c>
      <c r="E130" s="14" t="s">
        <v>29</v>
      </c>
      <c r="F130" s="14" t="s">
        <v>30</v>
      </c>
      <c r="G130" s="15" t="s">
        <v>17</v>
      </c>
      <c r="H130" s="15" t="s">
        <v>18</v>
      </c>
      <c r="I130" s="14" t="str">
        <f>IMAGE("https://upload.wikimedia.org/wikipedia/commons/4/44/Arcoiris_con_paisaje.jpg")</f>
        <v/>
      </c>
    </row>
    <row r="131" ht="36.0" customHeight="1">
      <c r="A131" s="16" t="str">
        <f>HYPERLINK("https://commons.wikimedia.org/wiki/User:" &amp; ENCODEURL("Project5443"), "Project5443")</f>
        <v>Project5443</v>
      </c>
      <c r="B131" s="17" t="s">
        <v>321</v>
      </c>
      <c r="C131" s="18">
        <v>46163.56585648148</v>
      </c>
      <c r="D131" s="17" t="s">
        <v>322</v>
      </c>
      <c r="E131" s="19" t="s">
        <v>323</v>
      </c>
      <c r="F131" s="20" t="s">
        <v>16</v>
      </c>
      <c r="G131" s="20" t="s">
        <v>17</v>
      </c>
      <c r="H131" s="20" t="s">
        <v>18</v>
      </c>
      <c r="I131" s="19" t="str">
        <f>IMAGE("https://upload.wikimedia.org/wikipedia/commons/7/7b/Arco%C3%ADris_en_Monserrate.jpg")</f>
        <v/>
      </c>
    </row>
    <row r="132" ht="36.0" customHeight="1">
      <c r="A132" s="10" t="str">
        <f t="shared" ref="A132:A134" si="22">HYPERLINK("https://commons.wikimedia.org/wiki/User:" &amp; ENCODEURL("Diferoch"), "Diferoch")</f>
        <v>Diferoch</v>
      </c>
      <c r="B132" s="11" t="s">
        <v>324</v>
      </c>
      <c r="C132" s="12">
        <v>46199.848912037036</v>
      </c>
      <c r="D132" s="11" t="s">
        <v>325</v>
      </c>
      <c r="E132" s="14" t="s">
        <v>326</v>
      </c>
      <c r="F132" s="15" t="s">
        <v>16</v>
      </c>
      <c r="G132" s="15" t="s">
        <v>17</v>
      </c>
      <c r="H132" s="15" t="s">
        <v>18</v>
      </c>
      <c r="I132" s="14" t="str">
        <f>IMAGE("https://upload.wikimedia.org/wikipedia/commons/2/26/Ardea_alba_egretta_-_Nuqu%C3%AD%2C_Choc%C3%B3%2C_Colombia_-_24_Oct_2025_-_Diferoch.jpg")</f>
        <v/>
      </c>
    </row>
    <row r="133" ht="36.0" customHeight="1">
      <c r="A133" s="16" t="str">
        <f t="shared" si="22"/>
        <v>Diferoch</v>
      </c>
      <c r="B133" s="17" t="s">
        <v>327</v>
      </c>
      <c r="C133" s="18">
        <v>46190.84471064815</v>
      </c>
      <c r="D133" s="17" t="s">
        <v>328</v>
      </c>
      <c r="E133" s="19" t="s">
        <v>329</v>
      </c>
      <c r="F133" s="20" t="s">
        <v>16</v>
      </c>
      <c r="G133" s="20" t="s">
        <v>17</v>
      </c>
      <c r="H133" s="20" t="s">
        <v>18</v>
      </c>
      <c r="I133" s="19" t="str">
        <f>IMAGE("https://upload.wikimedia.org/wikipedia/commons/a/a7/Ardea_cocoi_-_Cimitarra%2C_Santander%2C_Colombia_-_30_Sep_2025_-_Diferoch_-_1.jpg")</f>
        <v/>
      </c>
    </row>
    <row r="134" ht="36.0" customHeight="1">
      <c r="A134" s="10" t="str">
        <f t="shared" si="22"/>
        <v>Diferoch</v>
      </c>
      <c r="B134" s="11" t="s">
        <v>330</v>
      </c>
      <c r="C134" s="12">
        <v>46190.84471064815</v>
      </c>
      <c r="D134" s="11" t="s">
        <v>331</v>
      </c>
      <c r="E134" s="14" t="s">
        <v>332</v>
      </c>
      <c r="F134" s="15" t="s">
        <v>16</v>
      </c>
      <c r="G134" s="15" t="s">
        <v>17</v>
      </c>
      <c r="H134" s="15" t="s">
        <v>18</v>
      </c>
      <c r="I134" s="14" t="str">
        <f>IMAGE("https://upload.wikimedia.org/wikipedia/commons/0/06/Ardea_cocoi_-_Cimitarra%2C_Santander%2C_Colombia_-_30_Sep_2025_-_Diferoch_-_2.jpg")</f>
        <v/>
      </c>
    </row>
    <row r="135" ht="36.0" customHeight="1">
      <c r="A135" s="16" t="str">
        <f>HYPERLINK("https://commons.wikimedia.org/wiki/User:" &amp; ENCODEURL("Peperomia11"), "Peperomia11")</f>
        <v>Peperomia11</v>
      </c>
      <c r="B135" s="17" t="s">
        <v>333</v>
      </c>
      <c r="C135" s="18">
        <v>46202.56009259259</v>
      </c>
      <c r="D135" s="17" t="s">
        <v>334</v>
      </c>
      <c r="E135" s="19" t="s">
        <v>29</v>
      </c>
      <c r="F135" s="19" t="s">
        <v>30</v>
      </c>
      <c r="G135" s="20" t="s">
        <v>17</v>
      </c>
      <c r="H135" s="20" t="s">
        <v>18</v>
      </c>
      <c r="I135" s="19" t="str">
        <f>IMAGE("https://upload.wikimedia.org/wikipedia/commons/0/03/Aretillos_20260529_093138.jpg")</f>
        <v/>
      </c>
    </row>
    <row r="136" ht="36.0" customHeight="1">
      <c r="A136" s="10" t="str">
        <f>HYPERLINK("https://commons.wikimedia.org/wiki/User:" &amp; ENCODEURL("SergiXCX"), "SergiXCX")</f>
        <v>SergiXCX</v>
      </c>
      <c r="B136" s="11" t="s">
        <v>335</v>
      </c>
      <c r="C136" s="12">
        <v>46203.98087962963</v>
      </c>
      <c r="D136" s="11" t="s">
        <v>336</v>
      </c>
      <c r="E136" s="14" t="s">
        <v>29</v>
      </c>
      <c r="F136" s="14" t="s">
        <v>30</v>
      </c>
      <c r="G136" s="15" t="s">
        <v>17</v>
      </c>
      <c r="H136" s="15" t="s">
        <v>18</v>
      </c>
      <c r="I136" s="14" t="str">
        <f>IMAGE("https://upload.wikimedia.org/wikipedia/commons/a/ac/Argiope_Argentata_spider_with_its_prey_%28Ara%C3%B1a_Argiope_Argentata_con_su_presa%29.jpg")</f>
        <v/>
      </c>
    </row>
    <row r="137" ht="36.0" customHeight="1">
      <c r="A137" s="16" t="str">
        <f>HYPERLINK("https://commons.wikimedia.org/wiki/User:" &amp; ENCODEURL("Mottenpriesterin"), "Mottenpriesterin")</f>
        <v>Mottenpriesterin</v>
      </c>
      <c r="B137" s="17" t="s">
        <v>337</v>
      </c>
      <c r="C137" s="18">
        <v>46202.91997685185</v>
      </c>
      <c r="D137" s="17" t="s">
        <v>338</v>
      </c>
      <c r="E137" s="19" t="s">
        <v>29</v>
      </c>
      <c r="F137" s="19" t="s">
        <v>30</v>
      </c>
      <c r="G137" s="20" t="s">
        <v>17</v>
      </c>
      <c r="H137" s="20" t="s">
        <v>18</v>
      </c>
      <c r="I137" s="19" t="str">
        <f>IMAGE("https://upload.wikimedia.org/wikipedia/commons/0/0f/Arid_rock_face_with_Spanish_moss_%28Tillandsia_usneoides%29_near_Villa_de_Leyva%2C_2026.jpg")</f>
        <v/>
      </c>
    </row>
    <row r="138" ht="36.0" customHeight="1">
      <c r="A138" s="10" t="str">
        <f>HYPERLINK("https://commons.wikimedia.org/wiki/User:" &amp; ENCODEURL("Gsilvaarias"), "Gsilvaarias")</f>
        <v>Gsilvaarias</v>
      </c>
      <c r="B138" s="11" t="s">
        <v>339</v>
      </c>
      <c r="C138" s="12">
        <v>46191.781122685185</v>
      </c>
      <c r="D138" s="11" t="s">
        <v>340</v>
      </c>
      <c r="E138" s="14" t="s">
        <v>341</v>
      </c>
      <c r="F138" s="15" t="s">
        <v>16</v>
      </c>
      <c r="G138" s="15" t="s">
        <v>17</v>
      </c>
      <c r="H138" s="15" t="s">
        <v>18</v>
      </c>
      <c r="I138" s="14" t="str">
        <f>IMAGE("https://upload.wikimedia.org/wikipedia/commons/5/50/Aristolochia_en_flor.jpg")</f>
        <v/>
      </c>
    </row>
    <row r="139" ht="36.0" customHeight="1">
      <c r="A139" s="16" t="str">
        <f t="shared" ref="A139:A140" si="23">HYPERLINK("https://commons.wikimedia.org/wiki/User:" &amp; ENCODEURL("Atomini"), "Atomini")</f>
        <v>Atomini</v>
      </c>
      <c r="B139" s="17" t="s">
        <v>342</v>
      </c>
      <c r="C139" s="18">
        <v>46203.445127314815</v>
      </c>
      <c r="D139" s="17" t="s">
        <v>343</v>
      </c>
      <c r="E139" s="19" t="s">
        <v>29</v>
      </c>
      <c r="F139" s="19" t="s">
        <v>30</v>
      </c>
      <c r="G139" s="20" t="s">
        <v>17</v>
      </c>
      <c r="H139" s="20" t="s">
        <v>18</v>
      </c>
      <c r="I139" s="19" t="str">
        <f>IMAGE("https://upload.wikimedia.org/wikipedia/commons/4/4c/Aristolochia_gigantea_%22Calico_flower%22.jpg")</f>
        <v/>
      </c>
    </row>
    <row r="140" ht="36.0" customHeight="1">
      <c r="A140" s="10" t="str">
        <f t="shared" si="23"/>
        <v>Atomini</v>
      </c>
      <c r="B140" s="11" t="s">
        <v>344</v>
      </c>
      <c r="C140" s="12">
        <v>46203.44510416667</v>
      </c>
      <c r="D140" s="11" t="s">
        <v>345</v>
      </c>
      <c r="E140" s="14" t="s">
        <v>29</v>
      </c>
      <c r="F140" s="14" t="s">
        <v>30</v>
      </c>
      <c r="G140" s="15" t="s">
        <v>17</v>
      </c>
      <c r="H140" s="15" t="s">
        <v>18</v>
      </c>
      <c r="I140" s="14" t="str">
        <f>IMAGE("https://upload.wikimedia.org/wikipedia/commons/c/ca/Aristolochia_gigantea_%22Calico_flower%22_Close-up.jpg")</f>
        <v/>
      </c>
    </row>
    <row r="141" ht="36.0" customHeight="1">
      <c r="A141" s="16" t="str">
        <f t="shared" ref="A141:A148" si="24">HYPERLINK("https://commons.wikimedia.org/wiki/User:" &amp; ENCODEURL("AmiGueko"), "AmiGueko")</f>
        <v>AmiGueko</v>
      </c>
      <c r="B141" s="17" t="s">
        <v>346</v>
      </c>
      <c r="C141" s="18">
        <v>46177.87582175926</v>
      </c>
      <c r="D141" s="17" t="s">
        <v>347</v>
      </c>
      <c r="E141" s="19" t="s">
        <v>103</v>
      </c>
      <c r="F141" s="20" t="s">
        <v>16</v>
      </c>
      <c r="G141" s="20" t="s">
        <v>17</v>
      </c>
      <c r="H141" s="20" t="s">
        <v>18</v>
      </c>
      <c r="I141" s="19" t="str">
        <f>IMAGE("https://upload.wikimedia.org/wikipedia/commons/2/2e/Aristoloquia1.jpg")</f>
        <v/>
      </c>
    </row>
    <row r="142" ht="36.0" customHeight="1">
      <c r="A142" s="10" t="str">
        <f t="shared" si="24"/>
        <v>AmiGueko</v>
      </c>
      <c r="B142" s="11" t="s">
        <v>348</v>
      </c>
      <c r="C142" s="12">
        <v>46177.87582175926</v>
      </c>
      <c r="D142" s="11" t="s">
        <v>347</v>
      </c>
      <c r="E142" s="14" t="s">
        <v>103</v>
      </c>
      <c r="F142" s="15" t="s">
        <v>16</v>
      </c>
      <c r="G142" s="15" t="s">
        <v>17</v>
      </c>
      <c r="H142" s="15" t="s">
        <v>18</v>
      </c>
      <c r="I142" s="14" t="str">
        <f>IMAGE("https://upload.wikimedia.org/wikipedia/commons/e/ed/Aristoloquia2.jpg")</f>
        <v/>
      </c>
    </row>
    <row r="143" ht="36.0" customHeight="1">
      <c r="A143" s="16" t="str">
        <f t="shared" si="24"/>
        <v>AmiGueko</v>
      </c>
      <c r="B143" s="17" t="s">
        <v>349</v>
      </c>
      <c r="C143" s="18">
        <v>46177.87585648148</v>
      </c>
      <c r="D143" s="17" t="s">
        <v>347</v>
      </c>
      <c r="E143" s="19" t="s">
        <v>103</v>
      </c>
      <c r="F143" s="20" t="s">
        <v>16</v>
      </c>
      <c r="G143" s="20" t="s">
        <v>17</v>
      </c>
      <c r="H143" s="20" t="s">
        <v>18</v>
      </c>
      <c r="I143" s="19" t="str">
        <f>IMAGE("https://upload.wikimedia.org/wikipedia/commons/0/06/Aristoloquia3.jpg")</f>
        <v/>
      </c>
    </row>
    <row r="144" ht="36.0" customHeight="1">
      <c r="A144" s="10" t="str">
        <f t="shared" si="24"/>
        <v>AmiGueko</v>
      </c>
      <c r="B144" s="11" t="s">
        <v>350</v>
      </c>
      <c r="C144" s="12">
        <v>46177.87585648148</v>
      </c>
      <c r="D144" s="11" t="s">
        <v>347</v>
      </c>
      <c r="E144" s="14" t="s">
        <v>103</v>
      </c>
      <c r="F144" s="15" t="s">
        <v>16</v>
      </c>
      <c r="G144" s="15" t="s">
        <v>17</v>
      </c>
      <c r="H144" s="15" t="s">
        <v>18</v>
      </c>
      <c r="I144" s="14" t="str">
        <f>IMAGE("https://upload.wikimedia.org/wikipedia/commons/3/30/Aristoloquia5.jpg")</f>
        <v/>
      </c>
    </row>
    <row r="145" ht="36.0" customHeight="1">
      <c r="A145" s="16" t="str">
        <f t="shared" si="24"/>
        <v>AmiGueko</v>
      </c>
      <c r="B145" s="17" t="s">
        <v>351</v>
      </c>
      <c r="C145" s="18">
        <v>46177.87585648148</v>
      </c>
      <c r="D145" s="17" t="s">
        <v>352</v>
      </c>
      <c r="E145" s="19" t="s">
        <v>103</v>
      </c>
      <c r="F145" s="20" t="s">
        <v>16</v>
      </c>
      <c r="G145" s="20" t="s">
        <v>17</v>
      </c>
      <c r="H145" s="20" t="s">
        <v>18</v>
      </c>
      <c r="I145" s="19" t="str">
        <f>IMAGE("https://upload.wikimedia.org/wikipedia/commons/0/0c/Aristoloquia6.jpg")</f>
        <v/>
      </c>
    </row>
    <row r="146" ht="36.0" customHeight="1">
      <c r="A146" s="10" t="str">
        <f t="shared" si="24"/>
        <v>AmiGueko</v>
      </c>
      <c r="B146" s="11" t="s">
        <v>353</v>
      </c>
      <c r="C146" s="12">
        <v>46177.87587962963</v>
      </c>
      <c r="D146" s="11" t="s">
        <v>347</v>
      </c>
      <c r="E146" s="14" t="s">
        <v>103</v>
      </c>
      <c r="F146" s="15" t="s">
        <v>16</v>
      </c>
      <c r="G146" s="15" t="s">
        <v>17</v>
      </c>
      <c r="H146" s="15" t="s">
        <v>18</v>
      </c>
      <c r="I146" s="14" t="str">
        <f>IMAGE("https://upload.wikimedia.org/wikipedia/commons/0/01/Aristoloquia7.jpg")</f>
        <v/>
      </c>
    </row>
    <row r="147" ht="36.0" customHeight="1">
      <c r="A147" s="16" t="str">
        <f t="shared" si="24"/>
        <v>AmiGueko</v>
      </c>
      <c r="B147" s="17" t="s">
        <v>354</v>
      </c>
      <c r="C147" s="18">
        <v>46177.8758912037</v>
      </c>
      <c r="D147" s="17" t="s">
        <v>352</v>
      </c>
      <c r="E147" s="19" t="s">
        <v>103</v>
      </c>
      <c r="F147" s="20" t="s">
        <v>16</v>
      </c>
      <c r="G147" s="20" t="s">
        <v>17</v>
      </c>
      <c r="H147" s="20" t="s">
        <v>18</v>
      </c>
      <c r="I147" s="19" t="str">
        <f>IMAGE("https://upload.wikimedia.org/wikipedia/commons/6/64/Aristoloquia8.jpg")</f>
        <v/>
      </c>
    </row>
    <row r="148" ht="36.0" customHeight="1">
      <c r="A148" s="10" t="str">
        <f t="shared" si="24"/>
        <v>AmiGueko</v>
      </c>
      <c r="B148" s="11" t="s">
        <v>355</v>
      </c>
      <c r="C148" s="12">
        <v>46177.875810185185</v>
      </c>
      <c r="D148" s="11" t="s">
        <v>347</v>
      </c>
      <c r="E148" s="14" t="s">
        <v>103</v>
      </c>
      <c r="F148" s="15" t="s">
        <v>16</v>
      </c>
      <c r="G148" s="15" t="s">
        <v>17</v>
      </c>
      <c r="H148" s="15" t="s">
        <v>18</v>
      </c>
      <c r="I148" s="14" t="str">
        <f>IMAGE("https://upload.wikimedia.org/wikipedia/commons/5/58/Aristoloquia_1.jpg")</f>
        <v/>
      </c>
    </row>
    <row r="149" ht="36.0" customHeight="1">
      <c r="A149" s="16" t="str">
        <f t="shared" ref="A149:A150" si="25">HYPERLINK("https://commons.wikimedia.org/wiki/User:" &amp; ENCODEURL("Nathaly 1106"), "Nathaly 1106")</f>
        <v>Nathaly 1106</v>
      </c>
      <c r="B149" s="17" t="s">
        <v>356</v>
      </c>
      <c r="C149" s="18">
        <v>46147.67128472222</v>
      </c>
      <c r="D149" s="17" t="s">
        <v>357</v>
      </c>
      <c r="E149" s="19" t="s">
        <v>29</v>
      </c>
      <c r="F149" s="19" t="s">
        <v>30</v>
      </c>
      <c r="G149" s="20" t="s">
        <v>17</v>
      </c>
      <c r="H149" s="20" t="s">
        <v>18</v>
      </c>
      <c r="I149" s="19" t="str">
        <f>IMAGE("https://upload.wikimedia.org/wikipedia/commons/3/31/Array%C3%A1n_%28Luma_apiculata_o_Myrcianthes%29.jpg")</f>
        <v/>
      </c>
    </row>
    <row r="150" ht="36.0" customHeight="1">
      <c r="A150" s="10" t="str">
        <f t="shared" si="25"/>
        <v>Nathaly 1106</v>
      </c>
      <c r="B150" s="11" t="s">
        <v>358</v>
      </c>
      <c r="C150" s="12">
        <v>46148.6190625</v>
      </c>
      <c r="D150" s="11" t="s">
        <v>359</v>
      </c>
      <c r="E150" s="14" t="s">
        <v>29</v>
      </c>
      <c r="F150" s="14" t="s">
        <v>30</v>
      </c>
      <c r="G150" s="15" t="s">
        <v>17</v>
      </c>
      <c r="H150" s="15" t="s">
        <v>18</v>
      </c>
      <c r="I150" s="14" t="str">
        <f>IMAGE("https://upload.wikimedia.org/wikipedia/commons/4/43/Array%C3%A1n_guayabo_%28Psidium_guajava%29_01.jpg")</f>
        <v/>
      </c>
    </row>
    <row r="151" ht="36.0" customHeight="1">
      <c r="A151" s="16" t="str">
        <f>HYPERLINK("https://commons.wikimedia.org/wiki/User:" &amp; ENCODEURL("Daijiruu"), "Daijiruu")</f>
        <v>Daijiruu</v>
      </c>
      <c r="B151" s="17" t="s">
        <v>360</v>
      </c>
      <c r="C151" s="18">
        <v>46163.5103125</v>
      </c>
      <c r="D151" s="17" t="s">
        <v>361</v>
      </c>
      <c r="E151" s="19" t="s">
        <v>29</v>
      </c>
      <c r="F151" s="19" t="s">
        <v>30</v>
      </c>
      <c r="G151" s="20" t="s">
        <v>17</v>
      </c>
      <c r="H151" s="20" t="s">
        <v>18</v>
      </c>
      <c r="I151" s="19" t="str">
        <f>IMAGE("https://upload.wikimedia.org/wikipedia/commons/d/d6/Arte_Natural.jpg")</f>
        <v/>
      </c>
    </row>
    <row r="152" ht="36.0" customHeight="1">
      <c r="A152" s="10" t="str">
        <f>HYPERLINK("https://commons.wikimedia.org/wiki/User:" &amp; ENCODEURL("Johan Andrés Toro"), "Johan Andrés Toro")</f>
        <v>Johan Andrés Toro</v>
      </c>
      <c r="B152" s="11" t="s">
        <v>362</v>
      </c>
      <c r="C152" s="12">
        <v>46171.49074074074</v>
      </c>
      <c r="D152" s="11" t="s">
        <v>363</v>
      </c>
      <c r="E152" s="14" t="s">
        <v>29</v>
      </c>
      <c r="F152" s="14" t="s">
        <v>30</v>
      </c>
      <c r="G152" s="15" t="s">
        <v>17</v>
      </c>
      <c r="H152" s="15" t="s">
        <v>18</v>
      </c>
      <c r="I152" s="14" t="str">
        <f>IMAGE("https://upload.wikimedia.org/wikipedia/commons/c/ca/Arte_rupestre_ind%C3%ADgena_y_vandalismo_en_los_Farallones_de_Sutatausa.jpg")</f>
        <v/>
      </c>
    </row>
    <row r="153" ht="36.0" customHeight="1">
      <c r="A153" s="16" t="str">
        <f>HYPERLINK("https://commons.wikimedia.org/wiki/User:" &amp; ENCODEURL("IvanVillacorte"), "IvanVillacorte")</f>
        <v>IvanVillacorte</v>
      </c>
      <c r="B153" s="17" t="s">
        <v>364</v>
      </c>
      <c r="C153" s="18">
        <v>46162.795949074076</v>
      </c>
      <c r="D153" s="17" t="s">
        <v>365</v>
      </c>
      <c r="E153" s="19" t="s">
        <v>29</v>
      </c>
      <c r="F153" s="19" t="s">
        <v>30</v>
      </c>
      <c r="G153" s="20" t="s">
        <v>17</v>
      </c>
      <c r="H153" s="20" t="s">
        <v>18</v>
      </c>
      <c r="I153" s="19" t="str">
        <f>IMAGE("https://upload.wikimedia.org/wikipedia/commons/1/18/Asociaci%C3%B3n_espacial_entre_Reduviidae_sp._y_Cosmos_bipinnatus.jpg")</f>
        <v/>
      </c>
    </row>
    <row r="154" ht="36.0" customHeight="1">
      <c r="A154" s="10" t="str">
        <f>HYPERLINK("https://commons.wikimedia.org/wiki/User:" &amp; ENCODEURL("Diferoch"), "Diferoch")</f>
        <v>Diferoch</v>
      </c>
      <c r="B154" s="11" t="s">
        <v>366</v>
      </c>
      <c r="C154" s="12">
        <v>46146.51359953704</v>
      </c>
      <c r="D154" s="11" t="s">
        <v>367</v>
      </c>
      <c r="E154" s="14" t="s">
        <v>368</v>
      </c>
      <c r="F154" s="15" t="s">
        <v>16</v>
      </c>
      <c r="G154" s="15" t="s">
        <v>17</v>
      </c>
      <c r="H154" s="15" t="s">
        <v>18</v>
      </c>
      <c r="I154" s="14" t="str">
        <f>IMAGE("https://upload.wikimedia.org/wikipedia/commons/3/33/Astylus_aulicus_-_23-May-2025.jpg")</f>
        <v/>
      </c>
    </row>
    <row r="155" ht="36.0" customHeight="1">
      <c r="A155" s="16" t="str">
        <f>HYPERLINK("https://commons.wikimedia.org/wiki/User:" &amp; ENCODEURL("CHAVESJUAN19"), "CHAVESJUAN19")</f>
        <v>CHAVESJUAN19</v>
      </c>
      <c r="B155" s="17" t="s">
        <v>369</v>
      </c>
      <c r="C155" s="18">
        <v>46203.96229166666</v>
      </c>
      <c r="D155" s="17" t="s">
        <v>370</v>
      </c>
      <c r="E155" s="19" t="s">
        <v>29</v>
      </c>
      <c r="F155" s="19" t="s">
        <v>30</v>
      </c>
      <c r="G155" s="20" t="s">
        <v>17</v>
      </c>
      <c r="H155" s="20" t="s">
        <v>18</v>
      </c>
      <c r="I155" s="19" t="str">
        <f>IMAGE("https://upload.wikimedia.org/wikipedia/commons/b/b9/Atardece_en_la_mariposa_-_PNN_Chingaza.jpg")</f>
        <v/>
      </c>
    </row>
    <row r="156" ht="36.0" customHeight="1">
      <c r="A156" s="10" t="str">
        <f>HYPERLINK("https://commons.wikimedia.org/wiki/User:" &amp; ENCODEURL("Dsjkkms"), "Dsjkkms")</f>
        <v>Dsjkkms</v>
      </c>
      <c r="B156" s="11" t="s">
        <v>371</v>
      </c>
      <c r="C156" s="12">
        <v>46163.554560185185</v>
      </c>
      <c r="D156" s="11" t="s">
        <v>372</v>
      </c>
      <c r="E156" s="14" t="s">
        <v>29</v>
      </c>
      <c r="F156" s="14" t="s">
        <v>30</v>
      </c>
      <c r="G156" s="15" t="s">
        <v>17</v>
      </c>
      <c r="H156" s="15" t="s">
        <v>18</v>
      </c>
      <c r="I156" s="14" t="str">
        <f>IMAGE("https://upload.wikimedia.org/wikipedia/commons/7/78/Atardecer_Azul.jpg")</f>
        <v/>
      </c>
    </row>
    <row r="157" ht="36.0" customHeight="1">
      <c r="A157" s="16" t="str">
        <f t="shared" ref="A157:A159" si="26">HYPERLINK("https://commons.wikimedia.org/wiki/User:" &amp; ENCODEURL("Easlava7"), "Easlava7")</f>
        <v>Easlava7</v>
      </c>
      <c r="B157" s="17" t="s">
        <v>373</v>
      </c>
      <c r="C157" s="18">
        <v>46163.55458333333</v>
      </c>
      <c r="D157" s="17" t="s">
        <v>374</v>
      </c>
      <c r="E157" s="19" t="s">
        <v>29</v>
      </c>
      <c r="F157" s="19" t="s">
        <v>30</v>
      </c>
      <c r="G157" s="20" t="s">
        <v>17</v>
      </c>
      <c r="H157" s="20" t="s">
        <v>18</v>
      </c>
      <c r="I157" s="19" t="str">
        <f>IMAGE("https://upload.wikimedia.org/wikipedia/commons/6/6e/Atardecer_Bogot%C3%A0.jpg")</f>
        <v/>
      </c>
    </row>
    <row r="158" ht="36.0" customHeight="1">
      <c r="A158" s="10" t="str">
        <f t="shared" si="26"/>
        <v>Easlava7</v>
      </c>
      <c r="B158" s="11" t="s">
        <v>375</v>
      </c>
      <c r="C158" s="12">
        <v>46163.55458333333</v>
      </c>
      <c r="D158" s="11" t="s">
        <v>376</v>
      </c>
      <c r="E158" s="14" t="s">
        <v>29</v>
      </c>
      <c r="F158" s="14" t="s">
        <v>30</v>
      </c>
      <c r="G158" s="15" t="s">
        <v>17</v>
      </c>
      <c r="H158" s="15" t="s">
        <v>18</v>
      </c>
      <c r="I158" s="14" t="str">
        <f>IMAGE("https://upload.wikimedia.org/wikipedia/commons/8/8f/Atardecer_Boyaca.jpg")</f>
        <v/>
      </c>
    </row>
    <row r="159" ht="36.0" customHeight="1">
      <c r="A159" s="16" t="str">
        <f t="shared" si="26"/>
        <v>Easlava7</v>
      </c>
      <c r="B159" s="17" t="s">
        <v>377</v>
      </c>
      <c r="C159" s="18">
        <v>46163.55458333333</v>
      </c>
      <c r="D159" s="17" t="s">
        <v>378</v>
      </c>
      <c r="E159" s="19" t="s">
        <v>29</v>
      </c>
      <c r="F159" s="19" t="s">
        <v>30</v>
      </c>
      <c r="G159" s="20" t="s">
        <v>17</v>
      </c>
      <c r="H159" s="20" t="s">
        <v>18</v>
      </c>
      <c r="I159" s="19" t="str">
        <f>IMAGE("https://upload.wikimedia.org/wikipedia/commons/a/a1/Atardecer_Cartagenaa.jpg")</f>
        <v/>
      </c>
    </row>
    <row r="160" ht="36.0" customHeight="1">
      <c r="A160" s="10" t="str">
        <f t="shared" ref="A160:A161" si="27">HYPERLINK("https://commons.wikimedia.org/wiki/User:" &amp; ENCODEURL("Juanrapave"), "Juanrapave")</f>
        <v>Juanrapave</v>
      </c>
      <c r="B160" s="11" t="s">
        <v>379</v>
      </c>
      <c r="C160" s="12">
        <v>46166.31313657408</v>
      </c>
      <c r="D160" s="11" t="s">
        <v>380</v>
      </c>
      <c r="E160" s="14" t="s">
        <v>29</v>
      </c>
      <c r="F160" s="14" t="s">
        <v>30</v>
      </c>
      <c r="G160" s="15" t="s">
        <v>17</v>
      </c>
      <c r="H160" s="15" t="s">
        <v>18</v>
      </c>
      <c r="I160" s="14" t="str">
        <f>IMAGE("https://upload.wikimedia.org/wikipedia/commons/3/36/Atardecer_Guajiro_-_1.jpg")</f>
        <v/>
      </c>
    </row>
    <row r="161" ht="36.0" customHeight="1">
      <c r="A161" s="16" t="str">
        <f t="shared" si="27"/>
        <v>Juanrapave</v>
      </c>
      <c r="B161" s="17" t="s">
        <v>381</v>
      </c>
      <c r="C161" s="18">
        <v>46166.31314814815</v>
      </c>
      <c r="D161" s="17" t="s">
        <v>380</v>
      </c>
      <c r="E161" s="19" t="s">
        <v>29</v>
      </c>
      <c r="F161" s="19" t="s">
        <v>30</v>
      </c>
      <c r="G161" s="20" t="s">
        <v>17</v>
      </c>
      <c r="H161" s="20" t="s">
        <v>18</v>
      </c>
      <c r="I161" s="19" t="str">
        <f>IMAGE("https://upload.wikimedia.org/wikipedia/commons/5/58/Atardecer_Guajiro_-_2.jpg")</f>
        <v/>
      </c>
    </row>
    <row r="162" ht="36.0" customHeight="1">
      <c r="A162" s="10" t="str">
        <f t="shared" ref="A162:A163" si="28">HYPERLINK("https://commons.wikimedia.org/wiki/User:" &amp; ENCODEURL("Easlava7"), "Easlava7")</f>
        <v>Easlava7</v>
      </c>
      <c r="B162" s="11" t="s">
        <v>382</v>
      </c>
      <c r="C162" s="12">
        <v>46163.571493055555</v>
      </c>
      <c r="D162" s="11" t="s">
        <v>383</v>
      </c>
      <c r="E162" s="14" t="s">
        <v>29</v>
      </c>
      <c r="F162" s="14" t="s">
        <v>30</v>
      </c>
      <c r="G162" s="15" t="s">
        <v>17</v>
      </c>
      <c r="H162" s="15" t="s">
        <v>18</v>
      </c>
      <c r="I162" s="14" t="str">
        <f>IMAGE("https://upload.wikimedia.org/wikipedia/commons/6/6c/Atardecer_Nevado_El_Cocuy.jpg")</f>
        <v/>
      </c>
    </row>
    <row r="163" ht="36.0" customHeight="1">
      <c r="A163" s="16" t="str">
        <f t="shared" si="28"/>
        <v>Easlava7</v>
      </c>
      <c r="B163" s="17" t="s">
        <v>384</v>
      </c>
      <c r="C163" s="18">
        <v>46163.554618055554</v>
      </c>
      <c r="D163" s="17" t="s">
        <v>385</v>
      </c>
      <c r="E163" s="19" t="s">
        <v>29</v>
      </c>
      <c r="F163" s="19" t="s">
        <v>30</v>
      </c>
      <c r="G163" s="20" t="s">
        <v>17</v>
      </c>
      <c r="H163" s="20" t="s">
        <v>18</v>
      </c>
      <c r="I163" s="19" t="str">
        <f>IMAGE("https://upload.wikimedia.org/wikipedia/commons/9/9a/Atardecer_Playa_Blanca_Cartagena.jpg")</f>
        <v/>
      </c>
    </row>
    <row r="164" ht="36.0" customHeight="1">
      <c r="A164" s="10" t="str">
        <f>HYPERLINK("https://commons.wikimedia.org/wiki/User:" &amp; ENCODEURL("Anvar2420"), "Anvar2420")</f>
        <v>Anvar2420</v>
      </c>
      <c r="B164" s="11" t="s">
        <v>386</v>
      </c>
      <c r="C164" s="12">
        <v>46163.55672453704</v>
      </c>
      <c r="D164" s="11" t="s">
        <v>387</v>
      </c>
      <c r="E164" s="14" t="s">
        <v>29</v>
      </c>
      <c r="F164" s="14" t="s">
        <v>30</v>
      </c>
      <c r="G164" s="15" t="s">
        <v>17</v>
      </c>
      <c r="H164" s="15" t="s">
        <v>18</v>
      </c>
      <c r="I164" s="14" t="str">
        <f>IMAGE("https://upload.wikimedia.org/wikipedia/commons/4/4f/Atardecer_Rio_Cusiana.jpg")</f>
        <v/>
      </c>
    </row>
    <row r="165" ht="36.0" customHeight="1">
      <c r="A165" s="16" t="str">
        <f t="shared" ref="A165:A166" si="29">HYPERLINK("https://commons.wikimedia.org/wiki/User:" &amp; ENCODEURL("Maracome"), "Maracome")</f>
        <v>Maracome</v>
      </c>
      <c r="B165" s="17" t="s">
        <v>388</v>
      </c>
      <c r="C165" s="18">
        <v>46149.95291666667</v>
      </c>
      <c r="D165" s="17" t="s">
        <v>389</v>
      </c>
      <c r="E165" s="19" t="s">
        <v>29</v>
      </c>
      <c r="F165" s="19" t="s">
        <v>30</v>
      </c>
      <c r="G165" s="20" t="s">
        <v>17</v>
      </c>
      <c r="H165" s="20" t="s">
        <v>18</v>
      </c>
      <c r="I165" s="19" t="str">
        <f>IMAGE("https://upload.wikimedia.org/wikipedia/commons/6/6c/Atardecer_R%C3%ADo_Sin%C3%BA.jpg")</f>
        <v/>
      </c>
    </row>
    <row r="166" ht="36.0" customHeight="1">
      <c r="A166" s="10" t="str">
        <f t="shared" si="29"/>
        <v>Maracome</v>
      </c>
      <c r="B166" s="11" t="s">
        <v>390</v>
      </c>
      <c r="C166" s="12">
        <v>46149.95292824074</v>
      </c>
      <c r="D166" s="11" t="s">
        <v>391</v>
      </c>
      <c r="E166" s="14" t="s">
        <v>29</v>
      </c>
      <c r="F166" s="14" t="s">
        <v>30</v>
      </c>
      <c r="G166" s="15" t="s">
        <v>17</v>
      </c>
      <c r="H166" s="15" t="s">
        <v>18</v>
      </c>
      <c r="I166" s="14" t="str">
        <f>IMAGE("https://upload.wikimedia.org/wikipedia/commons/6/69/Atardecer_R%C3%ADo_Sin%C3%BA_002.jpg")</f>
        <v/>
      </c>
    </row>
    <row r="167" ht="36.0" customHeight="1">
      <c r="A167" s="16" t="str">
        <f>HYPERLINK("https://commons.wikimedia.org/wiki/User:" &amp; ENCODEURL("Samitor05"), "Samitor05")</f>
        <v>Samitor05</v>
      </c>
      <c r="B167" s="17" t="s">
        <v>392</v>
      </c>
      <c r="C167" s="18">
        <v>46203.447233796294</v>
      </c>
      <c r="D167" s="17" t="s">
        <v>393</v>
      </c>
      <c r="E167" s="19" t="s">
        <v>29</v>
      </c>
      <c r="F167" s="19" t="s">
        <v>30</v>
      </c>
      <c r="G167" s="20" t="s">
        <v>17</v>
      </c>
      <c r="H167" s="20" t="s">
        <v>18</v>
      </c>
      <c r="I167" s="19" t="str">
        <f>IMAGE("https://upload.wikimedia.org/wikipedia/commons/d/df/Atardecer_Santuario_de_fauna_y_flora_Acand%C3%AD%2C_Play%C3%B3n_y_Playona.jpg")</f>
        <v/>
      </c>
    </row>
    <row r="168" ht="36.0" customHeight="1">
      <c r="A168" s="10" t="str">
        <f>HYPERLINK("https://commons.wikimedia.org/wiki/User:" &amp; ENCODEURL("NataMendietaOrtega"), "NataMendietaOrtega")</f>
        <v>NataMendietaOrtega</v>
      </c>
      <c r="B168" s="11" t="s">
        <v>394</v>
      </c>
      <c r="C168" s="12">
        <v>46163.53712962963</v>
      </c>
      <c r="D168" s="11" t="s">
        <v>395</v>
      </c>
      <c r="E168" s="14" t="s">
        <v>29</v>
      </c>
      <c r="F168" s="14" t="s">
        <v>30</v>
      </c>
      <c r="G168" s="15" t="s">
        <v>17</v>
      </c>
      <c r="H168" s="15" t="s">
        <v>18</v>
      </c>
      <c r="I168" s="14" t="str">
        <f>IMAGE("https://upload.wikimedia.org/wikipedia/commons/7/7b/Atardecer_bogota_sky_15_hilton_Bogot%C3%A1.jpg")</f>
        <v/>
      </c>
    </row>
    <row r="169" ht="36.0" customHeight="1">
      <c r="A169" s="16" t="str">
        <f t="shared" ref="A169:A171" si="30">HYPERLINK("https://commons.wikimedia.org/wiki/User:" &amp; ENCODEURL("Juanrapave"), "Juanrapave")</f>
        <v>Juanrapave</v>
      </c>
      <c r="B169" s="17" t="s">
        <v>396</v>
      </c>
      <c r="C169" s="18">
        <v>46166.31324074074</v>
      </c>
      <c r="D169" s="17" t="s">
        <v>397</v>
      </c>
      <c r="E169" s="19" t="s">
        <v>398</v>
      </c>
      <c r="F169" s="20" t="s">
        <v>16</v>
      </c>
      <c r="G169" s="20" t="s">
        <v>17</v>
      </c>
      <c r="H169" s="20" t="s">
        <v>18</v>
      </c>
      <c r="I169" s="19" t="str">
        <f>IMAGE("https://upload.wikimedia.org/wikipedia/commons/8/8a/Atardecer_cartagener_-_2.jpg")</f>
        <v/>
      </c>
    </row>
    <row r="170" ht="36.0" customHeight="1">
      <c r="A170" s="10" t="str">
        <f t="shared" si="30"/>
        <v>Juanrapave</v>
      </c>
      <c r="B170" s="11" t="s">
        <v>399</v>
      </c>
      <c r="C170" s="12">
        <v>46166.31321759259</v>
      </c>
      <c r="D170" s="11" t="s">
        <v>397</v>
      </c>
      <c r="E170" s="14" t="s">
        <v>400</v>
      </c>
      <c r="F170" s="15" t="s">
        <v>16</v>
      </c>
      <c r="G170" s="15" t="s">
        <v>17</v>
      </c>
      <c r="H170" s="15" t="s">
        <v>18</v>
      </c>
      <c r="I170" s="14" t="str">
        <f>IMAGE("https://upload.wikimedia.org/wikipedia/commons/7/7b/Atardecer_cartagenero_-_1.jpg")</f>
        <v/>
      </c>
    </row>
    <row r="171" ht="36.0" customHeight="1">
      <c r="A171" s="16" t="str">
        <f t="shared" si="30"/>
        <v>Juanrapave</v>
      </c>
      <c r="B171" s="17" t="s">
        <v>401</v>
      </c>
      <c r="C171" s="18">
        <v>46166.31327546296</v>
      </c>
      <c r="D171" s="17" t="s">
        <v>397</v>
      </c>
      <c r="E171" s="19" t="s">
        <v>402</v>
      </c>
      <c r="F171" s="20" t="s">
        <v>16</v>
      </c>
      <c r="G171" s="20" t="s">
        <v>17</v>
      </c>
      <c r="H171" s="20" t="s">
        <v>18</v>
      </c>
      <c r="I171" s="19" t="str">
        <f>IMAGE("https://upload.wikimedia.org/wikipedia/commons/e/e2/Atardecer_cartagenero_-_3.jpg")</f>
        <v/>
      </c>
    </row>
    <row r="172" ht="36.0" customHeight="1">
      <c r="A172" s="10" t="str">
        <f>HYPERLINK("https://commons.wikimedia.org/wiki/User:" &amp; ENCODEURL("Skzapato"), "Skzapato")</f>
        <v>Skzapato</v>
      </c>
      <c r="B172" s="11" t="s">
        <v>403</v>
      </c>
      <c r="C172" s="12">
        <v>46203.96695601852</v>
      </c>
      <c r="D172" s="11" t="s">
        <v>404</v>
      </c>
      <c r="E172" s="14" t="s">
        <v>29</v>
      </c>
      <c r="F172" s="14" t="s">
        <v>30</v>
      </c>
      <c r="G172" s="15" t="s">
        <v>17</v>
      </c>
      <c r="H172" s="15" t="s">
        <v>18</v>
      </c>
      <c r="I172" s="14" t="str">
        <f>IMAGE("https://upload.wikimedia.org/wikipedia/commons/c/ca/Atardecer_en_Bah%C3%ADa_Solano.jpg")</f>
        <v/>
      </c>
    </row>
    <row r="173" ht="36.0" customHeight="1">
      <c r="A173" s="16" t="str">
        <f>HYPERLINK("https://commons.wikimedia.org/wiki/User:" &amp; ENCODEURL("XRkstudiox"), "XRkstudiox")</f>
        <v>XRkstudiox</v>
      </c>
      <c r="B173" s="17" t="s">
        <v>405</v>
      </c>
      <c r="C173" s="18">
        <v>46203.71467592593</v>
      </c>
      <c r="D173" s="17" t="s">
        <v>406</v>
      </c>
      <c r="E173" s="19" t="s">
        <v>29</v>
      </c>
      <c r="F173" s="19" t="s">
        <v>30</v>
      </c>
      <c r="G173" s="20" t="s">
        <v>17</v>
      </c>
      <c r="H173" s="20" t="s">
        <v>18</v>
      </c>
      <c r="I173" s="19" t="str">
        <f>IMAGE("https://upload.wikimedia.org/wikipedia/commons/c/c2/Atardecer_en_Cartagena_-_Colombia.jpg")</f>
        <v/>
      </c>
    </row>
    <row r="174" ht="36.0" customHeight="1">
      <c r="A174" s="10" t="str">
        <f>HYPERLINK("https://commons.wikimedia.org/wiki/User:" &amp; ENCODEURL("Ibeths2026"), "Ibeths2026")</f>
        <v>Ibeths2026</v>
      </c>
      <c r="B174" s="11" t="s">
        <v>407</v>
      </c>
      <c r="C174" s="12">
        <v>46158.73479166667</v>
      </c>
      <c r="D174" s="11" t="s">
        <v>408</v>
      </c>
      <c r="E174" s="14" t="s">
        <v>29</v>
      </c>
      <c r="F174" s="14" t="s">
        <v>30</v>
      </c>
      <c r="G174" s="15" t="s">
        <v>17</v>
      </c>
      <c r="H174" s="15" t="s">
        <v>18</v>
      </c>
      <c r="I174" s="14" t="str">
        <f>IMAGE("https://upload.wikimedia.org/wikipedia/commons/9/9f/Atardecer_en_Cienaga_Magdalena.jpg")</f>
        <v/>
      </c>
    </row>
    <row r="175" ht="36.0" customHeight="1">
      <c r="A175" s="16" t="str">
        <f>HYPERLINK("https://commons.wikimedia.org/wiki/User:" &amp; ENCODEURL("Project5443"), "Project5443")</f>
        <v>Project5443</v>
      </c>
      <c r="B175" s="17" t="s">
        <v>409</v>
      </c>
      <c r="C175" s="18">
        <v>46163.52751157407</v>
      </c>
      <c r="D175" s="17" t="s">
        <v>410</v>
      </c>
      <c r="E175" s="19" t="s">
        <v>411</v>
      </c>
      <c r="F175" s="20" t="s">
        <v>16</v>
      </c>
      <c r="G175" s="20" t="s">
        <v>17</v>
      </c>
      <c r="H175" s="20" t="s">
        <v>18</v>
      </c>
      <c r="I175" s="19" t="str">
        <f>IMAGE("https://upload.wikimedia.org/wikipedia/commons/f/f0/Atardecer_en_Muelle_1888.jpg")</f>
        <v/>
      </c>
    </row>
    <row r="176" ht="36.0" customHeight="1">
      <c r="A176" s="10" t="str">
        <f>HYPERLINK("https://commons.wikimedia.org/wiki/User:" &amp; ENCODEURL("Willandre1194"), "Willandre1194")</f>
        <v>Willandre1194</v>
      </c>
      <c r="B176" s="11" t="s">
        <v>412</v>
      </c>
      <c r="C176" s="12">
        <v>46155.66087962963</v>
      </c>
      <c r="D176" s="11" t="s">
        <v>413</v>
      </c>
      <c r="E176" s="14" t="s">
        <v>29</v>
      </c>
      <c r="F176" s="14" t="s">
        <v>30</v>
      </c>
      <c r="G176" s="15" t="s">
        <v>17</v>
      </c>
      <c r="H176" s="15" t="s">
        <v>18</v>
      </c>
      <c r="I176" s="14" t="str">
        <f>IMAGE("https://upload.wikimedia.org/wikipedia/commons/9/9a/Atardecer_en_Pen%C3%ADnsula_de_Bar%C3%BA.jpg")</f>
        <v/>
      </c>
    </row>
    <row r="177" ht="36.0" customHeight="1">
      <c r="A177" s="16" t="str">
        <f>HYPERLINK("https://commons.wikimedia.org/wiki/User:" &amp; ENCODEURL("XRkstudiox"), "XRkstudiox")</f>
        <v>XRkstudiox</v>
      </c>
      <c r="B177" s="17" t="s">
        <v>414</v>
      </c>
      <c r="C177" s="18">
        <v>46203.71466435185</v>
      </c>
      <c r="D177" s="17" t="s">
        <v>415</v>
      </c>
      <c r="E177" s="19" t="s">
        <v>29</v>
      </c>
      <c r="F177" s="19" t="s">
        <v>30</v>
      </c>
      <c r="G177" s="20" t="s">
        <v>17</v>
      </c>
      <c r="H177" s="20" t="s">
        <v>18</v>
      </c>
      <c r="I177" s="19" t="str">
        <f>IMAGE("https://upload.wikimedia.org/wikipedia/commons/b/b8/Atardecer_en_Santa_Marta_Colombia.jpg")</f>
        <v/>
      </c>
    </row>
    <row r="178" ht="36.0" customHeight="1">
      <c r="A178" s="10" t="str">
        <f>HYPERLINK("https://commons.wikimedia.org/wiki/User:" &amp; ENCODEURL("VirginiaClavijo"), "VirginiaClavijo")</f>
        <v>VirginiaClavijo</v>
      </c>
      <c r="B178" s="11" t="s">
        <v>416</v>
      </c>
      <c r="C178" s="12">
        <v>46167.663981481484</v>
      </c>
      <c r="D178" s="11" t="s">
        <v>417</v>
      </c>
      <c r="E178" s="14" t="s">
        <v>29</v>
      </c>
      <c r="F178" s="14" t="s">
        <v>30</v>
      </c>
      <c r="G178" s="15" t="s">
        <v>17</v>
      </c>
      <c r="H178" s="15" t="s">
        <v>18</v>
      </c>
      <c r="I178" s="14" t="str">
        <f>IMAGE("https://upload.wikimedia.org/wikipedia/commons/e/ea/Atardecer_en_Tena_Cundinamarca_Colombia.jpg")</f>
        <v/>
      </c>
    </row>
    <row r="179" ht="36.0" customHeight="1">
      <c r="A179" s="16" t="str">
        <f>HYPERLINK("https://commons.wikimedia.org/wiki/User:" &amp; ENCODEURL("JuanitoCISF"), "JuanitoCISF")</f>
        <v>JuanitoCISF</v>
      </c>
      <c r="B179" s="17" t="s">
        <v>418</v>
      </c>
      <c r="C179" s="18">
        <v>46170.452627314815</v>
      </c>
      <c r="D179" s="17" t="s">
        <v>419</v>
      </c>
      <c r="E179" s="19" t="s">
        <v>420</v>
      </c>
      <c r="F179" s="20" t="s">
        <v>16</v>
      </c>
      <c r="G179" s="20" t="s">
        <v>17</v>
      </c>
      <c r="H179" s="20" t="s">
        <v>18</v>
      </c>
      <c r="I179" s="19" t="str">
        <f>IMAGE("https://upload.wikimedia.org/wikipedia/commons/a/ac/Atardecer_en_el_Caribe.jpg")</f>
        <v/>
      </c>
    </row>
    <row r="180" ht="36.0" customHeight="1">
      <c r="A180" s="10" t="str">
        <f>HYPERLINK("https://commons.wikimedia.org/wiki/User:" &amp; ENCODEURL("Maracome"), "Maracome")</f>
        <v>Maracome</v>
      </c>
      <c r="B180" s="11" t="s">
        <v>421</v>
      </c>
      <c r="C180" s="12">
        <v>46149.95292824074</v>
      </c>
      <c r="D180" s="11" t="s">
        <v>422</v>
      </c>
      <c r="E180" s="14" t="s">
        <v>29</v>
      </c>
      <c r="F180" s="14" t="s">
        <v>30</v>
      </c>
      <c r="G180" s="15" t="s">
        <v>17</v>
      </c>
      <c r="H180" s="15" t="s">
        <v>18</v>
      </c>
      <c r="I180" s="14" t="str">
        <f>IMAGE("https://upload.wikimedia.org/wikipedia/commons/b/be/Atardecer_en_el_R%C3%ADo%2C_Monter%C3%ADa%2C_C%C3%B3rdoba.jpg")</f>
        <v/>
      </c>
    </row>
    <row r="181" ht="36.0" customHeight="1">
      <c r="A181" s="16" t="str">
        <f>HYPERLINK("https://commons.wikimedia.org/wiki/User:" &amp; ENCODEURL("XRkstudiox"), "XRkstudiox")</f>
        <v>XRkstudiox</v>
      </c>
      <c r="B181" s="17" t="s">
        <v>423</v>
      </c>
      <c r="C181" s="18">
        <v>46203.714641203704</v>
      </c>
      <c r="D181" s="17" t="s">
        <v>415</v>
      </c>
      <c r="E181" s="19" t="s">
        <v>29</v>
      </c>
      <c r="F181" s="19" t="s">
        <v>30</v>
      </c>
      <c r="G181" s="20" t="s">
        <v>17</v>
      </c>
      <c r="H181" s="20" t="s">
        <v>18</v>
      </c>
      <c r="I181" s="19" t="str">
        <f>IMAGE("https://upload.wikimedia.org/wikipedia/commons/1/19/Atardecer_en_el_R%C3%ADo_In%C3%ADrida.jpg")</f>
        <v/>
      </c>
    </row>
    <row r="182" ht="36.0" customHeight="1">
      <c r="A182" s="10" t="str">
        <f>HYPERLINK("https://commons.wikimedia.org/wiki/User:" &amp; ENCODEURL("Maracome"), "Maracome")</f>
        <v>Maracome</v>
      </c>
      <c r="B182" s="11" t="s">
        <v>424</v>
      </c>
      <c r="C182" s="12">
        <v>46149.95295138889</v>
      </c>
      <c r="D182" s="11" t="s">
        <v>425</v>
      </c>
      <c r="E182" s="14" t="s">
        <v>29</v>
      </c>
      <c r="F182" s="14" t="s">
        <v>30</v>
      </c>
      <c r="G182" s="15" t="s">
        <v>17</v>
      </c>
      <c r="H182" s="15" t="s">
        <v>18</v>
      </c>
      <c r="I182" s="14" t="str">
        <f>IMAGE("https://upload.wikimedia.org/wikipedia/commons/f/fa/Atardecer_en_el_R%C3%ADo_Sin%C3%BA%2C_Monter%C3%ADa%2C_C%C3%B3rdoba.jpg")</f>
        <v/>
      </c>
    </row>
    <row r="183" ht="36.0" customHeight="1">
      <c r="A183" s="16" t="str">
        <f t="shared" ref="A183:A185" si="31">HYPERLINK("https://commons.wikimedia.org/wiki/User:" &amp; ENCODEURL("TeaBonsai"), "TeaBonsai")</f>
        <v>TeaBonsai</v>
      </c>
      <c r="B183" s="17" t="s">
        <v>426</v>
      </c>
      <c r="C183" s="18">
        <v>46193.389560185184</v>
      </c>
      <c r="D183" s="17" t="s">
        <v>427</v>
      </c>
      <c r="E183" s="19" t="s">
        <v>428</v>
      </c>
      <c r="F183" s="20" t="s">
        <v>16</v>
      </c>
      <c r="G183" s="20" t="s">
        <v>17</v>
      </c>
      <c r="H183" s="20" t="s">
        <v>18</v>
      </c>
      <c r="I183" s="19" t="str">
        <f>IMAGE("https://upload.wikimedia.org/wikipedia/commons/8/84/Atardecer_en_el_mar_caribe_en_Riohacha_en_2026.jpg")</f>
        <v/>
      </c>
    </row>
    <row r="184" ht="36.0" customHeight="1">
      <c r="A184" s="10" t="str">
        <f t="shared" si="31"/>
        <v>TeaBonsai</v>
      </c>
      <c r="B184" s="11" t="s">
        <v>429</v>
      </c>
      <c r="C184" s="12">
        <v>46193.38964120371</v>
      </c>
      <c r="D184" s="11" t="s">
        <v>430</v>
      </c>
      <c r="E184" s="14" t="s">
        <v>29</v>
      </c>
      <c r="F184" s="14" t="s">
        <v>30</v>
      </c>
      <c r="G184" s="15" t="s">
        <v>17</v>
      </c>
      <c r="H184" s="15" t="s">
        <v>18</v>
      </c>
      <c r="I184" s="14" t="str">
        <f>IMAGE("https://upload.wikimedia.org/wikipedia/commons/2/28/Atardecer_en_el_mar_caribe_en_Riohacha_en_2026_junio_12.jpg")</f>
        <v/>
      </c>
    </row>
    <row r="185" ht="36.0" customHeight="1">
      <c r="A185" s="16" t="str">
        <f t="shared" si="31"/>
        <v>TeaBonsai</v>
      </c>
      <c r="B185" s="17" t="s">
        <v>431</v>
      </c>
      <c r="C185" s="18">
        <v>46193.38960648148</v>
      </c>
      <c r="D185" s="17" t="s">
        <v>430</v>
      </c>
      <c r="E185" s="19" t="s">
        <v>428</v>
      </c>
      <c r="F185" s="20" t="s">
        <v>16</v>
      </c>
      <c r="G185" s="20" t="s">
        <v>17</v>
      </c>
      <c r="H185" s="20" t="s">
        <v>18</v>
      </c>
      <c r="I185" s="19" t="str">
        <f>IMAGE("https://upload.wikimedia.org/wikipedia/commons/1/14/Atardecer_en_el_mar_caribe_en_Riohacha_en_junio_de_2026.jpg")</f>
        <v/>
      </c>
    </row>
    <row r="186" ht="36.0" customHeight="1">
      <c r="A186" s="10" t="str">
        <f>HYPERLINK("https://commons.wikimedia.org/wiki/User:" &amp; ENCODEURL("Mar 21DS"), "Mar 21DS")</f>
        <v>Mar 21DS</v>
      </c>
      <c r="B186" s="11" t="s">
        <v>432</v>
      </c>
      <c r="C186" s="12">
        <v>46163.56664351852</v>
      </c>
      <c r="D186" s="11" t="s">
        <v>433</v>
      </c>
      <c r="E186" s="14" t="s">
        <v>29</v>
      </c>
      <c r="F186" s="14" t="s">
        <v>30</v>
      </c>
      <c r="G186" s="15" t="s">
        <v>17</v>
      </c>
      <c r="H186" s="15" t="s">
        <v>18</v>
      </c>
      <c r="I186" s="14" t="str">
        <f>IMAGE("https://upload.wikimedia.org/wikipedia/commons/4/4d/Atardecer_en_la_laguna_de_tomine.jpg")</f>
        <v/>
      </c>
    </row>
    <row r="187" ht="36.0" customHeight="1">
      <c r="A187" s="16" t="str">
        <f>HYPERLINK("https://commons.wikimedia.org/wiki/User:" &amp; ENCODEURL("Anvar2420"), "Anvar2420")</f>
        <v>Anvar2420</v>
      </c>
      <c r="B187" s="17" t="s">
        <v>434</v>
      </c>
      <c r="C187" s="18">
        <v>46163.55681712963</v>
      </c>
      <c r="D187" s="17" t="s">
        <v>435</v>
      </c>
      <c r="E187" s="19" t="s">
        <v>29</v>
      </c>
      <c r="F187" s="19" t="s">
        <v>30</v>
      </c>
      <c r="G187" s="20" t="s">
        <v>17</v>
      </c>
      <c r="H187" s="20" t="s">
        <v>18</v>
      </c>
      <c r="I187" s="19" t="str">
        <f>IMAGE("https://upload.wikimedia.org/wikipedia/commons/8/85/Atardecer_llanero_-_Casanare.jpg")</f>
        <v/>
      </c>
    </row>
    <row r="188" ht="36.0" customHeight="1">
      <c r="A188" s="10" t="str">
        <f>HYPERLINK("https://commons.wikimedia.org/wiki/User:" &amp; ENCODEURL("Mig.ast20"), "Mig.ast20")</f>
        <v>Mig.ast20</v>
      </c>
      <c r="B188" s="11" t="s">
        <v>436</v>
      </c>
      <c r="C188" s="12">
        <v>46163.57013888889</v>
      </c>
      <c r="D188" s="11" t="s">
        <v>437</v>
      </c>
      <c r="E188" s="14" t="s">
        <v>29</v>
      </c>
      <c r="F188" s="14" t="s">
        <v>30</v>
      </c>
      <c r="G188" s="15" t="s">
        <v>17</v>
      </c>
      <c r="H188" s="15" t="s">
        <v>18</v>
      </c>
      <c r="I188" s="14" t="str">
        <f>IMAGE("https://upload.wikimedia.org/wikipedia/commons/0/02/Atardecer_playa_llanera.jpg")</f>
        <v/>
      </c>
    </row>
    <row r="189" ht="36.0" customHeight="1">
      <c r="A189" s="16" t="str">
        <f>HYPERLINK("https://commons.wikimedia.org/wiki/User:" &amp; ENCODEURL("Allysami2215"), "Allysami2215")</f>
        <v>Allysami2215</v>
      </c>
      <c r="B189" s="17" t="s">
        <v>438</v>
      </c>
      <c r="C189" s="18">
        <v>46147.851851851854</v>
      </c>
      <c r="D189" s="17" t="s">
        <v>439</v>
      </c>
      <c r="E189" s="19" t="s">
        <v>29</v>
      </c>
      <c r="F189" s="19" t="s">
        <v>30</v>
      </c>
      <c r="G189" s="20" t="s">
        <v>17</v>
      </c>
      <c r="H189" s="20" t="s">
        <v>18</v>
      </c>
      <c r="I189" s="19" t="str">
        <f>IMAGE("https://upload.wikimedia.org/wikipedia/commons/4/4d/Atardecer_quimbaya-quindio.jpg")</f>
        <v/>
      </c>
    </row>
    <row r="190" ht="36.0" customHeight="1">
      <c r="A190" s="10" t="str">
        <f>HYPERLINK("https://commons.wikimedia.org/wiki/User:" &amp; ENCODEURL("Mig.ast20"), "Mig.ast20")</f>
        <v>Mig.ast20</v>
      </c>
      <c r="B190" s="11" t="s">
        <v>440</v>
      </c>
      <c r="C190" s="12">
        <v>46163.570023148146</v>
      </c>
      <c r="D190" s="11" t="s">
        <v>441</v>
      </c>
      <c r="E190" s="14" t="s">
        <v>29</v>
      </c>
      <c r="F190" s="14" t="s">
        <v>30</v>
      </c>
      <c r="G190" s="15" t="s">
        <v>17</v>
      </c>
      <c r="H190" s="15" t="s">
        <v>18</v>
      </c>
      <c r="I190" s="14" t="str">
        <f>IMAGE("https://upload.wikimedia.org/wikipedia/commons/7/71/Atardecer_sobre_rio.jpg")</f>
        <v/>
      </c>
    </row>
    <row r="191" ht="36.0" customHeight="1">
      <c r="A191" s="16" t="str">
        <f>HYPERLINK("https://commons.wikimedia.org/wiki/User:" &amp; ENCODEURL("Easlava7"), "Easlava7")</f>
        <v>Easlava7</v>
      </c>
      <c r="B191" s="17" t="s">
        <v>442</v>
      </c>
      <c r="C191" s="18">
        <v>46163.5546412037</v>
      </c>
      <c r="D191" s="17" t="s">
        <v>443</v>
      </c>
      <c r="E191" s="19" t="s">
        <v>29</v>
      </c>
      <c r="F191" s="19" t="s">
        <v>30</v>
      </c>
      <c r="G191" s="20" t="s">
        <v>17</v>
      </c>
      <c r="H191" s="20" t="s">
        <v>18</v>
      </c>
      <c r="I191" s="19" t="str">
        <f>IMAGE("https://upload.wikimedia.org/wikipedia/commons/6/66/Atardecer_universidad_Nacional.jpg")</f>
        <v/>
      </c>
    </row>
    <row r="192" ht="36.0" customHeight="1">
      <c r="A192" s="10" t="str">
        <f>HYPERLINK("https://commons.wikimedia.org/wiki/User:" &amp; ENCODEURL("Supertita"), "Supertita")</f>
        <v>Supertita</v>
      </c>
      <c r="B192" s="11" t="s">
        <v>444</v>
      </c>
      <c r="C192" s="12">
        <v>46192.754837962966</v>
      </c>
      <c r="D192" s="11" t="s">
        <v>445</v>
      </c>
      <c r="E192" s="14" t="s">
        <v>446</v>
      </c>
      <c r="F192" s="15" t="s">
        <v>16</v>
      </c>
      <c r="G192" s="15" t="s">
        <v>17</v>
      </c>
      <c r="H192" s="15" t="s">
        <v>18</v>
      </c>
      <c r="I192" s="14" t="str">
        <f>IMAGE("https://upload.wikimedia.org/wikipedia/commons/3/3f/Atardecer_visto_desde_San_Francisco%2C_Cundinamarca.jpg")</f>
        <v/>
      </c>
    </row>
    <row r="193" ht="36.0" customHeight="1">
      <c r="A193" s="16" t="str">
        <f>HYPERLINK("https://commons.wikimedia.org/wiki/User:" &amp; ENCODEURL("Allysami2215"), "Allysami2215")</f>
        <v>Allysami2215</v>
      </c>
      <c r="B193" s="17" t="s">
        <v>447</v>
      </c>
      <c r="C193" s="18">
        <v>46147.851956018516</v>
      </c>
      <c r="D193" s="17" t="s">
        <v>448</v>
      </c>
      <c r="E193" s="19" t="s">
        <v>29</v>
      </c>
      <c r="F193" s="19" t="s">
        <v>30</v>
      </c>
      <c r="G193" s="20" t="s">
        <v>17</v>
      </c>
      <c r="H193" s="20" t="s">
        <v>18</v>
      </c>
      <c r="I193" s="19" t="str">
        <f>IMAGE("https://upload.wikimedia.org/wikipedia/commons/8/87/Atardecer_yopal.jpg")</f>
        <v/>
      </c>
    </row>
    <row r="194" ht="36.0" customHeight="1">
      <c r="A194" s="10" t="str">
        <f t="shared" ref="A194:A197" si="32">HYPERLINK("https://commons.wikimedia.org/wiki/User:" &amp; ENCODEURL("Diferoch"), "Diferoch")</f>
        <v>Diferoch</v>
      </c>
      <c r="B194" s="11" t="s">
        <v>449</v>
      </c>
      <c r="C194" s="12">
        <v>46190.94084490741</v>
      </c>
      <c r="D194" s="11" t="s">
        <v>450</v>
      </c>
      <c r="E194" s="14" t="s">
        <v>451</v>
      </c>
      <c r="F194" s="15" t="s">
        <v>16</v>
      </c>
      <c r="G194" s="15" t="s">
        <v>17</v>
      </c>
      <c r="H194" s="15" t="s">
        <v>18</v>
      </c>
      <c r="I194" s="14" t="str">
        <f>IMAGE("https://upload.wikimedia.org/wikipedia/commons/e/eb/Ateles_hybridus_-_Cimitarra%2C_Santander%2C_Colombia_-_01_Oct_2025_-_Diferoch.jpg")</f>
        <v/>
      </c>
    </row>
    <row r="195" ht="36.0" customHeight="1">
      <c r="A195" s="16" t="str">
        <f t="shared" si="32"/>
        <v>Diferoch</v>
      </c>
      <c r="B195" s="17" t="s">
        <v>452</v>
      </c>
      <c r="C195" s="18">
        <v>46190.84471064815</v>
      </c>
      <c r="D195" s="17" t="s">
        <v>453</v>
      </c>
      <c r="E195" s="19" t="s">
        <v>454</v>
      </c>
      <c r="F195" s="20" t="s">
        <v>16</v>
      </c>
      <c r="G195" s="20" t="s">
        <v>17</v>
      </c>
      <c r="H195" s="20" t="s">
        <v>18</v>
      </c>
      <c r="I195" s="19" t="str">
        <f>IMAGE("https://upload.wikimedia.org/wikipedia/commons/4/46/Ateles_hybridus_-_Cimitarra%2C_Santander%2C_Colombia_-_30_Sep_2025_-_Diferoch_-_1.jpg")</f>
        <v/>
      </c>
    </row>
    <row r="196" ht="36.0" customHeight="1">
      <c r="A196" s="10" t="str">
        <f t="shared" si="32"/>
        <v>Diferoch</v>
      </c>
      <c r="B196" s="11" t="s">
        <v>455</v>
      </c>
      <c r="C196" s="12">
        <v>46190.84474537037</v>
      </c>
      <c r="D196" s="11" t="s">
        <v>453</v>
      </c>
      <c r="E196" s="14" t="s">
        <v>456</v>
      </c>
      <c r="F196" s="15" t="s">
        <v>16</v>
      </c>
      <c r="G196" s="15" t="s">
        <v>17</v>
      </c>
      <c r="H196" s="15" t="s">
        <v>18</v>
      </c>
      <c r="I196" s="14" t="str">
        <f>IMAGE("https://upload.wikimedia.org/wikipedia/commons/f/f8/Ateles_hybridus_-_Cimitarra%2C_Santander%2C_Colombia_-_30_Sep_2025_-_Diferoch_-_2.jpg")</f>
        <v/>
      </c>
    </row>
    <row r="197" ht="36.0" customHeight="1">
      <c r="A197" s="16" t="str">
        <f t="shared" si="32"/>
        <v>Diferoch</v>
      </c>
      <c r="B197" s="17" t="s">
        <v>457</v>
      </c>
      <c r="C197" s="18">
        <v>46190.84476851852</v>
      </c>
      <c r="D197" s="17" t="s">
        <v>458</v>
      </c>
      <c r="E197" s="19" t="s">
        <v>459</v>
      </c>
      <c r="F197" s="20" t="s">
        <v>16</v>
      </c>
      <c r="G197" s="20" t="s">
        <v>17</v>
      </c>
      <c r="H197" s="20" t="s">
        <v>18</v>
      </c>
      <c r="I197" s="19" t="str">
        <f>IMAGE("https://upload.wikimedia.org/wikipedia/commons/c/c3/Ateles_hybridus_-_Cimitarra%2C_Santander%2C_Colombia_-_30_Sep_2025_-_Diferoch_-_3.jpg")</f>
        <v/>
      </c>
    </row>
    <row r="198" ht="36.0" customHeight="1">
      <c r="A198" s="10" t="str">
        <f>HYPERLINK("https://commons.wikimedia.org/wiki/User:" &amp; ENCODEURL("Supertita"), "Supertita")</f>
        <v>Supertita</v>
      </c>
      <c r="B198" s="11" t="s">
        <v>460</v>
      </c>
      <c r="C198" s="12">
        <v>46192.65456018518</v>
      </c>
      <c r="D198" s="11" t="s">
        <v>461</v>
      </c>
      <c r="E198" s="14" t="s">
        <v>249</v>
      </c>
      <c r="F198" s="15" t="s">
        <v>16</v>
      </c>
      <c r="G198" s="15" t="s">
        <v>17</v>
      </c>
      <c r="H198" s="15" t="s">
        <v>18</v>
      </c>
      <c r="I198" s="14" t="str">
        <f>IMAGE("https://upload.wikimedia.org/wikipedia/commons/c/c7/Atelopus_laetissimus-especie_endemica_de_Colombia.jpg")</f>
        <v/>
      </c>
    </row>
    <row r="199" ht="36.0" customHeight="1">
      <c r="A199" s="16" t="str">
        <f t="shared" ref="A199:A200" si="33">HYPERLINK("https://commons.wikimedia.org/wiki/User:" &amp; ENCODEURL("Johan Andrés Toro"), "Johan Andrés Toro")</f>
        <v>Johan Andrés Toro</v>
      </c>
      <c r="B199" s="17" t="s">
        <v>462</v>
      </c>
      <c r="C199" s="18">
        <v>46171.87667824074</v>
      </c>
      <c r="D199" s="17" t="s">
        <v>463</v>
      </c>
      <c r="E199" s="19" t="s">
        <v>29</v>
      </c>
      <c r="F199" s="19" t="s">
        <v>30</v>
      </c>
      <c r="G199" s="20" t="s">
        <v>17</v>
      </c>
      <c r="H199" s="20" t="s">
        <v>18</v>
      </c>
      <c r="I199" s="19" t="str">
        <f>IMAGE("https://upload.wikimedia.org/wikipedia/commons/5/5a/Atm%C3%B3sfera_brumosa_y_luz_solar_filtrada_sobre_laguna_de_Sumapaz.jpg")</f>
        <v/>
      </c>
    </row>
    <row r="200" ht="36.0" customHeight="1">
      <c r="A200" s="10" t="str">
        <f t="shared" si="33"/>
        <v>Johan Andrés Toro</v>
      </c>
      <c r="B200" s="11" t="s">
        <v>464</v>
      </c>
      <c r="C200" s="12">
        <v>46171.62709490741</v>
      </c>
      <c r="D200" s="11" t="s">
        <v>465</v>
      </c>
      <c r="E200" s="14" t="s">
        <v>466</v>
      </c>
      <c r="F200" s="15" t="s">
        <v>16</v>
      </c>
      <c r="G200" s="15" t="s">
        <v>17</v>
      </c>
      <c r="H200" s="15" t="s">
        <v>18</v>
      </c>
      <c r="I200" s="14" t="str">
        <f>IMAGE("https://upload.wikimedia.org/wikipedia/commons/4/4c/Atm%C3%B3sfera_m%C3%ADstica_y_niebla_en_el_ca%C3%B1%C3%B3n_del_Tequendama.jpg")</f>
        <v/>
      </c>
    </row>
    <row r="201" ht="36.0" customHeight="1">
      <c r="A201" s="16" t="str">
        <f t="shared" ref="A201:A202" si="34">HYPERLINK("https://commons.wikimedia.org/wiki/User:" &amp; ENCODEURL("Rodobuñuel"), "Rodobuñuel")</f>
        <v>Rodobuñuel</v>
      </c>
      <c r="B201" s="17" t="s">
        <v>467</v>
      </c>
      <c r="C201" s="18">
        <v>46203.84087962963</v>
      </c>
      <c r="D201" s="17" t="s">
        <v>468</v>
      </c>
      <c r="E201" s="19" t="s">
        <v>469</v>
      </c>
      <c r="F201" s="20" t="s">
        <v>16</v>
      </c>
      <c r="G201" s="20" t="s">
        <v>17</v>
      </c>
      <c r="H201" s="20" t="s">
        <v>18</v>
      </c>
      <c r="I201" s="19" t="str">
        <f>IMAGE("https://upload.wikimedia.org/wikipedia/commons/c/c0/Ave_de_Salento.jpg")</f>
        <v/>
      </c>
    </row>
    <row r="202" ht="36.0" customHeight="1">
      <c r="A202" s="10" t="str">
        <f t="shared" si="34"/>
        <v>Rodobuñuel</v>
      </c>
      <c r="B202" s="11" t="s">
        <v>470</v>
      </c>
      <c r="C202" s="12">
        <v>46203.836643518516</v>
      </c>
      <c r="D202" s="11" t="s">
        <v>471</v>
      </c>
      <c r="E202" s="14" t="s">
        <v>29</v>
      </c>
      <c r="F202" s="14" t="s">
        <v>30</v>
      </c>
      <c r="G202" s="15" t="s">
        <v>17</v>
      </c>
      <c r="H202" s="15" t="s">
        <v>18</v>
      </c>
      <c r="I202" s="14" t="str">
        <f>IMAGE("https://upload.wikimedia.org/wikipedia/commons/3/3e/Ave_del_para%C3%ADso_Manizales.jpg")</f>
        <v/>
      </c>
    </row>
    <row r="203" ht="36.0" customHeight="1">
      <c r="A203" s="16" t="str">
        <f>HYPERLINK("https://commons.wikimedia.org/wiki/User:" &amp; ENCODEURL("Johan Andrés Toro"), "Johan Andrés Toro")</f>
        <v>Johan Andrés Toro</v>
      </c>
      <c r="B203" s="17" t="s">
        <v>472</v>
      </c>
      <c r="C203" s="18">
        <v>46171.55550925926</v>
      </c>
      <c r="D203" s="17" t="s">
        <v>473</v>
      </c>
      <c r="E203" s="19" t="s">
        <v>29</v>
      </c>
      <c r="F203" s="19" t="s">
        <v>30</v>
      </c>
      <c r="G203" s="20" t="s">
        <v>17</v>
      </c>
      <c r="H203" s="20" t="s">
        <v>18</v>
      </c>
      <c r="I203" s="19" t="str">
        <f>IMAGE("https://upload.wikimedia.org/wikipedia/commons/e/ef/Ave_ribere%C3%B1a_en_el_ecosistema_del_R%C3%ADo_Magdalena.jpg")</f>
        <v/>
      </c>
    </row>
    <row r="204" ht="36.0" customHeight="1">
      <c r="A204" s="10" t="str">
        <f t="shared" ref="A204:A205" si="35">HYPERLINK("https://commons.wikimedia.org/wiki/User:" &amp; ENCODEURL("Pperafan"), "Pperafan")</f>
        <v>Pperafan</v>
      </c>
      <c r="B204" s="11" t="s">
        <v>474</v>
      </c>
      <c r="C204" s="12">
        <v>46201.935648148145</v>
      </c>
      <c r="D204" s="11" t="s">
        <v>475</v>
      </c>
      <c r="E204" s="14" t="s">
        <v>29</v>
      </c>
      <c r="F204" s="14" t="s">
        <v>30</v>
      </c>
      <c r="G204" s="15" t="s">
        <v>17</v>
      </c>
      <c r="H204" s="15" t="s">
        <v>18</v>
      </c>
      <c r="I204" s="14" t="str">
        <f>IMAGE("https://upload.wikimedia.org/wikipedia/commons/2/2e/Aves_de_Cali.jpg")</f>
        <v/>
      </c>
    </row>
    <row r="205" ht="36.0" customHeight="1">
      <c r="A205" s="16" t="str">
        <f t="shared" si="35"/>
        <v>Pperafan</v>
      </c>
      <c r="B205" s="17" t="s">
        <v>476</v>
      </c>
      <c r="C205" s="18">
        <v>46201.93571759259</v>
      </c>
      <c r="D205" s="17" t="s">
        <v>477</v>
      </c>
      <c r="E205" s="19" t="s">
        <v>29</v>
      </c>
      <c r="F205" s="19" t="s">
        <v>30</v>
      </c>
      <c r="G205" s="20" t="s">
        <v>17</v>
      </c>
      <c r="H205" s="20" t="s">
        <v>18</v>
      </c>
      <c r="I205" s="19" t="str">
        <f>IMAGE("https://upload.wikimedia.org/wikipedia/commons/5/5a/Aves_urbanas.jpg")</f>
        <v/>
      </c>
    </row>
    <row r="206" ht="36.0" customHeight="1">
      <c r="A206" s="10" t="str">
        <f>HYPERLINK("https://commons.wikimedia.org/wiki/User:" &amp; ENCODEURL("Johan Andrés Toro"), "Johan Andrés Toro")</f>
        <v>Johan Andrés Toro</v>
      </c>
      <c r="B206" s="11" t="s">
        <v>478</v>
      </c>
      <c r="C206" s="12">
        <v>46171.555625</v>
      </c>
      <c r="D206" s="11" t="s">
        <v>479</v>
      </c>
      <c r="E206" s="14" t="s">
        <v>29</v>
      </c>
      <c r="F206" s="14" t="s">
        <v>30</v>
      </c>
      <c r="G206" s="15" t="s">
        <v>17</v>
      </c>
      <c r="H206" s="15" t="s">
        <v>18</v>
      </c>
      <c r="I206" s="14" t="str">
        <f>IMAGE("https://upload.wikimedia.org/wikipedia/commons/a/a4/Avicultura_de_peque%C3%B1a_escala_en_el_entorno_rural_del_Magdalena.jpg")</f>
        <v/>
      </c>
    </row>
    <row r="207" ht="36.0" customHeight="1">
      <c r="A207" s="16" t="str">
        <f t="shared" ref="A207:A211" si="36">HYPERLINK("https://commons.wikimedia.org/wiki/User:" &amp; ENCODEURL("Anrit71"), "Anrit71")</f>
        <v>Anrit71</v>
      </c>
      <c r="B207" s="17" t="s">
        <v>480</v>
      </c>
      <c r="C207" s="18">
        <v>46153.72862268519</v>
      </c>
      <c r="D207" s="17" t="s">
        <v>481</v>
      </c>
      <c r="E207" s="19" t="s">
        <v>29</v>
      </c>
      <c r="F207" s="19" t="s">
        <v>30</v>
      </c>
      <c r="G207" s="20" t="s">
        <v>17</v>
      </c>
      <c r="H207" s="20" t="s">
        <v>18</v>
      </c>
      <c r="I207" s="19" t="str">
        <f>IMAGE("https://upload.wikimedia.org/wikipedia/commons/6/6f/Avifauna_Cienaga_de_Malambo_01.jpg")</f>
        <v/>
      </c>
    </row>
    <row r="208" ht="36.0" customHeight="1">
      <c r="A208" s="10" t="str">
        <f t="shared" si="36"/>
        <v>Anrit71</v>
      </c>
      <c r="B208" s="11" t="s">
        <v>482</v>
      </c>
      <c r="C208" s="12">
        <v>46153.72871527778</v>
      </c>
      <c r="D208" s="11" t="s">
        <v>481</v>
      </c>
      <c r="E208" s="14" t="s">
        <v>29</v>
      </c>
      <c r="F208" s="14" t="s">
        <v>30</v>
      </c>
      <c r="G208" s="15" t="s">
        <v>17</v>
      </c>
      <c r="H208" s="15" t="s">
        <v>18</v>
      </c>
      <c r="I208" s="14" t="str">
        <f>IMAGE("https://upload.wikimedia.org/wikipedia/commons/d/dd/Avifauna_Cienaga_de_Malambo_02.webp")</f>
        <v/>
      </c>
    </row>
    <row r="209" ht="36.0" customHeight="1">
      <c r="A209" s="16" t="str">
        <f t="shared" si="36"/>
        <v>Anrit71</v>
      </c>
      <c r="B209" s="17" t="s">
        <v>483</v>
      </c>
      <c r="C209" s="18">
        <v>46153.728634259256</v>
      </c>
      <c r="D209" s="17" t="s">
        <v>481</v>
      </c>
      <c r="E209" s="19" t="s">
        <v>29</v>
      </c>
      <c r="F209" s="19" t="s">
        <v>30</v>
      </c>
      <c r="G209" s="20" t="s">
        <v>17</v>
      </c>
      <c r="H209" s="20" t="s">
        <v>18</v>
      </c>
      <c r="I209" s="19" t="str">
        <f>IMAGE("https://upload.wikimedia.org/wikipedia/commons/1/1a/Avifauna_Cienaga_de_Malambo_03.jpg")</f>
        <v/>
      </c>
    </row>
    <row r="210" ht="36.0" customHeight="1">
      <c r="A210" s="10" t="str">
        <f t="shared" si="36"/>
        <v>Anrit71</v>
      </c>
      <c r="B210" s="11" t="s">
        <v>484</v>
      </c>
      <c r="C210" s="12">
        <v>46153.72869212963</v>
      </c>
      <c r="D210" s="11" t="s">
        <v>481</v>
      </c>
      <c r="E210" s="14" t="s">
        <v>29</v>
      </c>
      <c r="F210" s="14" t="s">
        <v>30</v>
      </c>
      <c r="G210" s="15" t="s">
        <v>17</v>
      </c>
      <c r="H210" s="15" t="s">
        <v>18</v>
      </c>
      <c r="I210" s="14" t="str">
        <f>IMAGE("https://upload.wikimedia.org/wikipedia/commons/a/a6/Avifauna_Cienaga_de_Malambo_04.jpg")</f>
        <v/>
      </c>
    </row>
    <row r="211" ht="36.0" customHeight="1">
      <c r="A211" s="16" t="str">
        <f t="shared" si="36"/>
        <v>Anrit71</v>
      </c>
      <c r="B211" s="17" t="s">
        <v>485</v>
      </c>
      <c r="C211" s="18">
        <v>46153.7287037037</v>
      </c>
      <c r="D211" s="17" t="s">
        <v>481</v>
      </c>
      <c r="E211" s="19" t="s">
        <v>29</v>
      </c>
      <c r="F211" s="19" t="s">
        <v>30</v>
      </c>
      <c r="G211" s="20" t="s">
        <v>17</v>
      </c>
      <c r="H211" s="20" t="s">
        <v>18</v>
      </c>
      <c r="I211" s="19" t="str">
        <f>IMAGE("https://upload.wikimedia.org/wikipedia/commons/e/ed/Avifauna_Cienaga_de_Malambo_05.jpg")</f>
        <v/>
      </c>
    </row>
    <row r="212" ht="36.0" customHeight="1">
      <c r="A212" s="10" t="str">
        <f>HYPERLINK("https://commons.wikimedia.org/wiki/User:" &amp; ENCODEURL("Johan Andrés Toro"), "Johan Andrés Toro")</f>
        <v>Johan Andrés Toro</v>
      </c>
      <c r="B212" s="11" t="s">
        <v>486</v>
      </c>
      <c r="C212" s="12">
        <v>46171.87679398148</v>
      </c>
      <c r="D212" s="11" t="s">
        <v>487</v>
      </c>
      <c r="E212" s="14" t="s">
        <v>29</v>
      </c>
      <c r="F212" s="14" t="s">
        <v>30</v>
      </c>
      <c r="G212" s="15" t="s">
        <v>17</v>
      </c>
      <c r="H212" s="15" t="s">
        <v>18</v>
      </c>
      <c r="I212" s="14" t="str">
        <f>IMAGE("https://upload.wikimedia.org/wikipedia/commons/2/2f/Avifauna_de_alta_monta%C3%B1a_en_el_P%C3%A1ramo_de_Sumapaz.jpg")</f>
        <v/>
      </c>
    </row>
    <row r="213" ht="36.0" customHeight="1">
      <c r="A213" s="16" t="str">
        <f>HYPERLINK("https://commons.wikimedia.org/wiki/User:" &amp; ENCODEURL("AmiGueko"), "AmiGueko")</f>
        <v>AmiGueko</v>
      </c>
      <c r="B213" s="17" t="s">
        <v>488</v>
      </c>
      <c r="C213" s="18">
        <v>46203.816087962965</v>
      </c>
      <c r="D213" s="17" t="s">
        <v>489</v>
      </c>
      <c r="E213" s="19" t="s">
        <v>490</v>
      </c>
      <c r="F213" s="20" t="s">
        <v>16</v>
      </c>
      <c r="G213" s="20" t="s">
        <v>17</v>
      </c>
      <c r="H213" s="20" t="s">
        <v>18</v>
      </c>
      <c r="I213" s="19" t="str">
        <f>IMAGE("https://upload.wikimedia.org/wikipedia/commons/3/30/Avispa_caza_tar%C3%A1ntula.jpg")</f>
        <v/>
      </c>
    </row>
    <row r="214" ht="36.0" customHeight="1">
      <c r="A214" s="10" t="str">
        <f t="shared" ref="A214:A215" si="37">HYPERLINK("https://commons.wikimedia.org/wiki/User:" &amp; ENCODEURL("Rodrigomacrophoto"), "Rodrigomacrophoto")</f>
        <v>Rodrigomacrophoto</v>
      </c>
      <c r="B214" s="11" t="s">
        <v>491</v>
      </c>
      <c r="C214" s="12">
        <v>46196.61181712963</v>
      </c>
      <c r="D214" s="11" t="s">
        <v>492</v>
      </c>
      <c r="E214" s="14" t="s">
        <v>44</v>
      </c>
      <c r="F214" s="15" t="s">
        <v>16</v>
      </c>
      <c r="G214" s="15" t="s">
        <v>17</v>
      </c>
      <c r="H214" s="15" t="s">
        <v>18</v>
      </c>
      <c r="I214" s="14" t="str">
        <f>IMAGE("https://upload.wikimedia.org/wikipedia/commons/1/18/Avispa_cazadora_de_tarantulas%2C_genero_Pepsis.jpg")</f>
        <v/>
      </c>
    </row>
    <row r="215" ht="36.0" customHeight="1">
      <c r="A215" s="16" t="str">
        <f t="shared" si="37"/>
        <v>Rodrigomacrophoto</v>
      </c>
      <c r="B215" s="17" t="s">
        <v>493</v>
      </c>
      <c r="C215" s="18">
        <v>46146.83771990741</v>
      </c>
      <c r="D215" s="17" t="s">
        <v>494</v>
      </c>
      <c r="E215" s="19" t="s">
        <v>29</v>
      </c>
      <c r="F215" s="19" t="s">
        <v>30</v>
      </c>
      <c r="G215" s="20" t="s">
        <v>17</v>
      </c>
      <c r="H215" s="20" t="s">
        <v>18</v>
      </c>
      <c r="I215" s="19" t="str">
        <f>IMAGE("https://upload.wikimedia.org/wikipedia/commons/c/c7/Avispas_cazadoras_de_tarantulas._Pepsis_sp.jpg")</f>
        <v/>
      </c>
    </row>
    <row r="216" ht="36.0" customHeight="1">
      <c r="A216" s="10" t="str">
        <f>HYPERLINK("https://commons.wikimedia.org/wiki/User:" &amp; ENCODEURL("Halleyuncometafotografo"), "Halleyuncometafotografo")</f>
        <v>Halleyuncometafotografo</v>
      </c>
      <c r="B216" s="11" t="s">
        <v>495</v>
      </c>
      <c r="C216" s="12">
        <v>46203.898506944446</v>
      </c>
      <c r="D216" s="11" t="s">
        <v>496</v>
      </c>
      <c r="E216" s="14" t="s">
        <v>29</v>
      </c>
      <c r="F216" s="14" t="s">
        <v>30</v>
      </c>
      <c r="G216" s="15" t="s">
        <v>17</v>
      </c>
      <c r="H216" s="15" t="s">
        <v>18</v>
      </c>
      <c r="I216" s="14" t="str">
        <f>IMAGE("https://upload.wikimedia.org/wikipedia/commons/1/19/Azul_entre_sombras.jpg")</f>
        <v/>
      </c>
    </row>
    <row r="217" ht="36.0" customHeight="1">
      <c r="A217" s="16" t="str">
        <f>HYPERLINK("https://commons.wikimedia.org/wiki/User:" &amp; ENCODEURL("JJCL09"), "JJCL09")</f>
        <v>JJCL09</v>
      </c>
      <c r="B217" s="17" t="s">
        <v>497</v>
      </c>
      <c r="C217" s="18">
        <v>46147.881585648145</v>
      </c>
      <c r="D217" s="17" t="s">
        <v>498</v>
      </c>
      <c r="E217" s="19" t="s">
        <v>499</v>
      </c>
      <c r="F217" s="20" t="s">
        <v>16</v>
      </c>
      <c r="G217" s="20" t="s">
        <v>17</v>
      </c>
      <c r="H217" s="20" t="s">
        <v>18</v>
      </c>
      <c r="I217" s="19" t="str">
        <f>IMAGE("https://upload.wikimedia.org/wikipedia/commons/c/cf/Azul_y_mi_verde.jpg")</f>
        <v/>
      </c>
    </row>
    <row r="218" ht="36.0" customHeight="1">
      <c r="A218" s="10" t="str">
        <f>HYPERLINK("https://commons.wikimedia.org/wiki/User:" &amp; ENCODEURL("CHAVESJUAN19"), "CHAVESJUAN19")</f>
        <v>CHAVESJUAN19</v>
      </c>
      <c r="B218" s="11" t="s">
        <v>500</v>
      </c>
      <c r="C218" s="12">
        <v>46203.96225694445</v>
      </c>
      <c r="D218" s="11" t="s">
        <v>501</v>
      </c>
      <c r="E218" s="14" t="s">
        <v>29</v>
      </c>
      <c r="F218" s="14" t="s">
        <v>30</v>
      </c>
      <c r="G218" s="15" t="s">
        <v>17</v>
      </c>
      <c r="H218" s="15" t="s">
        <v>18</v>
      </c>
      <c r="I218" s="14" t="str">
        <f>IMAGE("https://upload.wikimedia.org/wikipedia/commons/5/53/Az%C3%BAcar_del_pan_-_PNN_Sierra_Nevada_Guican.jpg")</f>
        <v/>
      </c>
    </row>
    <row r="219" ht="36.0" customHeight="1">
      <c r="A219" s="16" t="str">
        <f>HYPERLINK("https://commons.wikimedia.org/wiki/User:" &amp; ENCODEURL("Juli 2000 her"), "Juli 2000 her")</f>
        <v>Juli 2000 her</v>
      </c>
      <c r="B219" s="17" t="s">
        <v>502</v>
      </c>
      <c r="C219" s="18">
        <v>46189.05458333333</v>
      </c>
      <c r="D219" s="17" t="s">
        <v>503</v>
      </c>
      <c r="E219" s="19" t="s">
        <v>29</v>
      </c>
      <c r="F219" s="19" t="s">
        <v>30</v>
      </c>
      <c r="G219" s="20" t="s">
        <v>17</v>
      </c>
      <c r="H219" s="20" t="s">
        <v>18</v>
      </c>
      <c r="I219" s="19" t="str">
        <f>IMAGE("https://upload.wikimedia.org/wikipedia/commons/c/cc/Babilla_%28Caiman_crocodilus%29_aliment%C3%A1ndose_de_una_zarig%C3%BCeya_en_Villavicencio%2C_Colombia.jpg")</f>
        <v/>
      </c>
    </row>
    <row r="220" ht="36.0" customHeight="1">
      <c r="A220" s="10" t="str">
        <f t="shared" ref="A220:A221" si="38">HYPERLINK("https://commons.wikimedia.org/wiki/User:" &amp; ENCODEURL("Johan Andrés Toro"), "Johan Andrés Toro")</f>
        <v>Johan Andrés Toro</v>
      </c>
      <c r="B220" s="11" t="s">
        <v>504</v>
      </c>
      <c r="C220" s="12">
        <v>46166.95686342593</v>
      </c>
      <c r="D220" s="11" t="s">
        <v>505</v>
      </c>
      <c r="E220" s="14" t="s">
        <v>29</v>
      </c>
      <c r="F220" s="14" t="s">
        <v>30</v>
      </c>
      <c r="G220" s="15" t="s">
        <v>17</v>
      </c>
      <c r="H220" s="15" t="s">
        <v>18</v>
      </c>
      <c r="I220" s="14" t="str">
        <f>IMAGE("https://upload.wikimedia.org/wikipedia/commons/2/2b/Bahia_el_Aguacate_en_Capurgan%C3%A1_Colombia.jpg")</f>
        <v/>
      </c>
    </row>
    <row r="221" ht="36.0" customHeight="1">
      <c r="A221" s="16" t="str">
        <f t="shared" si="38"/>
        <v>Johan Andrés Toro</v>
      </c>
      <c r="B221" s="17" t="s">
        <v>506</v>
      </c>
      <c r="C221" s="18">
        <v>46166.956828703704</v>
      </c>
      <c r="D221" s="17" t="s">
        <v>507</v>
      </c>
      <c r="E221" s="19" t="s">
        <v>29</v>
      </c>
      <c r="F221" s="19" t="s">
        <v>30</v>
      </c>
      <c r="G221" s="20" t="s">
        <v>17</v>
      </c>
      <c r="H221" s="20" t="s">
        <v>18</v>
      </c>
      <c r="I221" s="19" t="str">
        <f>IMAGE("https://upload.wikimedia.org/wikipedia/commons/d/d4/Bah%C3%ADa_de_Sapzurro_y_claridad_marina.jpg")</f>
        <v/>
      </c>
    </row>
    <row r="222" ht="36.0" customHeight="1">
      <c r="A222" s="10" t="str">
        <f t="shared" ref="A222:A223" si="39">HYPERLINK("https://commons.wikimedia.org/wiki/User:" &amp; ENCODEURL("AmiGueko"), "AmiGueko")</f>
        <v>AmiGueko</v>
      </c>
      <c r="B222" s="11" t="s">
        <v>508</v>
      </c>
      <c r="C222" s="12">
        <v>46177.8758912037</v>
      </c>
      <c r="D222" s="11" t="s">
        <v>509</v>
      </c>
      <c r="E222" s="14" t="s">
        <v>103</v>
      </c>
      <c r="F222" s="15" t="s">
        <v>16</v>
      </c>
      <c r="G222" s="15" t="s">
        <v>17</v>
      </c>
      <c r="H222" s="15" t="s">
        <v>18</v>
      </c>
      <c r="I222" s="14" t="str">
        <f>IMAGE("https://upload.wikimedia.org/wikipedia/commons/1/19/Balazo.jpg")</f>
        <v/>
      </c>
    </row>
    <row r="223" ht="36.0" customHeight="1">
      <c r="A223" s="16" t="str">
        <f t="shared" si="39"/>
        <v>AmiGueko</v>
      </c>
      <c r="B223" s="17" t="s">
        <v>510</v>
      </c>
      <c r="C223" s="18">
        <v>46177.875914351855</v>
      </c>
      <c r="D223" s="17" t="s">
        <v>509</v>
      </c>
      <c r="E223" s="19" t="s">
        <v>103</v>
      </c>
      <c r="F223" s="20" t="s">
        <v>16</v>
      </c>
      <c r="G223" s="20" t="s">
        <v>17</v>
      </c>
      <c r="H223" s="20" t="s">
        <v>18</v>
      </c>
      <c r="I223" s="19" t="str">
        <f>IMAGE("https://upload.wikimedia.org/wikipedia/commons/7/7a/Balazo2.jpg")</f>
        <v/>
      </c>
    </row>
    <row r="224" ht="36.0" customHeight="1">
      <c r="A224" s="10" t="str">
        <f>HYPERLINK("https://commons.wikimedia.org/wiki/User:" &amp; ENCODEURL("MemoOssa"), "MemoOssa")</f>
        <v>MemoOssa</v>
      </c>
      <c r="B224" s="11" t="s">
        <v>511</v>
      </c>
      <c r="C224" s="12">
        <v>46176.77390046296</v>
      </c>
      <c r="D224" s="11" t="s">
        <v>512</v>
      </c>
      <c r="E224" s="14" t="s">
        <v>29</v>
      </c>
      <c r="F224" s="14" t="s">
        <v>30</v>
      </c>
      <c r="G224" s="15" t="s">
        <v>17</v>
      </c>
      <c r="H224" s="15" t="s">
        <v>18</v>
      </c>
      <c r="I224" s="14" t="str">
        <f>IMAGE("https://upload.wikimedia.org/wikipedia/commons/e/e0/Ballena_jorobada_o_ballena_yubarta_%28Megaptera_novaeangliae%29.jpg")</f>
        <v/>
      </c>
    </row>
    <row r="225" ht="36.0" customHeight="1">
      <c r="A225" s="16" t="str">
        <f>HYPERLINK("https://commons.wikimedia.org/wiki/User:" &amp; ENCODEURL("Supertita"), "Supertita")</f>
        <v>Supertita</v>
      </c>
      <c r="B225" s="17" t="s">
        <v>513</v>
      </c>
      <c r="C225" s="18">
        <v>46192.754895833335</v>
      </c>
      <c r="D225" s="17" t="s">
        <v>514</v>
      </c>
      <c r="E225" s="19" t="s">
        <v>446</v>
      </c>
      <c r="F225" s="20" t="s">
        <v>16</v>
      </c>
      <c r="G225" s="20" t="s">
        <v>17</v>
      </c>
      <c r="H225" s="20" t="s">
        <v>18</v>
      </c>
      <c r="I225" s="19" t="str">
        <f>IMAGE("https://upload.wikimedia.org/wikipedia/commons/f/f3/Bananaquit_%28Coereba_flaveola%29_sobre_la_flor_de_un_banano.jpg")</f>
        <v/>
      </c>
    </row>
    <row r="226" ht="36.0" customHeight="1">
      <c r="A226" s="10" t="str">
        <f t="shared" ref="A226:A227" si="40">HYPERLINK("https://commons.wikimedia.org/wiki/User:" &amp; ENCODEURL("AmiGueko"), "AmiGueko")</f>
        <v>AmiGueko</v>
      </c>
      <c r="B226" s="11" t="s">
        <v>515</v>
      </c>
      <c r="C226" s="12">
        <v>46177.875925925924</v>
      </c>
      <c r="D226" s="11" t="s">
        <v>516</v>
      </c>
      <c r="E226" s="14" t="s">
        <v>103</v>
      </c>
      <c r="F226" s="15" t="s">
        <v>16</v>
      </c>
      <c r="G226" s="15" t="s">
        <v>17</v>
      </c>
      <c r="H226" s="15" t="s">
        <v>18</v>
      </c>
      <c r="I226" s="14" t="str">
        <f>IMAGE("https://upload.wikimedia.org/wikipedia/commons/7/7a/Barbas_de_gallo.jpg")</f>
        <v/>
      </c>
    </row>
    <row r="227" ht="36.0" customHeight="1">
      <c r="A227" s="16" t="str">
        <f t="shared" si="40"/>
        <v>AmiGueko</v>
      </c>
      <c r="B227" s="17" t="s">
        <v>517</v>
      </c>
      <c r="C227" s="18">
        <v>46177.875925925924</v>
      </c>
      <c r="D227" s="17" t="s">
        <v>518</v>
      </c>
      <c r="E227" s="19" t="s">
        <v>103</v>
      </c>
      <c r="F227" s="20" t="s">
        <v>16</v>
      </c>
      <c r="G227" s="20" t="s">
        <v>17</v>
      </c>
      <c r="H227" s="20" t="s">
        <v>18</v>
      </c>
      <c r="I227" s="19" t="str">
        <f>IMAGE("https://upload.wikimedia.org/wikipedia/commons/9/97/Barbas_de_viejo.jpg")</f>
        <v/>
      </c>
    </row>
    <row r="228" ht="36.0" customHeight="1">
      <c r="A228" s="10" t="str">
        <f>HYPERLINK("https://commons.wikimedia.org/wiki/User:" &amp; ENCODEURL("PauMU86"), "PauMU86")</f>
        <v>PauMU86</v>
      </c>
      <c r="B228" s="11" t="s">
        <v>519</v>
      </c>
      <c r="C228" s="12">
        <v>46171.69053240741</v>
      </c>
      <c r="D228" s="11" t="s">
        <v>520</v>
      </c>
      <c r="E228" s="14" t="s">
        <v>29</v>
      </c>
      <c r="F228" s="14" t="s">
        <v>30</v>
      </c>
      <c r="G228" s="15" t="s">
        <v>17</v>
      </c>
      <c r="H228" s="15" t="s">
        <v>18</v>
      </c>
      <c r="I228" s="14" t="str">
        <f>IMAGE("https://upload.wikimedia.org/wikipedia/commons/0/0b/Barbas_en_Paipa.jpg")</f>
        <v/>
      </c>
    </row>
    <row r="229" ht="36.0" customHeight="1">
      <c r="A229" s="16" t="str">
        <f>HYPERLINK("https://commons.wikimedia.org/wiki/User:" &amp; ENCODEURL("JJCL09"), "JJCL09")</f>
        <v>JJCL09</v>
      </c>
      <c r="B229" s="17" t="s">
        <v>521</v>
      </c>
      <c r="C229" s="18">
        <v>46147.881516203706</v>
      </c>
      <c r="D229" s="17" t="s">
        <v>522</v>
      </c>
      <c r="E229" s="19" t="s">
        <v>523</v>
      </c>
      <c r="F229" s="20" t="s">
        <v>16</v>
      </c>
      <c r="G229" s="20" t="s">
        <v>17</v>
      </c>
      <c r="H229" s="20" t="s">
        <v>18</v>
      </c>
      <c r="I229" s="19" t="str">
        <f>IMAGE("https://upload.wikimedia.org/wikipedia/commons/3/38/Barranco_Norcasia.jpg")</f>
        <v/>
      </c>
    </row>
    <row r="230" ht="36.0" customHeight="1">
      <c r="A230" s="10" t="str">
        <f>HYPERLINK("https://commons.wikimedia.org/wiki/User:" &amp; ENCODEURL("Avargasc1"), "Avargasc1")</f>
        <v>Avargasc1</v>
      </c>
      <c r="B230" s="11" t="s">
        <v>524</v>
      </c>
      <c r="C230" s="12">
        <v>46171.365266203706</v>
      </c>
      <c r="D230" s="11" t="s">
        <v>525</v>
      </c>
      <c r="E230" s="14" t="s">
        <v>29</v>
      </c>
      <c r="F230" s="14" t="s">
        <v>30</v>
      </c>
      <c r="G230" s="15" t="s">
        <v>17</v>
      </c>
      <c r="H230" s="15" t="s">
        <v>18</v>
      </c>
      <c r="I230" s="14" t="str">
        <f>IMAGE("https://upload.wikimedia.org/wikipedia/commons/5/59/Barranquero_Andino.jpg")</f>
        <v/>
      </c>
    </row>
    <row r="231" ht="36.0" customHeight="1">
      <c r="A231" s="16" t="str">
        <f>HYPERLINK("https://commons.wikimedia.org/wiki/User:" &amp; ENCODEURL("Aparizap"), "Aparizap")</f>
        <v>Aparizap</v>
      </c>
      <c r="B231" s="17" t="s">
        <v>526</v>
      </c>
      <c r="C231" s="18">
        <v>46199.717002314814</v>
      </c>
      <c r="D231" s="17" t="s">
        <v>527</v>
      </c>
      <c r="E231" s="19" t="s">
        <v>29</v>
      </c>
      <c r="F231" s="19" t="s">
        <v>30</v>
      </c>
      <c r="G231" s="20" t="s">
        <v>17</v>
      </c>
      <c r="H231" s="20" t="s">
        <v>18</v>
      </c>
      <c r="I231" s="19" t="str">
        <f>IMAGE("https://upload.wikimedia.org/wikipedia/commons/5/54/Barranquero_en_Chinchilla.jpg")</f>
        <v/>
      </c>
    </row>
    <row r="232" ht="36.0" customHeight="1">
      <c r="A232" s="10" t="str">
        <f>HYPERLINK("https://commons.wikimedia.org/wiki/User:" &amp; ENCODEURL("AmiGueko"), "AmiGueko")</f>
        <v>AmiGueko</v>
      </c>
      <c r="B232" s="11" t="s">
        <v>528</v>
      </c>
      <c r="C232" s="12">
        <v>46150.90523148148</v>
      </c>
      <c r="D232" s="11" t="s">
        <v>529</v>
      </c>
      <c r="E232" s="14" t="s">
        <v>29</v>
      </c>
      <c r="F232" s="14" t="s">
        <v>30</v>
      </c>
      <c r="G232" s="15" t="s">
        <v>17</v>
      </c>
      <c r="H232" s="15" t="s">
        <v>18</v>
      </c>
      <c r="I232" s="14" t="str">
        <f>IMAGE("https://upload.wikimedia.org/wikipedia/commons/3/3b/Barranquillo_o_Barranquero.jpg")</f>
        <v/>
      </c>
    </row>
    <row r="233" ht="36.0" customHeight="1">
      <c r="A233" s="16" t="str">
        <f>HYPERLINK("https://commons.wikimedia.org/wiki/User:" &amp; ENCODEURL("XimmoY"), "XimmoY")</f>
        <v>XimmoY</v>
      </c>
      <c r="B233" s="17" t="s">
        <v>530</v>
      </c>
      <c r="C233" s="18">
        <v>46203.88055555556</v>
      </c>
      <c r="D233" s="17" t="s">
        <v>531</v>
      </c>
      <c r="E233" s="19" t="s">
        <v>184</v>
      </c>
      <c r="F233" s="20" t="s">
        <v>16</v>
      </c>
      <c r="G233" s="20" t="s">
        <v>17</v>
      </c>
      <c r="H233" s="20" t="s">
        <v>18</v>
      </c>
      <c r="I233" s="19" t="str">
        <f>IMAGE("https://upload.wikimedia.org/wikipedia/commons/d/db/Basiliscus_galeritus_2026.jpg")</f>
        <v/>
      </c>
    </row>
    <row r="234" ht="36.0" customHeight="1">
      <c r="A234" s="10" t="str">
        <f>HYPERLINK("https://commons.wikimedia.org/wiki/User:" &amp; ENCODEURL("Munigarro"), "Munigarro")</f>
        <v>Munigarro</v>
      </c>
      <c r="B234" s="11" t="s">
        <v>532</v>
      </c>
      <c r="C234" s="12">
        <v>46202.65508101852</v>
      </c>
      <c r="D234" s="11" t="s">
        <v>166</v>
      </c>
      <c r="E234" s="14" t="s">
        <v>29</v>
      </c>
      <c r="F234" s="14" t="s">
        <v>30</v>
      </c>
      <c r="G234" s="15" t="s">
        <v>17</v>
      </c>
      <c r="H234" s="15" t="s">
        <v>18</v>
      </c>
      <c r="I234" s="14" t="str">
        <f>IMAGE("https://upload.wikimedia.org/wikipedia/commons/5/54/Batara_Mayor.jpg")</f>
        <v/>
      </c>
    </row>
    <row r="235" ht="36.0" customHeight="1">
      <c r="A235" s="16" t="str">
        <f>HYPERLINK("https://commons.wikimedia.org/wiki/User:" &amp; ENCODEURL("CHAVESJUAN19"), "CHAVESJUAN19")</f>
        <v>CHAVESJUAN19</v>
      </c>
      <c r="B235" s="17" t="s">
        <v>533</v>
      </c>
      <c r="C235" s="18">
        <v>46203.962222222224</v>
      </c>
      <c r="D235" s="17" t="s">
        <v>534</v>
      </c>
      <c r="E235" s="19" t="s">
        <v>29</v>
      </c>
      <c r="F235" s="19" t="s">
        <v>30</v>
      </c>
      <c r="G235" s="20" t="s">
        <v>17</v>
      </c>
      <c r="H235" s="20" t="s">
        <v>18</v>
      </c>
      <c r="I235" s="19" t="str">
        <f>IMAGE("https://upload.wikimedia.org/wikipedia/commons/3/3a/Ba%C3%B1o_de_p%C3%A1ramo_-_PNN_Chingaza_%28PRIMER_PLANO%29.jpg")</f>
        <v/>
      </c>
    </row>
    <row r="236" ht="36.0" customHeight="1">
      <c r="A236" s="10" t="str">
        <f t="shared" ref="A236:A237" si="41">HYPERLINK("https://commons.wikimedia.org/wiki/User:" &amp; ENCODEURL("Joseeem"), "Joseeem")</f>
        <v>Joseeem</v>
      </c>
      <c r="B236" s="11" t="s">
        <v>535</v>
      </c>
      <c r="C236" s="12">
        <v>46156.945127314815</v>
      </c>
      <c r="D236" s="11" t="s">
        <v>536</v>
      </c>
      <c r="E236" s="14" t="s">
        <v>29</v>
      </c>
      <c r="F236" s="14" t="s">
        <v>30</v>
      </c>
      <c r="G236" s="15" t="s">
        <v>17</v>
      </c>
      <c r="H236" s="15" t="s">
        <v>18</v>
      </c>
      <c r="I236" s="14" t="str">
        <f>IMAGE("https://upload.wikimedia.org/wikipedia/commons/d/de/Beach_in_Colombia.jpg")</f>
        <v/>
      </c>
    </row>
    <row r="237" ht="36.0" customHeight="1">
      <c r="A237" s="16" t="str">
        <f t="shared" si="41"/>
        <v>Joseeem</v>
      </c>
      <c r="B237" s="17" t="s">
        <v>537</v>
      </c>
      <c r="C237" s="18">
        <v>46156.94501157408</v>
      </c>
      <c r="D237" s="17" t="s">
        <v>538</v>
      </c>
      <c r="E237" s="19" t="s">
        <v>29</v>
      </c>
      <c r="F237" s="19" t="s">
        <v>30</v>
      </c>
      <c r="G237" s="20" t="s">
        <v>17</v>
      </c>
      <c r="H237" s="20" t="s">
        <v>18</v>
      </c>
      <c r="I237" s="19" t="str">
        <f>IMAGE("https://upload.wikimedia.org/wikipedia/commons/a/af/Beach_in_Riohacha.jpg")</f>
        <v/>
      </c>
    </row>
    <row r="238" ht="36.0" customHeight="1">
      <c r="A238" s="10" t="str">
        <f>HYPERLINK("https://commons.wikimedia.org/wiki/User:" &amp; ENCODEURL("Mottenpriesterin"), "Mottenpriesterin")</f>
        <v>Mottenpriesterin</v>
      </c>
      <c r="B238" s="11" t="s">
        <v>539</v>
      </c>
      <c r="C238" s="12">
        <v>46202.91978009259</v>
      </c>
      <c r="D238" s="11" t="s">
        <v>540</v>
      </c>
      <c r="E238" s="14" t="s">
        <v>29</v>
      </c>
      <c r="F238" s="14" t="s">
        <v>30</v>
      </c>
      <c r="G238" s="15" t="s">
        <v>17</v>
      </c>
      <c r="H238" s="15" t="s">
        <v>18</v>
      </c>
      <c r="I238" s="14" t="str">
        <f>IMAGE("https://upload.wikimedia.org/wikipedia/commons/c/ce/Beard_Lichen_of_the_Cloud_Forest%2C_near_Minca%2C_2025.jpg")</f>
        <v/>
      </c>
    </row>
    <row r="239" ht="36.0" customHeight="1">
      <c r="A239" s="16" t="str">
        <f>HYPERLINK("https://commons.wikimedia.org/wiki/User:" &amp; ENCODEURL("Joseeem"), "Joseeem")</f>
        <v>Joseeem</v>
      </c>
      <c r="B239" s="17" t="s">
        <v>541</v>
      </c>
      <c r="C239" s="18">
        <v>46156.94472222222</v>
      </c>
      <c r="D239" s="17" t="s">
        <v>542</v>
      </c>
      <c r="E239" s="19" t="s">
        <v>29</v>
      </c>
      <c r="F239" s="19" t="s">
        <v>30</v>
      </c>
      <c r="G239" s="20" t="s">
        <v>17</v>
      </c>
      <c r="H239" s="20" t="s">
        <v>18</v>
      </c>
      <c r="I239" s="19" t="str">
        <f>IMAGE("https://upload.wikimedia.org/wikipedia/commons/d/de/Beautiful_Roads_in_Colombia.jpg")</f>
        <v/>
      </c>
    </row>
    <row r="240" ht="36.0" customHeight="1">
      <c r="A240" s="10" t="str">
        <f>HYPERLINK("https://commons.wikimedia.org/wiki/User:" &amp; ENCODEURL("Oscarvelascomora"), "Oscarvelascomora")</f>
        <v>Oscarvelascomora</v>
      </c>
      <c r="B240" s="11" t="s">
        <v>543</v>
      </c>
      <c r="C240" s="12">
        <v>46151.68304398148</v>
      </c>
      <c r="D240" s="11" t="s">
        <v>544</v>
      </c>
      <c r="E240" s="14" t="s">
        <v>29</v>
      </c>
      <c r="F240" s="14" t="s">
        <v>30</v>
      </c>
      <c r="G240" s="15" t="s">
        <v>17</v>
      </c>
      <c r="H240" s="15" t="s">
        <v>18</v>
      </c>
      <c r="I240" s="14" t="str">
        <f>IMAGE("https://upload.wikimedia.org/wikipedia/commons/6/6e/Belalcazar_Cauca.jpg")</f>
        <v/>
      </c>
    </row>
    <row r="241" ht="36.0" customHeight="1">
      <c r="A241" s="16" t="str">
        <f>HYPERLINK("https://commons.wikimedia.org/wiki/User:" &amp; ENCODEURL("AmiGueko"), "AmiGueko")</f>
        <v>AmiGueko</v>
      </c>
      <c r="B241" s="17" t="s">
        <v>545</v>
      </c>
      <c r="C241" s="18">
        <v>46177.87596064815</v>
      </c>
      <c r="D241" s="17" t="s">
        <v>546</v>
      </c>
      <c r="E241" s="19" t="s">
        <v>103</v>
      </c>
      <c r="F241" s="20" t="s">
        <v>16</v>
      </c>
      <c r="G241" s="20" t="s">
        <v>17</v>
      </c>
      <c r="H241" s="20" t="s">
        <v>18</v>
      </c>
      <c r="I241" s="19" t="str">
        <f>IMAGE("https://upload.wikimedia.org/wikipedia/commons/a/a2/Bella_hasta_las_once.jpg")</f>
        <v/>
      </c>
    </row>
    <row r="242" ht="36.0" customHeight="1">
      <c r="A242" s="10" t="str">
        <f>HYPERLINK("https://commons.wikimedia.org/wiki/User:" &amp; ENCODEURL("Halleyuncometafotografo"), "Halleyuncometafotografo")</f>
        <v>Halleyuncometafotografo</v>
      </c>
      <c r="B242" s="11" t="s">
        <v>547</v>
      </c>
      <c r="C242" s="12">
        <v>46203.932488425926</v>
      </c>
      <c r="D242" s="11" t="s">
        <v>548</v>
      </c>
      <c r="E242" s="14" t="s">
        <v>29</v>
      </c>
      <c r="F242" s="14" t="s">
        <v>30</v>
      </c>
      <c r="G242" s="15" t="s">
        <v>17</v>
      </c>
      <c r="H242" s="15" t="s">
        <v>18</v>
      </c>
      <c r="I242" s="14" t="str">
        <f>IMAGE("https://upload.wikimedia.org/wikipedia/commons/b/b2/Belleza_que_advierte.jpg")</f>
        <v/>
      </c>
    </row>
    <row r="243" ht="36.0" customHeight="1">
      <c r="A243" s="16" t="str">
        <f>HYPERLINK("https://commons.wikimedia.org/wiki/User:" &amp; ENCODEURL("Juanrapave"), "Juanrapave")</f>
        <v>Juanrapave</v>
      </c>
      <c r="B243" s="17" t="s">
        <v>549</v>
      </c>
      <c r="C243" s="18">
        <v>46166.31322916667</v>
      </c>
      <c r="D243" s="17" t="s">
        <v>550</v>
      </c>
      <c r="E243" s="19" t="s">
        <v>551</v>
      </c>
      <c r="F243" s="20" t="s">
        <v>16</v>
      </c>
      <c r="G243" s="20" t="s">
        <v>17</v>
      </c>
      <c r="H243" s="20" t="s">
        <v>18</v>
      </c>
      <c r="I243" s="19" t="str">
        <f>IMAGE("https://upload.wikimedia.org/wikipedia/commons/4/4d/Bicho_en_hoja.jpg")</f>
        <v/>
      </c>
    </row>
    <row r="244" ht="36.0" customHeight="1">
      <c r="A244" s="10" t="str">
        <f>HYPERLINK("https://commons.wikimedia.org/wiki/User:" &amp; ENCODEURL("Charlesjsharp"), "Charlesjsharp")</f>
        <v>Charlesjsharp</v>
      </c>
      <c r="B244" s="11" t="s">
        <v>552</v>
      </c>
      <c r="C244" s="12">
        <v>46171.616875</v>
      </c>
      <c r="D244" s="11" t="s">
        <v>553</v>
      </c>
      <c r="E244" s="14" t="s">
        <v>554</v>
      </c>
      <c r="F244" s="15" t="s">
        <v>16</v>
      </c>
      <c r="G244" s="15" t="s">
        <v>17</v>
      </c>
      <c r="H244" s="15" t="s">
        <v>18</v>
      </c>
      <c r="I244" s="14" t="str">
        <f>IMAGE("https://upload.wikimedia.org/wikipedia/commons/3/37/Bicoloured_antpitta_%28Grallaria_rufocinerea_rufocinerea%29_Caldas_2.jpg")</f>
        <v/>
      </c>
    </row>
    <row r="245" ht="36.0" customHeight="1">
      <c r="A245" s="16" t="str">
        <f t="shared" ref="A245:A247" si="42">HYPERLINK("https://commons.wikimedia.org/wiki/User:" &amp; ENCODEURL("Noeliachalfoun"), "Noeliachalfoun")</f>
        <v>Noeliachalfoun</v>
      </c>
      <c r="B245" s="17" t="s">
        <v>555</v>
      </c>
      <c r="C245" s="18">
        <v>46182.71606481481</v>
      </c>
      <c r="D245" s="17" t="s">
        <v>556</v>
      </c>
      <c r="E245" s="19" t="s">
        <v>29</v>
      </c>
      <c r="F245" s="19" t="s">
        <v>30</v>
      </c>
      <c r="G245" s="20" t="s">
        <v>17</v>
      </c>
      <c r="H245" s="20" t="s">
        <v>18</v>
      </c>
      <c r="I245" s="19" t="str">
        <f>IMAGE("https://upload.wikimedia.org/wikipedia/commons/d/d9/Bienparado-Parque_Nacional_Natural_Sierra_de_la_Macarena-Colombia-6.jpg")</f>
        <v/>
      </c>
    </row>
    <row r="246" ht="36.0" customHeight="1">
      <c r="A246" s="10" t="str">
        <f t="shared" si="42"/>
        <v>Noeliachalfoun</v>
      </c>
      <c r="B246" s="11" t="s">
        <v>557</v>
      </c>
      <c r="C246" s="12">
        <v>46182.71605324074</v>
      </c>
      <c r="D246" s="11" t="s">
        <v>556</v>
      </c>
      <c r="E246" s="14" t="s">
        <v>29</v>
      </c>
      <c r="F246" s="14" t="s">
        <v>30</v>
      </c>
      <c r="G246" s="15" t="s">
        <v>17</v>
      </c>
      <c r="H246" s="15" t="s">
        <v>18</v>
      </c>
      <c r="I246" s="14" t="str">
        <f>IMAGE("https://upload.wikimedia.org/wikipedia/commons/8/87/Bienparado-Parque_Nacional_Natural_Sierra_de_la_Macarena-Colombia-7.jpg")</f>
        <v/>
      </c>
    </row>
    <row r="247" ht="36.0" customHeight="1">
      <c r="A247" s="16" t="str">
        <f t="shared" si="42"/>
        <v>Noeliachalfoun</v>
      </c>
      <c r="B247" s="17" t="s">
        <v>558</v>
      </c>
      <c r="C247" s="18">
        <v>46182.71605324074</v>
      </c>
      <c r="D247" s="17" t="s">
        <v>556</v>
      </c>
      <c r="E247" s="19" t="s">
        <v>29</v>
      </c>
      <c r="F247" s="19" t="s">
        <v>30</v>
      </c>
      <c r="G247" s="20" t="s">
        <v>17</v>
      </c>
      <c r="H247" s="20" t="s">
        <v>18</v>
      </c>
      <c r="I247" s="19" t="str">
        <f>IMAGE("https://upload.wikimedia.org/wikipedia/commons/7/79/Bienparado-Parque_Nacional_Natural_Sierra_de_la_Macarena-Colombia-8.jpg")</f>
        <v/>
      </c>
    </row>
    <row r="248" ht="36.0" customHeight="1">
      <c r="A248" s="10" t="str">
        <f>HYPERLINK("https://commons.wikimedia.org/wiki/User:" &amp; ENCODEURL("Avargasc1"), "Avargasc1")</f>
        <v>Avargasc1</v>
      </c>
      <c r="B248" s="11" t="s">
        <v>559</v>
      </c>
      <c r="C248" s="12">
        <v>46161.7156712963</v>
      </c>
      <c r="D248" s="11" t="s">
        <v>560</v>
      </c>
      <c r="E248" s="14" t="s">
        <v>29</v>
      </c>
      <c r="F248" s="14" t="s">
        <v>30</v>
      </c>
      <c r="G248" s="15" t="s">
        <v>17</v>
      </c>
      <c r="H248" s="15" t="s">
        <v>18</v>
      </c>
      <c r="I248" s="14" t="str">
        <f>IMAGE("https://upload.wikimedia.org/wikipedia/commons/3/34/Bienparado_Com%C3%BAn.jpg")</f>
        <v/>
      </c>
    </row>
    <row r="249" ht="36.0" customHeight="1">
      <c r="A249" s="16" t="str">
        <f t="shared" ref="A249:A251" si="43">HYPERLINK("https://commons.wikimedia.org/wiki/User:" &amp; ENCODEURL("MemoOssa"), "MemoOssa")</f>
        <v>MemoOssa</v>
      </c>
      <c r="B249" s="17" t="s">
        <v>561</v>
      </c>
      <c r="C249" s="18">
        <v>46176.77394675926</v>
      </c>
      <c r="D249" s="17" t="s">
        <v>562</v>
      </c>
      <c r="E249" s="19" t="s">
        <v>29</v>
      </c>
      <c r="F249" s="19" t="s">
        <v>30</v>
      </c>
      <c r="G249" s="20" t="s">
        <v>17</v>
      </c>
      <c r="H249" s="20" t="s">
        <v>18</v>
      </c>
      <c r="I249" s="19" t="str">
        <f>IMAGE("https://upload.wikimedia.org/wikipedia/commons/f/f7/Bienparado_Com%C3%BAn_%28Nyctibius_griseus%29_en_bosque_colombiano.jpg")</f>
        <v/>
      </c>
    </row>
    <row r="250" ht="36.0" customHeight="1">
      <c r="A250" s="10" t="str">
        <f t="shared" si="43"/>
        <v>MemoOssa</v>
      </c>
      <c r="B250" s="11" t="s">
        <v>563</v>
      </c>
      <c r="C250" s="12">
        <v>46176.77394675926</v>
      </c>
      <c r="D250" s="11" t="s">
        <v>562</v>
      </c>
      <c r="E250" s="14" t="s">
        <v>29</v>
      </c>
      <c r="F250" s="14" t="s">
        <v>30</v>
      </c>
      <c r="G250" s="15" t="s">
        <v>17</v>
      </c>
      <c r="H250" s="15" t="s">
        <v>18</v>
      </c>
      <c r="I250" s="14" t="str">
        <f>IMAGE("https://upload.wikimedia.org/wikipedia/commons/1/18/Bienparado_Com%C3%BAn_%28Nyctibius_griseus%29_en_los_bosques_de_colombiano.jpg")</f>
        <v/>
      </c>
    </row>
    <row r="251" ht="36.0" customHeight="1">
      <c r="A251" s="16" t="str">
        <f t="shared" si="43"/>
        <v>MemoOssa</v>
      </c>
      <c r="B251" s="17" t="s">
        <v>564</v>
      </c>
      <c r="C251" s="18">
        <v>46176.77396990741</v>
      </c>
      <c r="D251" s="17" t="s">
        <v>562</v>
      </c>
      <c r="E251" s="19" t="s">
        <v>29</v>
      </c>
      <c r="F251" s="19" t="s">
        <v>30</v>
      </c>
      <c r="G251" s="20" t="s">
        <v>17</v>
      </c>
      <c r="H251" s="20" t="s">
        <v>18</v>
      </c>
      <c r="I251" s="19" t="str">
        <f>IMAGE("https://upload.wikimedia.org/wikipedia/commons/1/1a/Bienparado_Com%C3%BAn_%28Nyctibius_griseus%29_en_su_nido.jpg")</f>
        <v/>
      </c>
    </row>
    <row r="252" ht="36.0" customHeight="1">
      <c r="A252" s="10" t="str">
        <f>HYPERLINK("https://commons.wikimedia.org/wiki/User:" &amp; ENCODEURL("Juan Carlos Sáenz Rodríguez"), "Juan Carlos Sáenz Rodríguez")</f>
        <v>Juan Carlos Sáenz Rodríguez</v>
      </c>
      <c r="B252" s="11" t="s">
        <v>565</v>
      </c>
      <c r="C252" s="12">
        <v>46194.58326388889</v>
      </c>
      <c r="D252" s="11" t="s">
        <v>566</v>
      </c>
      <c r="E252" s="14" t="s">
        <v>29</v>
      </c>
      <c r="F252" s="14" t="s">
        <v>30</v>
      </c>
      <c r="G252" s="15" t="s">
        <v>17</v>
      </c>
      <c r="H252" s="15" t="s">
        <v>18</v>
      </c>
      <c r="I252" s="14" t="str">
        <f>IMAGE("https://upload.wikimedia.org/wikipedia/commons/4/49/Bienteveo.jpg")</f>
        <v/>
      </c>
    </row>
    <row r="253" ht="36.0" customHeight="1">
      <c r="A253" s="16" t="str">
        <f>HYPERLINK("https://commons.wikimedia.org/wiki/User:" &amp; ENCODEURL("ManuelMancera"), "ManuelMancera")</f>
        <v>ManuelMancera</v>
      </c>
      <c r="B253" s="17" t="s">
        <v>567</v>
      </c>
      <c r="C253" s="18">
        <v>46165.525659722225</v>
      </c>
      <c r="D253" s="17" t="s">
        <v>568</v>
      </c>
      <c r="E253" s="19" t="s">
        <v>29</v>
      </c>
      <c r="F253" s="19" t="s">
        <v>30</v>
      </c>
      <c r="G253" s="20" t="s">
        <v>17</v>
      </c>
      <c r="H253" s="20" t="s">
        <v>18</v>
      </c>
      <c r="I253" s="19" t="str">
        <f>IMAGE("https://upload.wikimedia.org/wikipedia/commons/4/4d/Bird_Yellow.jpg")</f>
        <v/>
      </c>
    </row>
    <row r="254" ht="36.0" customHeight="1">
      <c r="A254" s="10" t="str">
        <f>HYPERLINK("https://commons.wikimedia.org/wiki/User:" &amp; ENCODEURL("Supertita"), "Supertita")</f>
        <v>Supertita</v>
      </c>
      <c r="B254" s="11" t="s">
        <v>569</v>
      </c>
      <c r="C254" s="12">
        <v>46191.905335648145</v>
      </c>
      <c r="D254" s="11" t="s">
        <v>570</v>
      </c>
      <c r="E254" s="14" t="s">
        <v>15</v>
      </c>
      <c r="F254" s="15" t="s">
        <v>16</v>
      </c>
      <c r="G254" s="15" t="s">
        <v>17</v>
      </c>
      <c r="H254" s="15" t="s">
        <v>18</v>
      </c>
      <c r="I254" s="14" t="str">
        <f>IMAGE("https://upload.wikimedia.org/wikipedia/commons/8/8d/Black-bellied_Whistling-Ducks-Pisingos.jpg")</f>
        <v/>
      </c>
    </row>
    <row r="255" ht="36.0" customHeight="1">
      <c r="A255" s="16" t="str">
        <f t="shared" ref="A255:A257" si="44">HYPERLINK("https://commons.wikimedia.org/wiki/User:" &amp; ENCODEURL("DeibyJk"), "DeibyJk")</f>
        <v>DeibyJk</v>
      </c>
      <c r="B255" s="17" t="s">
        <v>571</v>
      </c>
      <c r="C255" s="18">
        <v>46166.94195601852</v>
      </c>
      <c r="D255" s="17" t="s">
        <v>572</v>
      </c>
      <c r="E255" s="19" t="s">
        <v>29</v>
      </c>
      <c r="F255" s="19" t="s">
        <v>30</v>
      </c>
      <c r="G255" s="20" t="s">
        <v>17</v>
      </c>
      <c r="H255" s="20" t="s">
        <v>18</v>
      </c>
      <c r="I255" s="19" t="str">
        <f>IMAGE("https://upload.wikimedia.org/wikipedia/commons/3/3d/Blancahuila_08.jpg")</f>
        <v/>
      </c>
    </row>
    <row r="256" ht="36.0" customHeight="1">
      <c r="A256" s="10" t="str">
        <f t="shared" si="44"/>
        <v>DeibyJk</v>
      </c>
      <c r="B256" s="11" t="s">
        <v>573</v>
      </c>
      <c r="C256" s="12">
        <v>46166.94181712963</v>
      </c>
      <c r="D256" s="11" t="s">
        <v>572</v>
      </c>
      <c r="E256" s="14" t="s">
        <v>29</v>
      </c>
      <c r="F256" s="14" t="s">
        <v>30</v>
      </c>
      <c r="G256" s="15" t="s">
        <v>17</v>
      </c>
      <c r="H256" s="15" t="s">
        <v>18</v>
      </c>
      <c r="I256" s="14" t="str">
        <f>IMAGE("https://upload.wikimedia.org/wikipedia/commons/8/80/Blancashuila_01.jpg")</f>
        <v/>
      </c>
    </row>
    <row r="257" ht="36.0" customHeight="1">
      <c r="A257" s="16" t="str">
        <f t="shared" si="44"/>
        <v>DeibyJk</v>
      </c>
      <c r="B257" s="17" t="s">
        <v>574</v>
      </c>
      <c r="C257" s="18">
        <v>46166.94196759259</v>
      </c>
      <c r="D257" s="17" t="s">
        <v>572</v>
      </c>
      <c r="E257" s="19" t="s">
        <v>29</v>
      </c>
      <c r="F257" s="19" t="s">
        <v>30</v>
      </c>
      <c r="G257" s="20" t="s">
        <v>17</v>
      </c>
      <c r="H257" s="20" t="s">
        <v>18</v>
      </c>
      <c r="I257" s="19" t="str">
        <f>IMAGE("https://upload.wikimedia.org/wikipedia/commons/0/09/Blancaslunarhuila_09.jpg")</f>
        <v/>
      </c>
    </row>
    <row r="258" ht="36.0" customHeight="1">
      <c r="A258" s="10" t="str">
        <f>HYPERLINK("https://commons.wikimedia.org/wiki/User:" &amp; ENCODEURL("Dewinjj"), "Dewinjj")</f>
        <v>Dewinjj</v>
      </c>
      <c r="B258" s="11" t="s">
        <v>575</v>
      </c>
      <c r="C258" s="12">
        <v>46158.63344907408</v>
      </c>
      <c r="D258" s="11" t="s">
        <v>576</v>
      </c>
      <c r="E258" s="14" t="s">
        <v>577</v>
      </c>
      <c r="F258" s="15" t="s">
        <v>16</v>
      </c>
      <c r="G258" s="15" t="s">
        <v>17</v>
      </c>
      <c r="H258" s="15" t="s">
        <v>18</v>
      </c>
      <c r="I258" s="14" t="str">
        <f>IMAGE("https://upload.wikimedia.org/wikipedia/commons/b/b4/Blood_on_the_snow.jpg")</f>
        <v/>
      </c>
    </row>
    <row r="259" ht="36.0" customHeight="1">
      <c r="A259" s="16" t="str">
        <f>HYPERLINK("https://commons.wikimedia.org/wiki/User:" &amp; ENCODEURL("Jhoan Bravo"), "Jhoan Bravo")</f>
        <v>Jhoan Bravo</v>
      </c>
      <c r="B259" s="17" t="s">
        <v>578</v>
      </c>
      <c r="C259" s="18">
        <v>46202.51383101852</v>
      </c>
      <c r="D259" s="17" t="s">
        <v>579</v>
      </c>
      <c r="E259" s="19" t="s">
        <v>29</v>
      </c>
      <c r="F259" s="19" t="s">
        <v>30</v>
      </c>
      <c r="G259" s="20" t="s">
        <v>17</v>
      </c>
      <c r="H259" s="20" t="s">
        <v>18</v>
      </c>
      <c r="I259" s="19" t="str">
        <f>IMAGE("https://upload.wikimedia.org/wikipedia/commons/8/80/Blue_damselfly_%28Zygoptera%29_on_dry_leave.jpg")</f>
        <v/>
      </c>
    </row>
    <row r="260" ht="36.0" customHeight="1">
      <c r="A260" s="10" t="str">
        <f t="shared" ref="A260:A261" si="45">HYPERLINK("https://commons.wikimedia.org/wiki/User:" &amp; ENCODEURL("Alexpanther"), "Alexpanther")</f>
        <v>Alexpanther</v>
      </c>
      <c r="B260" s="11" t="s">
        <v>580</v>
      </c>
      <c r="C260" s="12">
        <v>46203.50069444445</v>
      </c>
      <c r="D260" s="11" t="s">
        <v>581</v>
      </c>
      <c r="E260" s="14" t="s">
        <v>582</v>
      </c>
      <c r="F260" s="15" t="s">
        <v>16</v>
      </c>
      <c r="G260" s="15" t="s">
        <v>17</v>
      </c>
      <c r="H260" s="15" t="s">
        <v>18</v>
      </c>
      <c r="I260" s="14" t="str">
        <f>IMAGE("https://upload.wikimedia.org/wikipedia/commons/3/39/Boa_constrictor_aliada_en_el_equilibrio_ecosistemico.jpg")</f>
        <v/>
      </c>
    </row>
    <row r="261" ht="36.0" customHeight="1">
      <c r="A261" s="16" t="str">
        <f t="shared" si="45"/>
        <v>Alexpanther</v>
      </c>
      <c r="B261" s="17" t="s">
        <v>583</v>
      </c>
      <c r="C261" s="18">
        <v>46203.50064814815</v>
      </c>
      <c r="D261" s="17" t="s">
        <v>581</v>
      </c>
      <c r="E261" s="19" t="s">
        <v>582</v>
      </c>
      <c r="F261" s="20" t="s">
        <v>16</v>
      </c>
      <c r="G261" s="20" t="s">
        <v>17</v>
      </c>
      <c r="H261" s="20" t="s">
        <v>18</v>
      </c>
      <c r="I261" s="19" t="str">
        <f>IMAGE("https://upload.wikimedia.org/wikipedia/commons/4/46/Boa_constrictor_de_la_Orinoquia.jpg")</f>
        <v/>
      </c>
    </row>
    <row r="262" ht="36.0" customHeight="1">
      <c r="A262" s="10" t="str">
        <f>HYPERLINK("https://commons.wikimedia.org/wiki/User:" &amp; ENCODEURL("XimmoY"), "XimmoY")</f>
        <v>XimmoY</v>
      </c>
      <c r="B262" s="11" t="s">
        <v>584</v>
      </c>
      <c r="C262" s="12">
        <v>46198.866956018515</v>
      </c>
      <c r="D262" s="11" t="s">
        <v>585</v>
      </c>
      <c r="E262" s="14" t="s">
        <v>184</v>
      </c>
      <c r="F262" s="15" t="s">
        <v>16</v>
      </c>
      <c r="G262" s="15" t="s">
        <v>17</v>
      </c>
      <c r="H262" s="15" t="s">
        <v>18</v>
      </c>
      <c r="I262" s="14" t="str">
        <f>IMAGE("https://upload.wikimedia.org/wikipedia/commons/7/72/Boana_boans_2026.jpg")</f>
        <v/>
      </c>
    </row>
    <row r="263" ht="36.0" customHeight="1">
      <c r="A263" s="16" t="str">
        <f>HYPERLINK("https://commons.wikimedia.org/wiki/User:" &amp; ENCODEURL("Joseeem"), "Joseeem")</f>
        <v>Joseeem</v>
      </c>
      <c r="B263" s="17" t="s">
        <v>586</v>
      </c>
      <c r="C263" s="18">
        <v>46156.944872685184</v>
      </c>
      <c r="D263" s="17" t="s">
        <v>587</v>
      </c>
      <c r="E263" s="19" t="s">
        <v>29</v>
      </c>
      <c r="F263" s="19" t="s">
        <v>30</v>
      </c>
      <c r="G263" s="20" t="s">
        <v>17</v>
      </c>
      <c r="H263" s="20" t="s">
        <v>18</v>
      </c>
      <c r="I263" s="19" t="str">
        <f>IMAGE("https://upload.wikimedia.org/wikipedia/commons/6/69/Boats_in_Playaca.jpg")</f>
        <v/>
      </c>
    </row>
    <row r="264" ht="36.0" customHeight="1">
      <c r="A264" s="10" t="str">
        <f>HYPERLINK("https://commons.wikimedia.org/wiki/User:" &amp; ENCODEURL("Laupedrazaa"), "Laupedrazaa")</f>
        <v>Laupedrazaa</v>
      </c>
      <c r="B264" s="11" t="s">
        <v>588</v>
      </c>
      <c r="C264" s="12">
        <v>46167.87929398148</v>
      </c>
      <c r="D264" s="11" t="s">
        <v>589</v>
      </c>
      <c r="E264" s="14" t="s">
        <v>29</v>
      </c>
      <c r="F264" s="14" t="s">
        <v>30</v>
      </c>
      <c r="G264" s="15" t="s">
        <v>17</v>
      </c>
      <c r="H264" s="15" t="s">
        <v>18</v>
      </c>
      <c r="I264" s="14" t="str">
        <f>IMAGE("https://upload.wikimedia.org/wikipedia/commons/9/9e/Bogot%C3%A1_al_caer_la_tarde.jpg")</f>
        <v/>
      </c>
    </row>
    <row r="265" ht="36.0" customHeight="1">
      <c r="A265" s="16" t="str">
        <f t="shared" ref="A265:A266" si="46">HYPERLINK("https://commons.wikimedia.org/wiki/User:" &amp; ENCODEURL("XimmoY"), "XimmoY")</f>
        <v>XimmoY</v>
      </c>
      <c r="B265" s="17" t="s">
        <v>590</v>
      </c>
      <c r="C265" s="18">
        <v>46203.79184027778</v>
      </c>
      <c r="D265" s="17" t="s">
        <v>591</v>
      </c>
      <c r="E265" s="19" t="s">
        <v>184</v>
      </c>
      <c r="F265" s="20" t="s">
        <v>16</v>
      </c>
      <c r="G265" s="20" t="s">
        <v>17</v>
      </c>
      <c r="H265" s="20" t="s">
        <v>18</v>
      </c>
      <c r="I265" s="19" t="str">
        <f>IMAGE("https://upload.wikimedia.org/wikipedia/commons/3/30/Bolitoglossa_lozanoi_2026-2.jpg")</f>
        <v/>
      </c>
    </row>
    <row r="266" ht="36.0" customHeight="1">
      <c r="A266" s="10" t="str">
        <f t="shared" si="46"/>
        <v>XimmoY</v>
      </c>
      <c r="B266" s="11" t="s">
        <v>592</v>
      </c>
      <c r="C266" s="12">
        <v>46203.79184027778</v>
      </c>
      <c r="D266" s="11" t="s">
        <v>591</v>
      </c>
      <c r="E266" s="14" t="s">
        <v>184</v>
      </c>
      <c r="F266" s="15" t="s">
        <v>16</v>
      </c>
      <c r="G266" s="15" t="s">
        <v>17</v>
      </c>
      <c r="H266" s="15" t="s">
        <v>18</v>
      </c>
      <c r="I266" s="14" t="str">
        <f>IMAGE("https://upload.wikimedia.org/wikipedia/commons/b/ba/Bolitoglossa_lozanoi_2026.jpg")</f>
        <v/>
      </c>
    </row>
    <row r="267" ht="36.0" customHeight="1">
      <c r="A267" s="16" t="str">
        <f t="shared" ref="A267:A268" si="47">HYPERLINK("https://commons.wikimedia.org/wiki/User:" &amp; ENCODEURL("Diferoch"), "Diferoch")</f>
        <v>Diferoch</v>
      </c>
      <c r="B267" s="17" t="s">
        <v>593</v>
      </c>
      <c r="C267" s="18">
        <v>46189.815567129626</v>
      </c>
      <c r="D267" s="17" t="s">
        <v>594</v>
      </c>
      <c r="E267" s="19" t="s">
        <v>595</v>
      </c>
      <c r="F267" s="20" t="s">
        <v>16</v>
      </c>
      <c r="G267" s="20" t="s">
        <v>17</v>
      </c>
      <c r="H267" s="20" t="s">
        <v>18</v>
      </c>
      <c r="I267" s="19" t="str">
        <f>IMAGE("https://upload.wikimedia.org/wikipedia/commons/7/74/Bombus_-_Bogot%C3%A1_D._C.%2C_Colombia_-_23_Aug_2025_-_Diferoch_-_1.jpg")</f>
        <v/>
      </c>
    </row>
    <row r="268" ht="36.0" customHeight="1">
      <c r="A268" s="10" t="str">
        <f t="shared" si="47"/>
        <v>Diferoch</v>
      </c>
      <c r="B268" s="11" t="s">
        <v>596</v>
      </c>
      <c r="C268" s="12">
        <v>46189.81585648148</v>
      </c>
      <c r="D268" s="11" t="s">
        <v>594</v>
      </c>
      <c r="E268" s="14" t="s">
        <v>597</v>
      </c>
      <c r="F268" s="15" t="s">
        <v>16</v>
      </c>
      <c r="G268" s="15" t="s">
        <v>17</v>
      </c>
      <c r="H268" s="15" t="s">
        <v>18</v>
      </c>
      <c r="I268" s="14" t="str">
        <f>IMAGE("https://upload.wikimedia.org/wikipedia/commons/2/2f/Bombus_-_Bogot%C3%A1_D._C.%2C_Colombia_-_23_Aug_2025_-_Diferoch_-_2.jpg")</f>
        <v/>
      </c>
    </row>
    <row r="269" ht="36.0" customHeight="1">
      <c r="A269" s="16" t="str">
        <f>HYPERLINK("https://commons.wikimedia.org/wiki/User:" &amp; ENCODEURL("Andres Ggalindo"), "Andres Ggalindo")</f>
        <v>Andres Ggalindo</v>
      </c>
      <c r="B269" s="17" t="s">
        <v>598</v>
      </c>
      <c r="C269" s="18">
        <v>46203.99832175926</v>
      </c>
      <c r="D269" s="17" t="s">
        <v>599</v>
      </c>
      <c r="E269" s="19" t="s">
        <v>29</v>
      </c>
      <c r="F269" s="19" t="s">
        <v>30</v>
      </c>
      <c r="G269" s="20" t="s">
        <v>17</v>
      </c>
      <c r="H269" s="20" t="s">
        <v>18</v>
      </c>
      <c r="I269" s="19" t="str">
        <f>IMAGE("https://upload.wikimedia.org/wikipedia/commons/a/ab/Bombus_Rubicundus_en_el_Paramo_de_Santurban.jpg")</f>
        <v/>
      </c>
    </row>
    <row r="270" ht="36.0" customHeight="1">
      <c r="A270" s="10" t="str">
        <f>HYPERLINK("https://commons.wikimedia.org/wiki/User:" &amp; ENCODEURL("Rodrigomacrophoto"), "Rodrigomacrophoto")</f>
        <v>Rodrigomacrophoto</v>
      </c>
      <c r="B270" s="11" t="s">
        <v>600</v>
      </c>
      <c r="C270" s="12">
        <v>46196.61185185185</v>
      </c>
      <c r="D270" s="11" t="s">
        <v>601</v>
      </c>
      <c r="E270" s="14" t="s">
        <v>44</v>
      </c>
      <c r="F270" s="15" t="s">
        <v>16</v>
      </c>
      <c r="G270" s="15" t="s">
        <v>17</v>
      </c>
      <c r="H270" s="15" t="s">
        <v>18</v>
      </c>
      <c r="I270" s="14" t="str">
        <f>IMAGE("https://upload.wikimedia.org/wikipedia/commons/e/ee/Bombus_hortulanus_-_Abejorro_de_los_andes.jpg")</f>
        <v/>
      </c>
    </row>
    <row r="271" ht="36.0" customHeight="1">
      <c r="A271" s="16" t="str">
        <f>HYPERLINK("https://commons.wikimedia.org/wiki/User:" &amp; ENCODEURL("Supertita"), "Supertita")</f>
        <v>Supertita</v>
      </c>
      <c r="B271" s="17" t="s">
        <v>602</v>
      </c>
      <c r="C271" s="18">
        <v>46192.60917824074</v>
      </c>
      <c r="D271" s="17" t="s">
        <v>603</v>
      </c>
      <c r="E271" s="19" t="s">
        <v>604</v>
      </c>
      <c r="F271" s="20" t="s">
        <v>16</v>
      </c>
      <c r="G271" s="20" t="s">
        <v>17</v>
      </c>
      <c r="H271" s="20" t="s">
        <v>18</v>
      </c>
      <c r="I271" s="19" t="str">
        <f>IMAGE("https://upload.wikimedia.org/wikipedia/commons/a/a6/Borago_officinalis-medicinal_herb.jpg")</f>
        <v/>
      </c>
    </row>
    <row r="272" ht="36.0" customHeight="1">
      <c r="A272" s="10" t="str">
        <f t="shared" ref="A272:A273" si="48">HYPERLINK("https://commons.wikimedia.org/wiki/User:" &amp; ENCODEURL("AmiGueko"), "AmiGueko")</f>
        <v>AmiGueko</v>
      </c>
      <c r="B272" s="11" t="s">
        <v>605</v>
      </c>
      <c r="C272" s="12">
        <v>46166.58310185185</v>
      </c>
      <c r="D272" s="11" t="s">
        <v>606</v>
      </c>
      <c r="E272" s="14" t="s">
        <v>607</v>
      </c>
      <c r="F272" s="15" t="s">
        <v>16</v>
      </c>
      <c r="G272" s="15" t="s">
        <v>17</v>
      </c>
      <c r="H272" s="15" t="s">
        <v>18</v>
      </c>
      <c r="I272" s="14" t="str">
        <f>IMAGE("https://upload.wikimedia.org/wikipedia/commons/6/63/Borrachero.jpg")</f>
        <v/>
      </c>
    </row>
    <row r="273" ht="36.0" customHeight="1">
      <c r="A273" s="16" t="str">
        <f t="shared" si="48"/>
        <v>AmiGueko</v>
      </c>
      <c r="B273" s="17" t="s">
        <v>608</v>
      </c>
      <c r="C273" s="18">
        <v>46166.58320601852</v>
      </c>
      <c r="D273" s="17" t="s">
        <v>606</v>
      </c>
      <c r="E273" s="19" t="s">
        <v>609</v>
      </c>
      <c r="F273" s="20" t="s">
        <v>16</v>
      </c>
      <c r="G273" s="20" t="s">
        <v>17</v>
      </c>
      <c r="H273" s="20" t="s">
        <v>18</v>
      </c>
      <c r="I273" s="19" t="str">
        <f>IMAGE("https://upload.wikimedia.org/wikipedia/commons/6/66/Borrachero_%2830089%29.jpg")</f>
        <v/>
      </c>
    </row>
    <row r="274" ht="36.0" customHeight="1">
      <c r="A274" s="10" t="str">
        <f>HYPERLINK("https://commons.wikimedia.org/wiki/User:" &amp; ENCODEURL("Nathaly 1106"), "Nathaly 1106")</f>
        <v>Nathaly 1106</v>
      </c>
      <c r="B274" s="11" t="s">
        <v>610</v>
      </c>
      <c r="C274" s="12">
        <v>46147.67125</v>
      </c>
      <c r="D274" s="11" t="s">
        <v>611</v>
      </c>
      <c r="E274" s="14" t="s">
        <v>29</v>
      </c>
      <c r="F274" s="14" t="s">
        <v>30</v>
      </c>
      <c r="G274" s="15" t="s">
        <v>17</v>
      </c>
      <c r="H274" s="15" t="s">
        <v>18</v>
      </c>
      <c r="I274" s="14" t="str">
        <f>IMAGE("https://upload.wikimedia.org/wikipedia/commons/0/0b/Borrachero_%28Solanaceae%29.jpg")</f>
        <v/>
      </c>
    </row>
    <row r="275" ht="36.0" customHeight="1">
      <c r="A275" s="16" t="str">
        <f t="shared" ref="A275:A276" si="49">HYPERLINK("https://commons.wikimedia.org/wiki/User:" &amp; ENCODEURL("Alzevi"), "Alzevi")</f>
        <v>Alzevi</v>
      </c>
      <c r="B275" s="17" t="s">
        <v>612</v>
      </c>
      <c r="C275" s="18">
        <v>46149.55130787037</v>
      </c>
      <c r="D275" s="17" t="s">
        <v>613</v>
      </c>
      <c r="E275" s="19" t="s">
        <v>29</v>
      </c>
      <c r="F275" s="19" t="s">
        <v>30</v>
      </c>
      <c r="G275" s="20" t="s">
        <v>17</v>
      </c>
      <c r="H275" s="20" t="s">
        <v>18</v>
      </c>
      <c r="I275" s="19" t="str">
        <f>IMAGE("https://upload.wikimedia.org/wikipedia/commons/d/dc/Borraja_de_flor_blanca_%28Borago_officinalis_alba_o_bianca%29_abeja_mel%C3%ADfera.jpg")</f>
        <v/>
      </c>
    </row>
    <row r="276" ht="36.0" customHeight="1">
      <c r="A276" s="10" t="str">
        <f t="shared" si="49"/>
        <v>Alzevi</v>
      </c>
      <c r="B276" s="11" t="s">
        <v>614</v>
      </c>
      <c r="C276" s="12">
        <v>46149.55130787037</v>
      </c>
      <c r="D276" s="11" t="s">
        <v>613</v>
      </c>
      <c r="E276" s="14" t="s">
        <v>29</v>
      </c>
      <c r="F276" s="14" t="s">
        <v>30</v>
      </c>
      <c r="G276" s="15" t="s">
        <v>17</v>
      </c>
      <c r="H276" s="15" t="s">
        <v>18</v>
      </c>
      <c r="I276" s="14" t="str">
        <f>IMAGE("https://upload.wikimedia.org/wikipedia/commons/7/75/Borraja_de_flor_blanca_abeja_mel%C3%ADfera.jpg")</f>
        <v/>
      </c>
    </row>
    <row r="277" ht="36.0" customHeight="1">
      <c r="A277" s="16" t="str">
        <f>HYPERLINK("https://commons.wikimedia.org/wiki/User:" &amp; ENCODEURL("Peperomia11"), "Peperomia11")</f>
        <v>Peperomia11</v>
      </c>
      <c r="B277" s="17" t="s">
        <v>615</v>
      </c>
      <c r="C277" s="18">
        <v>46202.56012731481</v>
      </c>
      <c r="D277" s="17" t="s">
        <v>616</v>
      </c>
      <c r="E277" s="19" t="s">
        <v>29</v>
      </c>
      <c r="F277" s="19" t="s">
        <v>30</v>
      </c>
      <c r="G277" s="20" t="s">
        <v>17</v>
      </c>
      <c r="H277" s="20" t="s">
        <v>18</v>
      </c>
      <c r="I277" s="19" t="str">
        <f>IMAGE("https://upload.wikimedia.org/wikipedia/commons/b/b7/Bosque_20260529_090140.jpg")</f>
        <v/>
      </c>
    </row>
    <row r="278" ht="36.0" customHeight="1">
      <c r="A278" s="10" t="str">
        <f>HYPERLINK("https://commons.wikimedia.org/wiki/User:" &amp; ENCODEURL("Adrianava.yviene"), "Adrianava.yviene")</f>
        <v>Adrianava.yviene</v>
      </c>
      <c r="B278" s="11" t="s">
        <v>617</v>
      </c>
      <c r="C278" s="12">
        <v>46198.55805555556</v>
      </c>
      <c r="D278" s="11" t="s">
        <v>618</v>
      </c>
      <c r="E278" s="14" t="s">
        <v>29</v>
      </c>
      <c r="F278" s="14" t="s">
        <v>30</v>
      </c>
      <c r="G278" s="15" t="s">
        <v>17</v>
      </c>
      <c r="H278" s="15" t="s">
        <v>18</v>
      </c>
      <c r="I278" s="14" t="str">
        <f>IMAGE("https://upload.wikimedia.org/wikipedia/commons/9/99/Bosque_Espeletia_uribei.jpg")</f>
        <v/>
      </c>
    </row>
    <row r="279" ht="36.0" customHeight="1">
      <c r="A279" s="16" t="str">
        <f>HYPERLINK("https://commons.wikimedia.org/wiki/User:" &amp; ENCODEURL("CHAVESJUAN19"), "CHAVESJUAN19")</f>
        <v>CHAVESJUAN19</v>
      </c>
      <c r="B279" s="17" t="s">
        <v>619</v>
      </c>
      <c r="C279" s="18">
        <v>46203.786215277774</v>
      </c>
      <c r="D279" s="17" t="s">
        <v>620</v>
      </c>
      <c r="E279" s="19" t="s">
        <v>29</v>
      </c>
      <c r="F279" s="19" t="s">
        <v>30</v>
      </c>
      <c r="G279" s="20" t="s">
        <v>17</v>
      </c>
      <c r="H279" s="20" t="s">
        <v>18</v>
      </c>
      <c r="I279" s="19" t="str">
        <f>IMAGE("https://upload.wikimedia.org/wikipedia/commons/0/03/Bosque_H%C3%BAmedo_Nublado_-_PNN_Cueva_de_los_Guacharos.jpg")</f>
        <v/>
      </c>
    </row>
    <row r="280" ht="36.0" customHeight="1">
      <c r="A280" s="10" t="str">
        <f>HYPERLINK("https://commons.wikimedia.org/wiki/User:" &amp; ENCODEURL("Sonianatural"), "Sonianatural")</f>
        <v>Sonianatural</v>
      </c>
      <c r="B280" s="11" t="s">
        <v>621</v>
      </c>
      <c r="C280" s="12">
        <v>46178.4503587963</v>
      </c>
      <c r="D280" s="11" t="s">
        <v>622</v>
      </c>
      <c r="E280" s="14" t="s">
        <v>29</v>
      </c>
      <c r="F280" s="14" t="s">
        <v>30</v>
      </c>
      <c r="G280" s="15" t="s">
        <v>17</v>
      </c>
      <c r="H280" s="15" t="s">
        <v>18</v>
      </c>
      <c r="I280" s="14" t="str">
        <f>IMAGE("https://upload.wikimedia.org/wikipedia/commons/3/3f/Bosque_altoandino.jpg")</f>
        <v/>
      </c>
    </row>
    <row r="281" ht="36.0" customHeight="1">
      <c r="A281" s="16" t="str">
        <f>HYPERLINK("https://commons.wikimedia.org/wiki/User:" &amp; ENCODEURL("Nathaly 1106"), "Nathaly 1106")</f>
        <v>Nathaly 1106</v>
      </c>
      <c r="B281" s="17" t="s">
        <v>623</v>
      </c>
      <c r="C281" s="18">
        <v>46147.60931712963</v>
      </c>
      <c r="D281" s="17" t="s">
        <v>624</v>
      </c>
      <c r="E281" s="19" t="s">
        <v>29</v>
      </c>
      <c r="F281" s="19" t="s">
        <v>30</v>
      </c>
      <c r="G281" s="20" t="s">
        <v>17</v>
      </c>
      <c r="H281" s="20" t="s">
        <v>18</v>
      </c>
      <c r="I281" s="19" t="str">
        <f>IMAGE("https://upload.wikimedia.org/wikipedia/commons/6/68/Bosque_de_Calaguala_%28Pleopeltis_macrocarpa%29.jpg")</f>
        <v/>
      </c>
    </row>
    <row r="282" ht="36.0" customHeight="1">
      <c r="A282" s="10" t="str">
        <f>HYPERLINK("https://commons.wikimedia.org/wiki/User:" &amp; ENCODEURL("Tatiana Silva 17"), "Tatiana Silva 17")</f>
        <v>Tatiana Silva 17</v>
      </c>
      <c r="B282" s="11" t="s">
        <v>625</v>
      </c>
      <c r="C282" s="12">
        <v>46147.5622337963</v>
      </c>
      <c r="D282" s="11" t="s">
        <v>626</v>
      </c>
      <c r="E282" s="14" t="s">
        <v>627</v>
      </c>
      <c r="F282" s="15" t="s">
        <v>16</v>
      </c>
      <c r="G282" s="15" t="s">
        <v>17</v>
      </c>
      <c r="H282" s="15" t="s">
        <v>18</v>
      </c>
      <c r="I282" s="14" t="str">
        <f>IMAGE("https://upload.wikimedia.org/wikipedia/commons/f/f6/Bosque_de_palma_de_cera.jpg")</f>
        <v/>
      </c>
    </row>
    <row r="283" ht="36.0" customHeight="1">
      <c r="A283" s="16" t="str">
        <f>HYPERLINK("https://commons.wikimedia.org/wiki/User:" &amp; ENCODEURL("Mfrancoavellaneda"), "Mfrancoavellaneda")</f>
        <v>Mfrancoavellaneda</v>
      </c>
      <c r="B283" s="17" t="s">
        <v>628</v>
      </c>
      <c r="C283" s="18">
        <v>46203.711435185185</v>
      </c>
      <c r="D283" s="17" t="s">
        <v>629</v>
      </c>
      <c r="E283" s="19" t="s">
        <v>630</v>
      </c>
      <c r="F283" s="20" t="s">
        <v>16</v>
      </c>
      <c r="G283" s="20" t="s">
        <v>17</v>
      </c>
      <c r="H283" s="20" t="s">
        <v>18</v>
      </c>
      <c r="I283" s="19" t="str">
        <f>IMAGE("https://upload.wikimedia.org/wikipedia/commons/3/35/Bosque_de_pinos_quebrada_La_vieja.jpg")</f>
        <v/>
      </c>
    </row>
    <row r="284" ht="36.0" customHeight="1">
      <c r="A284" s="10" t="str">
        <f>HYPERLINK("https://commons.wikimedia.org/wiki/User:" &amp; ENCODEURL("Johan Andrés Toro"), "Johan Andrés Toro")</f>
        <v>Johan Andrés Toro</v>
      </c>
      <c r="B284" s="11" t="s">
        <v>631</v>
      </c>
      <c r="C284" s="12">
        <v>46171.87672453704</v>
      </c>
      <c r="D284" s="11" t="s">
        <v>632</v>
      </c>
      <c r="E284" s="14" t="s">
        <v>29</v>
      </c>
      <c r="F284" s="14" t="s">
        <v>30</v>
      </c>
      <c r="G284" s="15" t="s">
        <v>17</v>
      </c>
      <c r="H284" s="15" t="s">
        <v>18</v>
      </c>
      <c r="I284" s="14" t="str">
        <f>IMAGE("https://upload.wikimedia.org/wikipedia/commons/3/37/Bosque_denso_de_frailejones_en_el_Parque_Nacional_Natural_Sumapaz.jpg")</f>
        <v/>
      </c>
    </row>
    <row r="285" ht="36.0" customHeight="1">
      <c r="A285" s="16" t="str">
        <f>HYPERLINK("https://commons.wikimedia.org/wiki/User:" &amp; ENCODEURL("Nathaly 1106"), "Nathaly 1106")</f>
        <v>Nathaly 1106</v>
      </c>
      <c r="B285" s="17" t="s">
        <v>633</v>
      </c>
      <c r="C285" s="18">
        <v>46147.626747685186</v>
      </c>
      <c r="D285" s="17" t="s">
        <v>634</v>
      </c>
      <c r="E285" s="19" t="s">
        <v>29</v>
      </c>
      <c r="F285" s="19" t="s">
        <v>30</v>
      </c>
      <c r="G285" s="20" t="s">
        <v>17</v>
      </c>
      <c r="H285" s="20" t="s">
        <v>18</v>
      </c>
      <c r="I285" s="19" t="str">
        <f>IMAGE("https://upload.wikimedia.org/wikipedia/commons/a/a6/Bosque_en_el_Jard%C3%ADn_Bot%C3%A1nico.jpg")</f>
        <v/>
      </c>
    </row>
    <row r="286" ht="36.0" customHeight="1">
      <c r="A286" s="10" t="str">
        <f>HYPERLINK("https://commons.wikimedia.org/wiki/User:" &amp; ENCODEURL("Johannelob"), "Johannelob")</f>
        <v>Johannelob</v>
      </c>
      <c r="B286" s="11" t="s">
        <v>635</v>
      </c>
      <c r="C286" s="12">
        <v>46200.680763888886</v>
      </c>
      <c r="D286" s="11" t="s">
        <v>636</v>
      </c>
      <c r="E286" s="14" t="s">
        <v>223</v>
      </c>
      <c r="F286" s="15" t="s">
        <v>16</v>
      </c>
      <c r="G286" s="15" t="s">
        <v>17</v>
      </c>
      <c r="H286" s="15" t="s">
        <v>18</v>
      </c>
      <c r="I286" s="14" t="str">
        <f>IMAGE("https://upload.wikimedia.org/wikipedia/commons/e/e1/Bosque_encantado_del_FIRE.jpg")</f>
        <v/>
      </c>
    </row>
    <row r="287" ht="36.0" customHeight="1">
      <c r="A287" s="16" t="str">
        <f>HYPERLINK("https://commons.wikimedia.org/wiki/User:" &amp; ENCODEURL("Mfrancoavellaneda"), "Mfrancoavellaneda")</f>
        <v>Mfrancoavellaneda</v>
      </c>
      <c r="B287" s="17" t="s">
        <v>637</v>
      </c>
      <c r="C287" s="18">
        <v>46203.83814814815</v>
      </c>
      <c r="D287" s="17" t="s">
        <v>638</v>
      </c>
      <c r="E287" s="19" t="s">
        <v>29</v>
      </c>
      <c r="F287" s="19" t="s">
        <v>30</v>
      </c>
      <c r="G287" s="20" t="s">
        <v>17</v>
      </c>
      <c r="H287" s="20" t="s">
        <v>18</v>
      </c>
      <c r="I287" s="19" t="str">
        <f>IMAGE("https://upload.wikimedia.org/wikipedia/commons/b/bd/Bosque_seco_tropical_Huila.jpg")</f>
        <v/>
      </c>
    </row>
    <row r="288" ht="36.0" customHeight="1">
      <c r="A288" s="10" t="str">
        <f>HYPERLINK("https://commons.wikimedia.org/wiki/User:" &amp; ENCODEURL("CHAVESJUAN19"), "CHAVESJUAN19")</f>
        <v>CHAVESJUAN19</v>
      </c>
      <c r="B288" s="11" t="s">
        <v>639</v>
      </c>
      <c r="C288" s="12">
        <v>46203.78625</v>
      </c>
      <c r="D288" s="11" t="s">
        <v>620</v>
      </c>
      <c r="E288" s="14" t="s">
        <v>29</v>
      </c>
      <c r="F288" s="14" t="s">
        <v>30</v>
      </c>
      <c r="G288" s="15" t="s">
        <v>17</v>
      </c>
      <c r="H288" s="15" t="s">
        <v>18</v>
      </c>
      <c r="I288" s="14" t="str">
        <f>IMAGE("https://upload.wikimedia.org/wikipedia/commons/1/17/Bosque_subandino_mixto_-_PNN_Cueva_de_los_Guacharos.jpg")</f>
        <v/>
      </c>
    </row>
    <row r="289" ht="36.0" customHeight="1">
      <c r="A289" s="16" t="str">
        <f>HYPERLINK("https://commons.wikimedia.org/wiki/User:" &amp; ENCODEURL("Nathaly 1106"), "Nathaly 1106")</f>
        <v>Nathaly 1106</v>
      </c>
      <c r="B289" s="17" t="s">
        <v>640</v>
      </c>
      <c r="C289" s="18">
        <v>46147.62672453704</v>
      </c>
      <c r="D289" s="17" t="s">
        <v>641</v>
      </c>
      <c r="E289" s="19" t="s">
        <v>29</v>
      </c>
      <c r="F289" s="19" t="s">
        <v>30</v>
      </c>
      <c r="G289" s="20" t="s">
        <v>17</v>
      </c>
      <c r="H289" s="20" t="s">
        <v>18</v>
      </c>
      <c r="I289" s="19" t="str">
        <f>IMAGE("https://upload.wikimedia.org/wikipedia/commons/3/35/Bosque_tropical.jpg")</f>
        <v/>
      </c>
    </row>
    <row r="290" ht="36.0" customHeight="1">
      <c r="A290" s="10" t="str">
        <f>HYPERLINK("https://commons.wikimedia.org/wiki/User:" &amp; ENCODEURL("Pperafan"), "Pperafan")</f>
        <v>Pperafan</v>
      </c>
      <c r="B290" s="11" t="s">
        <v>642</v>
      </c>
      <c r="C290" s="12">
        <v>46201.93568287037</v>
      </c>
      <c r="D290" s="11" t="s">
        <v>643</v>
      </c>
      <c r="E290" s="14" t="s">
        <v>29</v>
      </c>
      <c r="F290" s="14" t="s">
        <v>30</v>
      </c>
      <c r="G290" s="15" t="s">
        <v>17</v>
      </c>
      <c r="H290" s="15" t="s">
        <v>18</v>
      </c>
      <c r="I290" s="14" t="str">
        <f>IMAGE("https://upload.wikimedia.org/wikipedia/commons/b/b2/Bosque_urbano.jpg")</f>
        <v/>
      </c>
    </row>
    <row r="291" ht="36.0" customHeight="1">
      <c r="A291" s="16" t="str">
        <f>HYPERLINK("https://commons.wikimedia.org/wiki/User:" &amp; ENCODEURL("Nathaly 1106"), "Nathaly 1106")</f>
        <v>Nathaly 1106</v>
      </c>
      <c r="B291" s="17" t="s">
        <v>644</v>
      </c>
      <c r="C291" s="18">
        <v>46147.609351851854</v>
      </c>
      <c r="D291" s="17" t="s">
        <v>645</v>
      </c>
      <c r="E291" s="19" t="s">
        <v>29</v>
      </c>
      <c r="F291" s="19" t="s">
        <v>30</v>
      </c>
      <c r="G291" s="20" t="s">
        <v>17</v>
      </c>
      <c r="H291" s="20" t="s">
        <v>18</v>
      </c>
      <c r="I291" s="19" t="str">
        <f>IMAGE("https://upload.wikimedia.org/wikipedia/commons/4/4d/Bosque_y_sendero.jpg")</f>
        <v/>
      </c>
    </row>
    <row r="292" ht="36.0" customHeight="1">
      <c r="A292" s="10" t="str">
        <f>HYPERLINK("https://commons.wikimedia.org/wiki/User:" &amp; ENCODEURL("Jeiver.alejo"), "Jeiver.alejo")</f>
        <v>Jeiver.alejo</v>
      </c>
      <c r="B292" s="11" t="s">
        <v>646</v>
      </c>
      <c r="C292" s="12">
        <v>46150.64732638889</v>
      </c>
      <c r="D292" s="11" t="s">
        <v>647</v>
      </c>
      <c r="E292" s="14" t="s">
        <v>29</v>
      </c>
      <c r="F292" s="14" t="s">
        <v>30</v>
      </c>
      <c r="G292" s="15" t="s">
        <v>17</v>
      </c>
      <c r="H292" s="15" t="s">
        <v>18</v>
      </c>
      <c r="I292" s="14" t="str">
        <f>IMAGE("https://upload.wikimedia.org/wikipedia/commons/b/ba/Bosque_%C3%A1rboles_espina.jpg")</f>
        <v/>
      </c>
    </row>
    <row r="293" ht="36.0" customHeight="1">
      <c r="A293" s="16" t="str">
        <f t="shared" ref="A293:A294" si="50">HYPERLINK("https://commons.wikimedia.org/wiki/User:" &amp; ENCODEURL("CHAVESJUAN19"), "CHAVESJUAN19")</f>
        <v>CHAVESJUAN19</v>
      </c>
      <c r="B293" s="17" t="s">
        <v>648</v>
      </c>
      <c r="C293" s="18">
        <v>46203.78618055556</v>
      </c>
      <c r="D293" s="17" t="s">
        <v>649</v>
      </c>
      <c r="E293" s="19" t="s">
        <v>650</v>
      </c>
      <c r="F293" s="20" t="s">
        <v>16</v>
      </c>
      <c r="G293" s="20" t="s">
        <v>17</v>
      </c>
      <c r="H293" s="20" t="s">
        <v>18</v>
      </c>
      <c r="I293" s="19" t="str">
        <f>IMAGE("https://upload.wikimedia.org/wikipedia/commons/3/3d/Bosques_de_Robles.jpg")</f>
        <v/>
      </c>
    </row>
    <row r="294" ht="36.0" customHeight="1">
      <c r="A294" s="10" t="str">
        <f t="shared" si="50"/>
        <v>CHAVESJUAN19</v>
      </c>
      <c r="B294" s="11" t="s">
        <v>651</v>
      </c>
      <c r="C294" s="12">
        <v>46203.786215277774</v>
      </c>
      <c r="D294" s="11" t="s">
        <v>652</v>
      </c>
      <c r="E294" s="14" t="s">
        <v>29</v>
      </c>
      <c r="F294" s="14" t="s">
        <v>30</v>
      </c>
      <c r="G294" s="15" t="s">
        <v>17</v>
      </c>
      <c r="H294" s="15" t="s">
        <v>18</v>
      </c>
      <c r="I294" s="14" t="str">
        <f>IMAGE("https://upload.wikimedia.org/wikipedia/commons/1/12/Bosques_de_Robles_-_PNN_Cueva_de_los_Guacharos.jpg")</f>
        <v/>
      </c>
    </row>
    <row r="295" ht="36.0" customHeight="1">
      <c r="A295" s="16" t="str">
        <f t="shared" ref="A295:A296" si="51">HYPERLINK("https://commons.wikimedia.org/wiki/User:" &amp; ENCODEURL("Luisalberto p"), "Luisalberto p")</f>
        <v>Luisalberto p</v>
      </c>
      <c r="B295" s="17" t="s">
        <v>653</v>
      </c>
      <c r="C295" s="18">
        <v>46175.70633101852</v>
      </c>
      <c r="D295" s="17" t="s">
        <v>654</v>
      </c>
      <c r="E295" s="19" t="s">
        <v>29</v>
      </c>
      <c r="F295" s="19" t="s">
        <v>30</v>
      </c>
      <c r="G295" s="20" t="s">
        <v>17</v>
      </c>
      <c r="H295" s="20" t="s">
        <v>18</v>
      </c>
      <c r="I295" s="19" t="str">
        <f>IMAGE("https://upload.wikimedia.org/wikipedia/commons/6/67/Bosques_de_niebla_en_el_PNN_Tam%C3%A1%2C_parte_Colombiana.jpg")</f>
        <v/>
      </c>
    </row>
    <row r="296" ht="36.0" customHeight="1">
      <c r="A296" s="10" t="str">
        <f t="shared" si="51"/>
        <v>Luisalberto p</v>
      </c>
      <c r="B296" s="11" t="s">
        <v>655</v>
      </c>
      <c r="C296" s="12">
        <v>46175.70648148148</v>
      </c>
      <c r="D296" s="11" t="s">
        <v>656</v>
      </c>
      <c r="E296" s="14" t="s">
        <v>29</v>
      </c>
      <c r="F296" s="14" t="s">
        <v>30</v>
      </c>
      <c r="G296" s="15" t="s">
        <v>17</v>
      </c>
      <c r="H296" s="15" t="s">
        <v>18</v>
      </c>
      <c r="I296" s="14" t="str">
        <f>IMAGE("https://upload.wikimedia.org/wikipedia/commons/9/99/Bosques_de_niebla_en_el_PNN_Tam%C3%A1.jpg")</f>
        <v/>
      </c>
    </row>
    <row r="297" ht="36.0" customHeight="1">
      <c r="A297" s="16" t="str">
        <f>HYPERLINK("https://commons.wikimedia.org/wiki/User:" &amp; ENCODEURL("CHAVESJUAN19"), "CHAVESJUAN19")</f>
        <v>CHAVESJUAN19</v>
      </c>
      <c r="B297" s="17" t="s">
        <v>657</v>
      </c>
      <c r="C297" s="18">
        <v>46203.962233796294</v>
      </c>
      <c r="D297" s="17" t="s">
        <v>658</v>
      </c>
      <c r="E297" s="19" t="s">
        <v>29</v>
      </c>
      <c r="F297" s="19" t="s">
        <v>30</v>
      </c>
      <c r="G297" s="20" t="s">
        <v>17</v>
      </c>
      <c r="H297" s="20" t="s">
        <v>18</v>
      </c>
      <c r="I297" s="19" t="str">
        <f>IMAGE("https://upload.wikimedia.org/wikipedia/commons/0/00/Bosques_florecidos_-_PNN_Chingaza.jpg")</f>
        <v/>
      </c>
    </row>
    <row r="298" ht="36.0" customHeight="1">
      <c r="A298" s="10" t="str">
        <f>HYPERLINK("https://commons.wikimedia.org/wiki/User:" &amp; ENCODEURL("Nathaly 1106"), "Nathaly 1106")</f>
        <v>Nathaly 1106</v>
      </c>
      <c r="B298" s="11" t="s">
        <v>659</v>
      </c>
      <c r="C298" s="12">
        <v>46147.67109953704</v>
      </c>
      <c r="D298" s="11" t="s">
        <v>660</v>
      </c>
      <c r="E298" s="14" t="s">
        <v>29</v>
      </c>
      <c r="F298" s="14" t="s">
        <v>30</v>
      </c>
      <c r="G298" s="15" t="s">
        <v>17</v>
      </c>
      <c r="H298" s="15" t="s">
        <v>18</v>
      </c>
      <c r="I298" s="14" t="str">
        <f>IMAGE("https://upload.wikimedia.org/wikipedia/commons/5/5d/Botumbo_%28Rosaceae%29.jpg")</f>
        <v/>
      </c>
    </row>
    <row r="299" ht="36.0" customHeight="1">
      <c r="A299" s="16" t="str">
        <f>HYPERLINK("https://commons.wikimedia.org/wiki/User:" &amp; ENCODEURL("Judcar"), "Judcar")</f>
        <v>Judcar</v>
      </c>
      <c r="B299" s="17" t="s">
        <v>661</v>
      </c>
      <c r="C299" s="18">
        <v>46163.55811342593</v>
      </c>
      <c r="D299" s="17" t="s">
        <v>662</v>
      </c>
      <c r="E299" s="19" t="s">
        <v>29</v>
      </c>
      <c r="F299" s="19" t="s">
        <v>30</v>
      </c>
      <c r="G299" s="20" t="s">
        <v>17</v>
      </c>
      <c r="H299" s="20" t="s">
        <v>18</v>
      </c>
      <c r="I299" s="19" t="str">
        <f>IMAGE("https://upload.wikimedia.org/wikipedia/commons/5/56/Bougainvillea_Jard%C3%ADn_Bot%C3%A1nico_de_Bogot%C3%A1.jpg")</f>
        <v/>
      </c>
    </row>
    <row r="300" ht="36.0" customHeight="1">
      <c r="A300" s="10" t="str">
        <f>HYPERLINK("https://commons.wikimedia.org/wiki/User:" &amp; ENCODEURL("Torres María"), "Torres María")</f>
        <v>Torres María</v>
      </c>
      <c r="B300" s="11" t="s">
        <v>663</v>
      </c>
      <c r="C300" s="12">
        <v>46157.63989583333</v>
      </c>
      <c r="D300" s="11" t="s">
        <v>664</v>
      </c>
      <c r="E300" s="14" t="s">
        <v>29</v>
      </c>
      <c r="F300" s="14" t="s">
        <v>30</v>
      </c>
      <c r="G300" s="15" t="s">
        <v>17</v>
      </c>
      <c r="H300" s="15" t="s">
        <v>18</v>
      </c>
      <c r="I300" s="14" t="str">
        <f>IMAGE("https://upload.wikimedia.org/wikipedia/commons/2/2b/Bougainvillea_purple_flower.jpg")</f>
        <v/>
      </c>
    </row>
    <row r="301" ht="36.0" customHeight="1">
      <c r="A301" s="16" t="str">
        <f>HYPERLINK("https://commons.wikimedia.org/wiki/User:" &amp; ENCODEURL("Juan Carlos Sáenz Rodríguez"), "Juan Carlos Sáenz Rodríguez")</f>
        <v>Juan Carlos Sáenz Rodríguez</v>
      </c>
      <c r="B301" s="17" t="s">
        <v>665</v>
      </c>
      <c r="C301" s="18">
        <v>46194.5831712963</v>
      </c>
      <c r="D301" s="17" t="s">
        <v>666</v>
      </c>
      <c r="E301" s="19" t="s">
        <v>29</v>
      </c>
      <c r="F301" s="19" t="s">
        <v>30</v>
      </c>
      <c r="G301" s="20" t="s">
        <v>17</v>
      </c>
      <c r="H301" s="20" t="s">
        <v>18</v>
      </c>
      <c r="I301" s="19" t="str">
        <f>IMAGE("https://upload.wikimedia.org/wikipedia/commons/6/66/Boyac%C3%A1%2C_Colombia%2C_2026.jpg")</f>
        <v/>
      </c>
    </row>
    <row r="302" ht="36.0" customHeight="1">
      <c r="A302" s="10" t="str">
        <f>HYPERLINK("https://commons.wikimedia.org/wiki/User:" &amp; ENCODEURL("XimmoY"), "XimmoY")</f>
        <v>XimmoY</v>
      </c>
      <c r="B302" s="11" t="s">
        <v>667</v>
      </c>
      <c r="C302" s="12">
        <v>46203.94824074074</v>
      </c>
      <c r="D302" s="11" t="s">
        <v>668</v>
      </c>
      <c r="E302" s="14" t="s">
        <v>669</v>
      </c>
      <c r="F302" s="15" t="s">
        <v>16</v>
      </c>
      <c r="G302" s="15" t="s">
        <v>17</v>
      </c>
      <c r="H302" s="15" t="s">
        <v>18</v>
      </c>
      <c r="I302" s="14" t="str">
        <f>IMAGE("https://upload.wikimedia.org/wikipedia/commons/e/e9/Bradypus_variegatus_2026.jpg")</f>
        <v/>
      </c>
    </row>
    <row r="303" ht="36.0" customHeight="1">
      <c r="A303" s="16" t="str">
        <f>HYPERLINK("https://commons.wikimedia.org/wiki/User:" &amp; ENCODEURL("Supertita"), "Supertita")</f>
        <v>Supertita</v>
      </c>
      <c r="B303" s="17" t="s">
        <v>670</v>
      </c>
      <c r="C303" s="18">
        <v>46192.707337962966</v>
      </c>
      <c r="D303" s="17" t="s">
        <v>671</v>
      </c>
      <c r="E303" s="19" t="s">
        <v>21</v>
      </c>
      <c r="F303" s="20" t="s">
        <v>16</v>
      </c>
      <c r="G303" s="20" t="s">
        <v>17</v>
      </c>
      <c r="H303" s="20" t="s">
        <v>18</v>
      </c>
      <c r="I303" s="19" t="str">
        <f>IMAGE("https://upload.wikimedia.org/wikipedia/commons/7/76/Breutelia_pendula-moss-musgo.jpg")</f>
        <v/>
      </c>
    </row>
    <row r="304" ht="36.0" customHeight="1">
      <c r="A304" s="10" t="str">
        <f t="shared" ref="A304:A306" si="52">HYPERLINK("https://commons.wikimedia.org/wiki/User:" &amp; ENCODEURL("Nathaly 1106"), "Nathaly 1106")</f>
        <v>Nathaly 1106</v>
      </c>
      <c r="B304" s="11" t="s">
        <v>672</v>
      </c>
      <c r="C304" s="12">
        <v>46147.62681712963</v>
      </c>
      <c r="D304" s="11" t="s">
        <v>673</v>
      </c>
      <c r="E304" s="14" t="s">
        <v>29</v>
      </c>
      <c r="F304" s="14" t="s">
        <v>30</v>
      </c>
      <c r="G304" s="15" t="s">
        <v>17</v>
      </c>
      <c r="H304" s="15" t="s">
        <v>18</v>
      </c>
      <c r="I304" s="14" t="str">
        <f>IMAGE("https://upload.wikimedia.org/wikipedia/commons/3/3c/Bromelia_%28Bromeliaceae%29.jpg")</f>
        <v/>
      </c>
    </row>
    <row r="305" ht="36.0" customHeight="1">
      <c r="A305" s="16" t="str">
        <f t="shared" si="52"/>
        <v>Nathaly 1106</v>
      </c>
      <c r="B305" s="17" t="s">
        <v>674</v>
      </c>
      <c r="C305" s="18">
        <v>46147.62678240741</v>
      </c>
      <c r="D305" s="17" t="s">
        <v>675</v>
      </c>
      <c r="E305" s="19" t="s">
        <v>29</v>
      </c>
      <c r="F305" s="19" t="s">
        <v>30</v>
      </c>
      <c r="G305" s="20" t="s">
        <v>17</v>
      </c>
      <c r="H305" s="20" t="s">
        <v>18</v>
      </c>
      <c r="I305" s="19" t="str">
        <f>IMAGE("https://upload.wikimedia.org/wikipedia/commons/c/c3/Bromelia_%28Guzmania_lingulata%29.jpg")</f>
        <v/>
      </c>
    </row>
    <row r="306" ht="36.0" customHeight="1">
      <c r="A306" s="10" t="str">
        <f t="shared" si="52"/>
        <v>Nathaly 1106</v>
      </c>
      <c r="B306" s="11" t="s">
        <v>676</v>
      </c>
      <c r="C306" s="12">
        <v>46147.62678240741</v>
      </c>
      <c r="D306" s="11" t="s">
        <v>677</v>
      </c>
      <c r="E306" s="14" t="s">
        <v>29</v>
      </c>
      <c r="F306" s="14" t="s">
        <v>30</v>
      </c>
      <c r="G306" s="15" t="s">
        <v>17</v>
      </c>
      <c r="H306" s="15" t="s">
        <v>18</v>
      </c>
      <c r="I306" s="14" t="str">
        <f>IMAGE("https://upload.wikimedia.org/wikipedia/commons/b/b9/Bromelia_de_flor_blanca.jpg")</f>
        <v/>
      </c>
    </row>
    <row r="307" ht="36.0" customHeight="1">
      <c r="A307" s="16" t="str">
        <f>HYPERLINK("https://commons.wikimedia.org/wiki/User:" &amp; ENCODEURL("Nbareschu"), "Nbareschu")</f>
        <v>Nbareschu</v>
      </c>
      <c r="B307" s="17" t="s">
        <v>678</v>
      </c>
      <c r="C307" s="18">
        <v>46149.42162037037</v>
      </c>
      <c r="D307" s="17" t="s">
        <v>679</v>
      </c>
      <c r="E307" s="19" t="s">
        <v>680</v>
      </c>
      <c r="F307" s="20" t="s">
        <v>16</v>
      </c>
      <c r="G307" s="20" t="s">
        <v>17</v>
      </c>
      <c r="H307" s="20" t="s">
        <v>18</v>
      </c>
      <c r="I307" s="19" t="str">
        <f>IMAGE("https://upload.wikimedia.org/wikipedia/commons/4/44/Bromelia_de_paramo.jpg")</f>
        <v/>
      </c>
    </row>
    <row r="308" ht="36.0" customHeight="1">
      <c r="A308" s="10" t="str">
        <f>HYPERLINK("https://commons.wikimedia.org/wiki/User:" &amp; ENCODEURL("NMontoya (WMCO)"), "NMontoya (WMCO)")</f>
        <v>NMontoya (WMCO)</v>
      </c>
      <c r="B308" s="11" t="s">
        <v>681</v>
      </c>
      <c r="C308" s="12">
        <v>46191.80768518519</v>
      </c>
      <c r="D308" s="11" t="s">
        <v>682</v>
      </c>
      <c r="E308" s="14" t="s">
        <v>683</v>
      </c>
      <c r="F308" s="15" t="s">
        <v>16</v>
      </c>
      <c r="G308" s="15" t="s">
        <v>17</v>
      </c>
      <c r="H308" s="15" t="s">
        <v>18</v>
      </c>
      <c r="I308" s="14" t="str">
        <f>IMAGE("https://upload.wikimedia.org/wikipedia/commons/5/5a/Bromelia_del_g%C3%A9nero_Nidularium.jpg")</f>
        <v/>
      </c>
    </row>
    <row r="309" ht="36.0" customHeight="1">
      <c r="A309" s="16" t="str">
        <f>HYPERLINK("https://commons.wikimedia.org/wiki/User:" &amp; ENCODEURL("AmiGueko"), "AmiGueko")</f>
        <v>AmiGueko</v>
      </c>
      <c r="B309" s="17" t="s">
        <v>684</v>
      </c>
      <c r="C309" s="18">
        <v>46178.39607638889</v>
      </c>
      <c r="D309" s="17" t="s">
        <v>685</v>
      </c>
      <c r="E309" s="19" t="s">
        <v>103</v>
      </c>
      <c r="F309" s="20" t="s">
        <v>16</v>
      </c>
      <c r="G309" s="20" t="s">
        <v>17</v>
      </c>
      <c r="H309" s="20" t="s">
        <v>18</v>
      </c>
      <c r="I309" s="19" t="str">
        <f>IMAGE("https://upload.wikimedia.org/wikipedia/commons/9/9b/Bromelia_mayo_2026.jpg")</f>
        <v/>
      </c>
    </row>
    <row r="310" ht="36.0" customHeight="1">
      <c r="A310" s="10" t="str">
        <f t="shared" ref="A310:A311" si="53">HYPERLINK("https://commons.wikimedia.org/wiki/User:" &amp; ENCODEURL("Nathaly 1106"), "Nathaly 1106")</f>
        <v>Nathaly 1106</v>
      </c>
      <c r="B310" s="11" t="s">
        <v>686</v>
      </c>
      <c r="C310" s="12">
        <v>46147.626851851855</v>
      </c>
      <c r="D310" s="11" t="s">
        <v>687</v>
      </c>
      <c r="E310" s="14" t="s">
        <v>29</v>
      </c>
      <c r="F310" s="14" t="s">
        <v>30</v>
      </c>
      <c r="G310" s="15" t="s">
        <v>17</v>
      </c>
      <c r="H310" s="15" t="s">
        <v>18</v>
      </c>
      <c r="I310" s="14" t="str">
        <f>IMAGE("https://upload.wikimedia.org/wikipedia/commons/a/ae/Bromelia_morada.jpg")</f>
        <v/>
      </c>
    </row>
    <row r="311" ht="36.0" customHeight="1">
      <c r="A311" s="16" t="str">
        <f t="shared" si="53"/>
        <v>Nathaly 1106</v>
      </c>
      <c r="B311" s="17" t="s">
        <v>688</v>
      </c>
      <c r="C311" s="18">
        <v>46147.6268287037</v>
      </c>
      <c r="D311" s="17" t="s">
        <v>675</v>
      </c>
      <c r="E311" s="19" t="s">
        <v>29</v>
      </c>
      <c r="F311" s="19" t="s">
        <v>30</v>
      </c>
      <c r="G311" s="20" t="s">
        <v>17</v>
      </c>
      <c r="H311" s="20" t="s">
        <v>18</v>
      </c>
      <c r="I311" s="19" t="str">
        <f>IMAGE("https://upload.wikimedia.org/wikipedia/commons/d/de/Bromelia_roja_%28Guzmania_lingulata%29.jpg")</f>
        <v/>
      </c>
    </row>
    <row r="312" ht="36.0" customHeight="1">
      <c r="A312" s="10" t="str">
        <f>HYPERLINK("https://commons.wikimedia.org/wiki/User:" &amp; ENCODEURL("Supertita"), "Supertita")</f>
        <v>Supertita</v>
      </c>
      <c r="B312" s="11" t="s">
        <v>689</v>
      </c>
      <c r="C312" s="12">
        <v>46192.70736111111</v>
      </c>
      <c r="D312" s="11" t="s">
        <v>690</v>
      </c>
      <c r="E312" s="14" t="s">
        <v>21</v>
      </c>
      <c r="F312" s="15" t="s">
        <v>16</v>
      </c>
      <c r="G312" s="15" t="s">
        <v>17</v>
      </c>
      <c r="H312" s="15" t="s">
        <v>18</v>
      </c>
      <c r="I312" s="14" t="str">
        <f>IMAGE("https://upload.wikimedia.org/wikipedia/commons/1/17/Bromeliad_plant-Bromeliad_plant.jpg")</f>
        <v/>
      </c>
    </row>
    <row r="313" ht="36.0" customHeight="1">
      <c r="A313" s="16" t="str">
        <f t="shared" ref="A313:A316" si="54">HYPERLINK("https://commons.wikimedia.org/wiki/User:" &amp; ENCODEURL("AmiGueko"), "AmiGueko")</f>
        <v>AmiGueko</v>
      </c>
      <c r="B313" s="17" t="s">
        <v>691</v>
      </c>
      <c r="C313" s="18">
        <v>46166.56959490741</v>
      </c>
      <c r="D313" s="17" t="s">
        <v>692</v>
      </c>
      <c r="E313" s="19" t="s">
        <v>693</v>
      </c>
      <c r="F313" s="20" t="s">
        <v>16</v>
      </c>
      <c r="G313" s="20" t="s">
        <v>17</v>
      </c>
      <c r="H313" s="20" t="s">
        <v>18</v>
      </c>
      <c r="I313" s="19" t="str">
        <f>IMAGE("https://upload.wikimedia.org/wikipedia/commons/8/85/Bromelias_%2824553%29.jpg")</f>
        <v/>
      </c>
    </row>
    <row r="314" ht="36.0" customHeight="1">
      <c r="A314" s="10" t="str">
        <f t="shared" si="54"/>
        <v>AmiGueko</v>
      </c>
      <c r="B314" s="11" t="s">
        <v>694</v>
      </c>
      <c r="C314" s="12">
        <v>46166.56927083333</v>
      </c>
      <c r="D314" s="11" t="s">
        <v>692</v>
      </c>
      <c r="E314" s="14" t="s">
        <v>695</v>
      </c>
      <c r="F314" s="15" t="s">
        <v>16</v>
      </c>
      <c r="G314" s="15" t="s">
        <v>17</v>
      </c>
      <c r="H314" s="15" t="s">
        <v>18</v>
      </c>
      <c r="I314" s="14" t="str">
        <f>IMAGE("https://upload.wikimedia.org/wikipedia/commons/3/3f/Bromelias_%2870524%29.jpg")</f>
        <v/>
      </c>
    </row>
    <row r="315" ht="36.0" customHeight="1">
      <c r="A315" s="16" t="str">
        <f t="shared" si="54"/>
        <v>AmiGueko</v>
      </c>
      <c r="B315" s="17" t="s">
        <v>696</v>
      </c>
      <c r="C315" s="18">
        <v>46166.569386574076</v>
      </c>
      <c r="D315" s="17" t="s">
        <v>692</v>
      </c>
      <c r="E315" s="19" t="s">
        <v>697</v>
      </c>
      <c r="F315" s="20" t="s">
        <v>16</v>
      </c>
      <c r="G315" s="20" t="s">
        <v>17</v>
      </c>
      <c r="H315" s="20" t="s">
        <v>18</v>
      </c>
      <c r="I315" s="19" t="str">
        <f>IMAGE("https://upload.wikimedia.org/wikipedia/commons/8/81/Bromelias_%2885952%29.jpg")</f>
        <v/>
      </c>
    </row>
    <row r="316" ht="36.0" customHeight="1">
      <c r="A316" s="10" t="str">
        <f t="shared" si="54"/>
        <v>AmiGueko</v>
      </c>
      <c r="B316" s="11" t="s">
        <v>698</v>
      </c>
      <c r="C316" s="12">
        <v>46166.56949074074</v>
      </c>
      <c r="D316" s="11" t="s">
        <v>692</v>
      </c>
      <c r="E316" s="14" t="s">
        <v>699</v>
      </c>
      <c r="F316" s="15" t="s">
        <v>16</v>
      </c>
      <c r="G316" s="15" t="s">
        <v>17</v>
      </c>
      <c r="H316" s="15" t="s">
        <v>18</v>
      </c>
      <c r="I316" s="14" t="str">
        <f>IMAGE("https://upload.wikimedia.org/wikipedia/commons/1/13/Bromelias_%2895822%29.jpg")</f>
        <v/>
      </c>
    </row>
    <row r="317" ht="36.0" customHeight="1">
      <c r="A317" s="16" t="str">
        <f>HYPERLINK("https://commons.wikimedia.org/wiki/User:" &amp; ENCODEURL("NMontoya (WMCO)"), "NMontoya (WMCO)")</f>
        <v>NMontoya (WMCO)</v>
      </c>
      <c r="B317" s="17" t="s">
        <v>700</v>
      </c>
      <c r="C317" s="18">
        <v>46191.80777777778</v>
      </c>
      <c r="D317" s="17" t="s">
        <v>701</v>
      </c>
      <c r="E317" s="19" t="s">
        <v>683</v>
      </c>
      <c r="F317" s="20" t="s">
        <v>16</v>
      </c>
      <c r="G317" s="20" t="s">
        <v>17</v>
      </c>
      <c r="H317" s="20" t="s">
        <v>18</v>
      </c>
      <c r="I317" s="19" t="str">
        <f>IMAGE("https://upload.wikimedia.org/wikipedia/commons/6/6b/Bromelias_de_tanque_%E2%80%93_Familia_Bromeliaceae.jpg")</f>
        <v/>
      </c>
    </row>
    <row r="318" ht="36.0" customHeight="1">
      <c r="A318" s="10" t="str">
        <f t="shared" ref="A318:A319" si="55">HYPERLINK("https://commons.wikimedia.org/wiki/User:" &amp; ENCODEURL("Eumastacidae"), "Eumastacidae")</f>
        <v>Eumastacidae</v>
      </c>
      <c r="B318" s="11" t="s">
        <v>702</v>
      </c>
      <c r="C318" s="12">
        <v>46163.506886574076</v>
      </c>
      <c r="D318" s="11" t="s">
        <v>703</v>
      </c>
      <c r="E318" s="14" t="s">
        <v>29</v>
      </c>
      <c r="F318" s="14" t="s">
        <v>30</v>
      </c>
      <c r="G318" s="15" t="s">
        <v>17</v>
      </c>
      <c r="H318" s="15" t="s">
        <v>18</v>
      </c>
      <c r="I318" s="14" t="str">
        <f>IMAGE("https://upload.wikimedia.org/wikipedia/commons/d/d3/Bromelias_epifitas.jpg")</f>
        <v/>
      </c>
    </row>
    <row r="319" ht="36.0" customHeight="1">
      <c r="A319" s="16" t="str">
        <f t="shared" si="55"/>
        <v>Eumastacidae</v>
      </c>
      <c r="B319" s="17" t="s">
        <v>704</v>
      </c>
      <c r="C319" s="18">
        <v>46163.523414351854</v>
      </c>
      <c r="D319" s="17" t="s">
        <v>705</v>
      </c>
      <c r="E319" s="19" t="s">
        <v>29</v>
      </c>
      <c r="F319" s="19" t="s">
        <v>30</v>
      </c>
      <c r="G319" s="20" t="s">
        <v>17</v>
      </c>
      <c r="H319" s="20" t="s">
        <v>18</v>
      </c>
      <c r="I319" s="19" t="str">
        <f>IMAGE("https://upload.wikimedia.org/wikipedia/commons/e/ee/Bromelias_ep%C3%ADfitas_en_Bojac%C3%A1.jpg")</f>
        <v/>
      </c>
    </row>
    <row r="320" ht="36.0" customHeight="1">
      <c r="A320" s="10" t="str">
        <f>HYPERLINK("https://commons.wikimedia.org/wiki/User:" &amp; ENCODEURL("Leo123qwerty"), "Leo123qwerty")</f>
        <v>Leo123qwerty</v>
      </c>
      <c r="B320" s="11" t="s">
        <v>706</v>
      </c>
      <c r="C320" s="12">
        <v>46201.7765162037</v>
      </c>
      <c r="D320" s="11" t="s">
        <v>707</v>
      </c>
      <c r="E320" s="14" t="s">
        <v>708</v>
      </c>
      <c r="F320" s="15" t="s">
        <v>16</v>
      </c>
      <c r="G320" s="15" t="s">
        <v>17</v>
      </c>
      <c r="H320" s="15" t="s">
        <v>18</v>
      </c>
      <c r="I320" s="14" t="str">
        <f>IMAGE("https://upload.wikimedia.org/wikipedia/commons/c/ce/Brote_de_planta_con_clorosis_o_variegaci%C3%B3n.jpg")</f>
        <v/>
      </c>
    </row>
    <row r="321" ht="36.0" customHeight="1">
      <c r="A321" s="16" t="str">
        <f>HYPERLINK("https://commons.wikimedia.org/wiki/User:" &amp; ENCODEURL("NMontoya (WMCO)"), "NMontoya (WMCO)")</f>
        <v>NMontoya (WMCO)</v>
      </c>
      <c r="B321" s="17" t="s">
        <v>709</v>
      </c>
      <c r="C321" s="18">
        <v>46177.80662037037</v>
      </c>
      <c r="D321" s="17" t="s">
        <v>710</v>
      </c>
      <c r="E321" s="19" t="s">
        <v>103</v>
      </c>
      <c r="F321" s="20" t="s">
        <v>16</v>
      </c>
      <c r="G321" s="20" t="s">
        <v>17</v>
      </c>
      <c r="H321" s="20" t="s">
        <v>18</v>
      </c>
      <c r="I321" s="19" t="str">
        <f>IMAGE("https://upload.wikimedia.org/wikipedia/commons/2/25/Brote_en_hoja_simple_-_Genero_Triplaris.jpg")</f>
        <v/>
      </c>
    </row>
    <row r="322" ht="36.0" customHeight="1">
      <c r="A322" s="10" t="str">
        <f>HYPERLINK("https://commons.wikimedia.org/wiki/User:" &amp; ENCODEURL("Tudum1213"), "Tudum1213")</f>
        <v>Tudum1213</v>
      </c>
      <c r="B322" s="11" t="s">
        <v>711</v>
      </c>
      <c r="C322" s="12">
        <v>46163.53644675926</v>
      </c>
      <c r="D322" s="11" t="s">
        <v>712</v>
      </c>
      <c r="E322" s="14" t="s">
        <v>29</v>
      </c>
      <c r="F322" s="14" t="s">
        <v>30</v>
      </c>
      <c r="G322" s="15" t="s">
        <v>17</v>
      </c>
      <c r="H322" s="15" t="s">
        <v>18</v>
      </c>
      <c r="I322" s="14" t="str">
        <f>IMAGE("https://upload.wikimedia.org/wikipedia/commons/3/32/Brotes_de_arbol_de_magnolia_grandiflora.jpg")</f>
        <v/>
      </c>
    </row>
    <row r="323" ht="36.0" customHeight="1">
      <c r="A323" s="16" t="str">
        <f>HYPERLINK("https://commons.wikimedia.org/wiki/User:" &amp; ENCODEURL("Charlesjsharp"), "Charlesjsharp")</f>
        <v>Charlesjsharp</v>
      </c>
      <c r="B323" s="17" t="s">
        <v>713</v>
      </c>
      <c r="C323" s="18">
        <v>46171.61688657408</v>
      </c>
      <c r="D323" s="17" t="s">
        <v>714</v>
      </c>
      <c r="E323" s="19" t="s">
        <v>554</v>
      </c>
      <c r="F323" s="20" t="s">
        <v>16</v>
      </c>
      <c r="G323" s="20" t="s">
        <v>17</v>
      </c>
      <c r="H323" s="20" t="s">
        <v>18</v>
      </c>
      <c r="I323" s="19" t="str">
        <f>IMAGE("https://upload.wikimedia.org/wikipedia/commons/4/44/Brown-banded_antpitta_%28Grallaria_milleri%29_Caldas_2.jpg")</f>
        <v/>
      </c>
    </row>
    <row r="324" ht="36.0" customHeight="1">
      <c r="A324" s="10" t="str">
        <f>HYPERLINK("https://commons.wikimedia.org/wiki/User:" &amp; ENCODEURL("Reduvida3"), "Reduvida3")</f>
        <v>Reduvida3</v>
      </c>
      <c r="B324" s="11" t="s">
        <v>715</v>
      </c>
      <c r="C324" s="12">
        <v>46182.654178240744</v>
      </c>
      <c r="D324" s="11" t="s">
        <v>716</v>
      </c>
      <c r="E324" s="14" t="s">
        <v>29</v>
      </c>
      <c r="F324" s="14" t="s">
        <v>30</v>
      </c>
      <c r="G324" s="15" t="s">
        <v>17</v>
      </c>
      <c r="H324" s="15" t="s">
        <v>18</v>
      </c>
      <c r="I324" s="14" t="str">
        <f>IMAGE("https://upload.wikimedia.org/wikipedia/commons/8/8c/Brown_Pelican_and_two_Snowy_Egrets_in_Santa_Marta_Port%2C_Colombia.jpg")</f>
        <v/>
      </c>
    </row>
    <row r="325" ht="36.0" customHeight="1">
      <c r="A325" s="16" t="str">
        <f>HYPERLINK("https://commons.wikimedia.org/wiki/User:" &amp; ENCODEURL("Jose Arbelaez 78"), "Jose Arbelaez 78")</f>
        <v>Jose Arbelaez 78</v>
      </c>
      <c r="B325" s="17" t="s">
        <v>717</v>
      </c>
      <c r="C325" s="18">
        <v>46202.66030092593</v>
      </c>
      <c r="D325" s="17" t="s">
        <v>718</v>
      </c>
      <c r="E325" s="19" t="s">
        <v>29</v>
      </c>
      <c r="F325" s="19" t="s">
        <v>30</v>
      </c>
      <c r="G325" s="20" t="s">
        <v>17</v>
      </c>
      <c r="H325" s="20" t="s">
        <v>18</v>
      </c>
      <c r="I325" s="19" t="str">
        <f>IMAGE("https://upload.wikimedia.org/wikipedia/commons/3/30/Buffet_natural.jpg")</f>
        <v/>
      </c>
    </row>
    <row r="326" ht="36.0" customHeight="1">
      <c r="A326" s="10" t="str">
        <f>HYPERLINK("https://commons.wikimedia.org/wiki/User:" &amp; ENCODEURL("Reduvida3"), "Reduvida3")</f>
        <v>Reduvida3</v>
      </c>
      <c r="B326" s="11" t="s">
        <v>719</v>
      </c>
      <c r="C326" s="12">
        <v>46182.654641203706</v>
      </c>
      <c r="D326" s="11" t="s">
        <v>720</v>
      </c>
      <c r="E326" s="14" t="s">
        <v>29</v>
      </c>
      <c r="F326" s="14" t="s">
        <v>30</v>
      </c>
      <c r="G326" s="15" t="s">
        <v>17</v>
      </c>
      <c r="H326" s="15" t="s">
        <v>18</v>
      </c>
      <c r="I326" s="14" t="str">
        <f>IMAGE("https://upload.wikimedia.org/wikipedia/commons/d/d6/Bumblebees_%28Bombus_sp.%29_on_a_Dahlia_flower_in_Paipa%2C_Boyac%C3%A1%2C_Colombia.jpg")</f>
        <v/>
      </c>
    </row>
    <row r="327" ht="36.0" customHeight="1">
      <c r="A327" s="16" t="str">
        <f>HYPERLINK("https://commons.wikimedia.org/wiki/User:" &amp; ENCODEURL("Willandre1194"), "Willandre1194")</f>
        <v>Willandre1194</v>
      </c>
      <c r="B327" s="17" t="s">
        <v>721</v>
      </c>
      <c r="C327" s="18">
        <v>46155.66091435185</v>
      </c>
      <c r="D327" s="17" t="s">
        <v>722</v>
      </c>
      <c r="E327" s="19" t="s">
        <v>29</v>
      </c>
      <c r="F327" s="19" t="s">
        <v>30</v>
      </c>
      <c r="G327" s="20" t="s">
        <v>17</v>
      </c>
      <c r="H327" s="20" t="s">
        <v>18</v>
      </c>
      <c r="I327" s="19" t="str">
        <f>IMAGE("https://upload.wikimedia.org/wikipedia/commons/0/08/Burro_Colombiano.jpg")</f>
        <v/>
      </c>
    </row>
    <row r="328" ht="36.0" customHeight="1">
      <c r="A328" s="10" t="str">
        <f>HYPERLINK("https://commons.wikimedia.org/wiki/User:" &amp; ENCODEURL("CHAVESJUAN19"), "CHAVESJUAN19")</f>
        <v>CHAVESJUAN19</v>
      </c>
      <c r="B328" s="11" t="s">
        <v>723</v>
      </c>
      <c r="C328" s="12">
        <v>46203.9621412037</v>
      </c>
      <c r="D328" s="11" t="s">
        <v>724</v>
      </c>
      <c r="E328" s="14" t="s">
        <v>179</v>
      </c>
      <c r="F328" s="15" t="s">
        <v>16</v>
      </c>
      <c r="G328" s="15" t="s">
        <v>17</v>
      </c>
      <c r="H328" s="15" t="s">
        <v>18</v>
      </c>
      <c r="I328" s="14" t="str">
        <f>IMAGE("https://upload.wikimedia.org/wikipedia/commons/9/96/Buscando_amor_-_PNN_Cueva_de_los_Guacharos_%28PRIMER_PLANO%29.jpg")</f>
        <v/>
      </c>
    </row>
    <row r="329" ht="36.0" customHeight="1">
      <c r="A329" s="16" t="str">
        <f>HYPERLINK("https://commons.wikimedia.org/wiki/User:" &amp; ENCODEURL("Cdsfdsfvfds"), "Cdsfdsfvfds")</f>
        <v>Cdsfdsfvfds</v>
      </c>
      <c r="B329" s="17" t="s">
        <v>725</v>
      </c>
      <c r="C329" s="18">
        <v>46144.56711805556</v>
      </c>
      <c r="D329" s="17" t="s">
        <v>726</v>
      </c>
      <c r="E329" s="19" t="s">
        <v>29</v>
      </c>
      <c r="F329" s="19" t="s">
        <v>30</v>
      </c>
      <c r="G329" s="20" t="s">
        <v>17</v>
      </c>
      <c r="H329" s="20" t="s">
        <v>18</v>
      </c>
      <c r="I329" s="19" t="str">
        <f>IMAGE("https://upload.wikimedia.org/wikipedia/commons/6/6d/Bye-chat-nutella.gif")</f>
        <v/>
      </c>
    </row>
    <row r="330" ht="36.0" customHeight="1">
      <c r="A330" s="10" t="str">
        <f>HYPERLINK("https://commons.wikimedia.org/wiki/User:" &amp; ENCODEURL("Johan Andrés Toro"), "Johan Andrés Toro")</f>
        <v>Johan Andrés Toro</v>
      </c>
      <c r="B330" s="11" t="s">
        <v>727</v>
      </c>
      <c r="C330" s="12">
        <v>46176.94582175926</v>
      </c>
      <c r="D330" s="11" t="s">
        <v>728</v>
      </c>
      <c r="E330" s="14" t="s">
        <v>29</v>
      </c>
      <c r="F330" s="14" t="s">
        <v>30</v>
      </c>
      <c r="G330" s="15" t="s">
        <v>17</v>
      </c>
      <c r="H330" s="15" t="s">
        <v>18</v>
      </c>
      <c r="I330" s="14" t="str">
        <f>IMAGE("https://upload.wikimedia.org/wikipedia/commons/9/99/B%C3%B3veda_celeste_profunda_en_el_desierto_de_la_Tatacoa.jpg")</f>
        <v/>
      </c>
    </row>
    <row r="331" ht="36.0" customHeight="1">
      <c r="A331" s="16" t="str">
        <f>HYPERLINK("https://commons.wikimedia.org/wiki/User:" &amp; ENCODEURL("Juli 2000 her"), "Juli 2000 her")</f>
        <v>Juli 2000 her</v>
      </c>
      <c r="B331" s="17" t="s">
        <v>729</v>
      </c>
      <c r="C331" s="18">
        <v>46189.054027777776</v>
      </c>
      <c r="D331" s="17" t="s">
        <v>730</v>
      </c>
      <c r="E331" s="19" t="s">
        <v>29</v>
      </c>
      <c r="F331" s="19" t="s">
        <v>30</v>
      </c>
      <c r="G331" s="20" t="s">
        <v>17</v>
      </c>
      <c r="H331" s="20" t="s">
        <v>18</v>
      </c>
      <c r="I331" s="19" t="str">
        <f>IMAGE("https://upload.wikimedia.org/wikipedia/commons/e/ef/B%C3%BAho_Llanero_en_Casanar%C3%A9_-_2022.jpg")</f>
        <v/>
      </c>
    </row>
    <row r="332" ht="36.0" customHeight="1">
      <c r="A332" s="10" t="str">
        <f>HYPERLINK("https://commons.wikimedia.org/wiki/User:" &amp; ENCODEURL("Karumain"), "Karumain")</f>
        <v>Karumain</v>
      </c>
      <c r="B332" s="11" t="s">
        <v>731</v>
      </c>
      <c r="C332" s="12">
        <v>46163.55972222222</v>
      </c>
      <c r="D332" s="11" t="s">
        <v>732</v>
      </c>
      <c r="E332" s="14" t="s">
        <v>29</v>
      </c>
      <c r="F332" s="14" t="s">
        <v>30</v>
      </c>
      <c r="G332" s="15" t="s">
        <v>17</v>
      </c>
      <c r="H332" s="15" t="s">
        <v>18</v>
      </c>
      <c r="I332" s="14" t="str">
        <f>IMAGE("https://upload.wikimedia.org/wikipedia/commons/0/06/B%C3%BAho_posando_en_%C3%A1rbol.jpg")</f>
        <v/>
      </c>
    </row>
    <row r="333" ht="36.0" customHeight="1">
      <c r="A333" s="16" t="str">
        <f>HYPERLINK("https://commons.wikimedia.org/wiki/User:" &amp; ENCODEURL("Mathias David P"), "Mathias David P")</f>
        <v>Mathias David P</v>
      </c>
      <c r="B333" s="17" t="s">
        <v>733</v>
      </c>
      <c r="C333" s="18">
        <v>46201.7465625</v>
      </c>
      <c r="D333" s="17" t="s">
        <v>734</v>
      </c>
      <c r="E333" s="19" t="s">
        <v>29</v>
      </c>
      <c r="F333" s="19" t="s">
        <v>30</v>
      </c>
      <c r="G333" s="20" t="s">
        <v>17</v>
      </c>
      <c r="H333" s="20" t="s">
        <v>18</v>
      </c>
      <c r="I333" s="19" t="str">
        <f>IMAGE("https://upload.wikimedia.org/wikipedia/commons/3/3e/Caballito_de_batalla.png")</f>
        <v/>
      </c>
    </row>
    <row r="334" ht="36.0" customHeight="1">
      <c r="A334" s="10" t="str">
        <f>HYPERLINK("https://commons.wikimedia.org/wiki/User:" &amp; ENCODEURL("Avargasc1"), "Avargasc1")</f>
        <v>Avargasc1</v>
      </c>
      <c r="B334" s="11" t="s">
        <v>735</v>
      </c>
      <c r="C334" s="12">
        <v>46171.368125</v>
      </c>
      <c r="D334" s="11" t="s">
        <v>736</v>
      </c>
      <c r="E334" s="14" t="s">
        <v>29</v>
      </c>
      <c r="F334" s="14" t="s">
        <v>30</v>
      </c>
      <c r="G334" s="15" t="s">
        <v>17</v>
      </c>
      <c r="H334" s="15" t="s">
        <v>18</v>
      </c>
      <c r="I334" s="14" t="str">
        <f>IMAGE("https://upload.wikimedia.org/wikipedia/commons/f/fb/Caballitos_escarlata.jpg")</f>
        <v/>
      </c>
    </row>
    <row r="335" ht="36.0" customHeight="1">
      <c r="A335" s="16" t="str">
        <f t="shared" ref="A335:A337" si="56">HYPERLINK("https://commons.wikimedia.org/wiki/User:" &amp; ENCODEURL("Gar.camila.cia"), "Gar.camila.cia")</f>
        <v>Gar.camila.cia</v>
      </c>
      <c r="B335" s="17" t="s">
        <v>737</v>
      </c>
      <c r="C335" s="18">
        <v>46202.55368055555</v>
      </c>
      <c r="D335" s="17" t="s">
        <v>738</v>
      </c>
      <c r="E335" s="19" t="s">
        <v>29</v>
      </c>
      <c r="F335" s="19" t="s">
        <v>30</v>
      </c>
      <c r="G335" s="20" t="s">
        <v>17</v>
      </c>
      <c r="H335" s="20" t="s">
        <v>18</v>
      </c>
      <c r="I335" s="19" t="str">
        <f>IMAGE("https://upload.wikimedia.org/wikipedia/commons/5/5b/Cabo_San_Juan_Mountain_View_%282024%29.jpg")</f>
        <v/>
      </c>
    </row>
    <row r="336" ht="36.0" customHeight="1">
      <c r="A336" s="10" t="str">
        <f t="shared" si="56"/>
        <v>Gar.camila.cia</v>
      </c>
      <c r="B336" s="11" t="s">
        <v>739</v>
      </c>
      <c r="C336" s="12">
        <v>46202.53564814815</v>
      </c>
      <c r="D336" s="11" t="s">
        <v>740</v>
      </c>
      <c r="E336" s="14" t="s">
        <v>29</v>
      </c>
      <c r="F336" s="14" t="s">
        <v>30</v>
      </c>
      <c r="G336" s="15" t="s">
        <v>17</v>
      </c>
      <c r="H336" s="15" t="s">
        <v>18</v>
      </c>
      <c r="I336" s="14" t="str">
        <f>IMAGE("https://upload.wikimedia.org/wikipedia/commons/b/b0/Cabo_San_Juan_Rocky_View_%282024%29.jpg")</f>
        <v/>
      </c>
    </row>
    <row r="337" ht="36.0" customHeight="1">
      <c r="A337" s="16" t="str">
        <f t="shared" si="56"/>
        <v>Gar.camila.cia</v>
      </c>
      <c r="B337" s="17" t="s">
        <v>741</v>
      </c>
      <c r="C337" s="18">
        <v>46202.555972222224</v>
      </c>
      <c r="D337" s="17" t="s">
        <v>742</v>
      </c>
      <c r="E337" s="19" t="s">
        <v>29</v>
      </c>
      <c r="F337" s="19" t="s">
        <v>30</v>
      </c>
      <c r="G337" s="20" t="s">
        <v>17</v>
      </c>
      <c r="H337" s="20" t="s">
        <v>18</v>
      </c>
      <c r="I337" s="19" t="str">
        <f>IMAGE("https://upload.wikimedia.org/wikipedia/commons/6/68/Cabo_San_Juan_Splashing_Rock_%282024%29.jpg")</f>
        <v/>
      </c>
    </row>
    <row r="338" ht="36.0" customHeight="1">
      <c r="A338" s="10" t="str">
        <f>HYPERLINK("https://commons.wikimedia.org/wiki/User:" &amp; ENCODEURL("Johan Andrés Toro"), "Johan Andrés Toro")</f>
        <v>Johan Andrés Toro</v>
      </c>
      <c r="B338" s="11" t="s">
        <v>743</v>
      </c>
      <c r="C338" s="12">
        <v>46166.956828703704</v>
      </c>
      <c r="D338" s="11" t="s">
        <v>744</v>
      </c>
      <c r="E338" s="14" t="s">
        <v>29</v>
      </c>
      <c r="F338" s="14" t="s">
        <v>30</v>
      </c>
      <c r="G338" s="15" t="s">
        <v>17</v>
      </c>
      <c r="H338" s="15" t="s">
        <v>18</v>
      </c>
      <c r="I338" s="14" t="str">
        <f>IMAGE("https://upload.wikimedia.org/wikipedia/commons/8/87/Cabo_Tiburon_en_Frontera_entre_Colombia_y_Panama.jpg")</f>
        <v/>
      </c>
    </row>
    <row r="339" ht="36.0" customHeight="1">
      <c r="A339" s="16" t="str">
        <f>HYPERLINK("https://commons.wikimedia.org/wiki/User:" &amp; ENCODEURL("Willandre1194"), "Willandre1194")</f>
        <v>Willandre1194</v>
      </c>
      <c r="B339" s="17" t="s">
        <v>745</v>
      </c>
      <c r="C339" s="18">
        <v>46155.66103009259</v>
      </c>
      <c r="D339" s="17" t="s">
        <v>746</v>
      </c>
      <c r="E339" s="19" t="s">
        <v>29</v>
      </c>
      <c r="F339" s="19" t="s">
        <v>30</v>
      </c>
      <c r="G339" s="20" t="s">
        <v>17</v>
      </c>
      <c r="H339" s="20" t="s">
        <v>18</v>
      </c>
      <c r="I339" s="19" t="str">
        <f>IMAGE("https://upload.wikimedia.org/wikipedia/commons/9/97/Cabo_de_la_Vela%2C_Guajira.jpg")</f>
        <v/>
      </c>
    </row>
    <row r="340" ht="36.0" customHeight="1">
      <c r="A340" s="10" t="str">
        <f>HYPERLINK("https://commons.wikimedia.org/wiki/User:" &amp; ENCODEURL("Oscarvelascomora"), "Oscarvelascomora")</f>
        <v>Oscarvelascomora</v>
      </c>
      <c r="B340" s="11" t="s">
        <v>747</v>
      </c>
      <c r="C340" s="12">
        <v>46151.68315972222</v>
      </c>
      <c r="D340" s="11" t="s">
        <v>748</v>
      </c>
      <c r="E340" s="14" t="s">
        <v>29</v>
      </c>
      <c r="F340" s="14" t="s">
        <v>30</v>
      </c>
      <c r="G340" s="15" t="s">
        <v>17</v>
      </c>
      <c r="H340" s="15" t="s">
        <v>18</v>
      </c>
      <c r="I340" s="14" t="str">
        <f>IMAGE("https://upload.wikimedia.org/wikipedia/commons/0/06/Cabo_de_la_Vela_Guajira_Colombia_Caserio.jpg")</f>
        <v/>
      </c>
    </row>
    <row r="341" ht="36.0" customHeight="1">
      <c r="A341" s="16" t="str">
        <f t="shared" ref="A341:A343" si="57">HYPERLINK("https://commons.wikimedia.org/wiki/User:" &amp; ENCODEURL("SebasWork"), "SebasWork")</f>
        <v>SebasWork</v>
      </c>
      <c r="B341" s="17" t="s">
        <v>749</v>
      </c>
      <c r="C341" s="18">
        <v>46203.68892361111</v>
      </c>
      <c r="D341" s="17" t="s">
        <v>750</v>
      </c>
      <c r="E341" s="19" t="s">
        <v>29</v>
      </c>
      <c r="F341" s="19" t="s">
        <v>30</v>
      </c>
      <c r="G341" s="20" t="s">
        <v>17</v>
      </c>
      <c r="H341" s="20" t="s">
        <v>18</v>
      </c>
      <c r="I341" s="19" t="str">
        <f>IMAGE("https://upload.wikimedia.org/wikipedia/commons/0/07/Cabo_de_la_vela_ascenso_al_pil%C3%B3n_de_az%C3%BAcar.jpg")</f>
        <v/>
      </c>
    </row>
    <row r="342" ht="36.0" customHeight="1">
      <c r="A342" s="10" t="str">
        <f t="shared" si="57"/>
        <v>SebasWork</v>
      </c>
      <c r="B342" s="11" t="s">
        <v>751</v>
      </c>
      <c r="C342" s="12">
        <v>46203.75368055556</v>
      </c>
      <c r="D342" s="11" t="s">
        <v>752</v>
      </c>
      <c r="E342" s="14" t="s">
        <v>29</v>
      </c>
      <c r="F342" s="14" t="s">
        <v>30</v>
      </c>
      <c r="G342" s="15" t="s">
        <v>17</v>
      </c>
      <c r="H342" s="15" t="s">
        <v>18</v>
      </c>
      <c r="I342" s="14" t="str">
        <f>IMAGE("https://upload.wikimedia.org/wikipedia/commons/0/0a/Cabo_de_la_vela_mirador_del_pil%C3%B3n_de_az%C3%BAcar.jpg")</f>
        <v/>
      </c>
    </row>
    <row r="343" ht="36.0" customHeight="1">
      <c r="A343" s="16" t="str">
        <f t="shared" si="57"/>
        <v>SebasWork</v>
      </c>
      <c r="B343" s="17" t="s">
        <v>753</v>
      </c>
      <c r="C343" s="18">
        <v>46203.75362268519</v>
      </c>
      <c r="D343" s="17" t="s">
        <v>754</v>
      </c>
      <c r="E343" s="19" t="s">
        <v>29</v>
      </c>
      <c r="F343" s="19" t="s">
        <v>30</v>
      </c>
      <c r="G343" s="20" t="s">
        <v>17</v>
      </c>
      <c r="H343" s="20" t="s">
        <v>18</v>
      </c>
      <c r="I343" s="19" t="str">
        <f>IMAGE("https://upload.wikimedia.org/wikipedia/commons/4/46/Cabo_de_la_vela_playa_del_pil%C3%B3n_de_az%C3%BAcar.jpg")</f>
        <v/>
      </c>
    </row>
    <row r="344" ht="36.0" customHeight="1">
      <c r="A344" s="10" t="str">
        <f>HYPERLINK("https://commons.wikimedia.org/wiki/User:" &amp; ENCODEURL("Estudiante0001"), "Estudiante0001")</f>
        <v>Estudiante0001</v>
      </c>
      <c r="B344" s="11" t="s">
        <v>755</v>
      </c>
      <c r="C344" s="12">
        <v>46163.5555787037</v>
      </c>
      <c r="D344" s="11" t="s">
        <v>756</v>
      </c>
      <c r="E344" s="14" t="s">
        <v>29</v>
      </c>
      <c r="F344" s="14" t="s">
        <v>30</v>
      </c>
      <c r="G344" s="15" t="s">
        <v>17</v>
      </c>
      <c r="H344" s="15" t="s">
        <v>18</v>
      </c>
      <c r="I344" s="14" t="str">
        <f>IMAGE("https://upload.wikimedia.org/wikipedia/commons/f/f9/Cabritos_acostados.jpg")</f>
        <v/>
      </c>
    </row>
    <row r="345" ht="36.0" customHeight="1">
      <c r="A345" s="16" t="str">
        <f>HYPERLINK("https://commons.wikimedia.org/wiki/User:" &amp; ENCODEURL("Romauribe"), "Romauribe")</f>
        <v>Romauribe</v>
      </c>
      <c r="B345" s="17" t="s">
        <v>757</v>
      </c>
      <c r="C345" s="18">
        <v>46180.4128587963</v>
      </c>
      <c r="D345" s="17" t="s">
        <v>758</v>
      </c>
      <c r="E345" s="19" t="s">
        <v>759</v>
      </c>
      <c r="F345" s="20" t="s">
        <v>16</v>
      </c>
      <c r="G345" s="20" t="s">
        <v>17</v>
      </c>
      <c r="H345" s="20" t="s">
        <v>18</v>
      </c>
      <c r="I345" s="19" t="str">
        <f>IMAGE("https://upload.wikimedia.org/wikipedia/commons/5/50/Cactus_blanco%2C_Colombia.jpg")</f>
        <v/>
      </c>
    </row>
    <row r="346" ht="36.0" customHeight="1">
      <c r="A346" s="10" t="str">
        <f>HYPERLINK("https://commons.wikimedia.org/wiki/User:" &amp; ENCODEURL("Cathetovar"), "Cathetovar")</f>
        <v>Cathetovar</v>
      </c>
      <c r="B346" s="11" t="s">
        <v>760</v>
      </c>
      <c r="C346" s="12">
        <v>46195.78065972222</v>
      </c>
      <c r="D346" s="11" t="s">
        <v>761</v>
      </c>
      <c r="E346" s="14" t="s">
        <v>762</v>
      </c>
      <c r="F346" s="15" t="s">
        <v>16</v>
      </c>
      <c r="G346" s="15" t="s">
        <v>17</v>
      </c>
      <c r="H346" s="15" t="s">
        <v>18</v>
      </c>
      <c r="I346" s="14" t="str">
        <f>IMAGE("https://upload.wikimedia.org/wikipedia/commons/e/e8/Cactus_cabecinegro_en_Los_Hoyos.jpg")</f>
        <v/>
      </c>
    </row>
    <row r="347" ht="36.0" customHeight="1">
      <c r="A347" s="16" t="str">
        <f>HYPERLINK("https://commons.wikimedia.org/wiki/User:" &amp; ENCODEURL("Johan Andrés Toro"), "Johan Andrés Toro")</f>
        <v>Johan Andrés Toro</v>
      </c>
      <c r="B347" s="17" t="s">
        <v>763</v>
      </c>
      <c r="C347" s="18">
        <v>46176.94582175926</v>
      </c>
      <c r="D347" s="17" t="s">
        <v>764</v>
      </c>
      <c r="E347" s="19" t="s">
        <v>29</v>
      </c>
      <c r="F347" s="19" t="s">
        <v>30</v>
      </c>
      <c r="G347" s="20" t="s">
        <v>17</v>
      </c>
      <c r="H347" s="20" t="s">
        <v>18</v>
      </c>
      <c r="I347" s="19" t="str">
        <f>IMAGE("https://upload.wikimedia.org/wikipedia/commons/a/a0/Cactus_globular_entre_formaciones_rocosas_en_Los_Hoyos.jpg")</f>
        <v/>
      </c>
    </row>
    <row r="348" ht="36.0" customHeight="1">
      <c r="A348" s="10" t="str">
        <f>HYPERLINK("https://commons.wikimedia.org/wiki/User:" &amp; ENCODEURL("Romauribe"), "Romauribe")</f>
        <v>Romauribe</v>
      </c>
      <c r="B348" s="11" t="s">
        <v>765</v>
      </c>
      <c r="C348" s="12">
        <v>46180.418217592596</v>
      </c>
      <c r="D348" s="11" t="s">
        <v>766</v>
      </c>
      <c r="E348" s="14" t="s">
        <v>767</v>
      </c>
      <c r="F348" s="15" t="s">
        <v>16</v>
      </c>
      <c r="G348" s="15" t="s">
        <v>17</v>
      </c>
      <c r="H348" s="15" t="s">
        <v>18</v>
      </c>
      <c r="I348" s="14" t="str">
        <f>IMAGE("https://upload.wikimedia.org/wikipedia/commons/d/d4/Cactus_orquidea%2C_Colombia.jpg")</f>
        <v/>
      </c>
    </row>
    <row r="349" ht="36.0" customHeight="1">
      <c r="A349" s="16" t="str">
        <f>HYPERLINK("https://commons.wikimedia.org/wiki/User:" &amp; ENCODEURL("NunuAiyi"), "NunuAiyi")</f>
        <v>NunuAiyi</v>
      </c>
      <c r="B349" s="17" t="s">
        <v>768</v>
      </c>
      <c r="C349" s="18">
        <v>46203.85865740741</v>
      </c>
      <c r="D349" s="17" t="s">
        <v>769</v>
      </c>
      <c r="E349" s="19" t="s">
        <v>29</v>
      </c>
      <c r="F349" s="19" t="s">
        <v>30</v>
      </c>
      <c r="G349" s="20" t="s">
        <v>17</v>
      </c>
      <c r="H349" s="20" t="s">
        <v>18</v>
      </c>
      <c r="I349" s="19" t="str">
        <f>IMAGE("https://upload.wikimedia.org/wikipedia/commons/3/36/Cadillo_rocero.jpg")</f>
        <v/>
      </c>
    </row>
    <row r="350" ht="36.0" customHeight="1">
      <c r="A350" s="10" t="str">
        <f>HYPERLINK("https://commons.wikimedia.org/wiki/User:" &amp; ENCODEURL("Peperomia11"), "Peperomia11")</f>
        <v>Peperomia11</v>
      </c>
      <c r="B350" s="11" t="s">
        <v>770</v>
      </c>
      <c r="C350" s="12">
        <v>46202.56019675926</v>
      </c>
      <c r="D350" s="11" t="s">
        <v>771</v>
      </c>
      <c r="E350" s="14" t="s">
        <v>29</v>
      </c>
      <c r="F350" s="14" t="s">
        <v>30</v>
      </c>
      <c r="G350" s="15" t="s">
        <v>17</v>
      </c>
      <c r="H350" s="15" t="s">
        <v>18</v>
      </c>
      <c r="I350" s="14" t="str">
        <f>IMAGE("https://upload.wikimedia.org/wikipedia/commons/a/a3/Cafetos_20260530_124600.jpg")</f>
        <v/>
      </c>
    </row>
    <row r="351" ht="36.0" customHeight="1">
      <c r="A351" s="16" t="str">
        <f>HYPERLINK("https://commons.wikimedia.org/wiki/User:" &amp; ENCODEURL("Oscarvelascomora"), "Oscarvelascomora")</f>
        <v>Oscarvelascomora</v>
      </c>
      <c r="B351" s="17" t="s">
        <v>772</v>
      </c>
      <c r="C351" s="18">
        <v>46151.682962962965</v>
      </c>
      <c r="D351" s="17" t="s">
        <v>773</v>
      </c>
      <c r="E351" s="19" t="s">
        <v>29</v>
      </c>
      <c r="F351" s="19" t="s">
        <v>30</v>
      </c>
      <c r="G351" s="20" t="s">
        <v>17</v>
      </c>
      <c r="H351" s="20" t="s">
        <v>18</v>
      </c>
      <c r="I351" s="19" t="str">
        <f>IMAGE("https://upload.wikimedia.org/wikipedia/commons/8/87/Caim%C3%A1n_Caucano.jpg")</f>
        <v/>
      </c>
    </row>
    <row r="352" ht="36.0" customHeight="1">
      <c r="A352" s="10" t="str">
        <f>HYPERLINK("https://commons.wikimedia.org/wiki/User:" &amp; ENCODEURL("Nbareschu"), "Nbareschu")</f>
        <v>Nbareschu</v>
      </c>
      <c r="B352" s="11" t="s">
        <v>774</v>
      </c>
      <c r="C352" s="12">
        <v>46149.42119212963</v>
      </c>
      <c r="D352" s="11" t="s">
        <v>775</v>
      </c>
      <c r="E352" s="14" t="s">
        <v>776</v>
      </c>
      <c r="F352" s="15" t="s">
        <v>16</v>
      </c>
      <c r="G352" s="15" t="s">
        <v>17</v>
      </c>
      <c r="H352" s="15" t="s">
        <v>18</v>
      </c>
      <c r="I352" s="14" t="str">
        <f>IMAGE("https://upload.wikimedia.org/wikipedia/commons/9/96/Caim%C3%A1n_en_el_lago_de_las_garzas.jpg")</f>
        <v/>
      </c>
    </row>
    <row r="353" ht="36.0" customHeight="1">
      <c r="A353" s="16" t="str">
        <f>HYPERLINK("https://commons.wikimedia.org/wiki/User:" &amp; ENCODEURL("Juli 2000 her"), "Juli 2000 her")</f>
        <v>Juli 2000 her</v>
      </c>
      <c r="B353" s="17" t="s">
        <v>777</v>
      </c>
      <c r="C353" s="18">
        <v>46189.05498842592</v>
      </c>
      <c r="D353" s="17" t="s">
        <v>778</v>
      </c>
      <c r="E353" s="19" t="s">
        <v>29</v>
      </c>
      <c r="F353" s="19" t="s">
        <v>30</v>
      </c>
      <c r="G353" s="20" t="s">
        <v>17</v>
      </c>
      <c r="H353" s="20" t="s">
        <v>18</v>
      </c>
      <c r="I353" s="19" t="str">
        <f>IMAGE("https://upload.wikimedia.org/wikipedia/commons/e/ea/Caim%C3%A1n_llanero_%28Crocodylus_intermedius%29_tomando_el_sol_en_Casanare%2C_Colombia.jpg")</f>
        <v/>
      </c>
    </row>
    <row r="354" ht="36.0" customHeight="1">
      <c r="A354" s="10" t="str">
        <f t="shared" ref="A354:A355" si="58">HYPERLINK("https://commons.wikimedia.org/wiki/User:" &amp; ENCODEURL("Nathaly 1106"), "Nathaly 1106")</f>
        <v>Nathaly 1106</v>
      </c>
      <c r="B354" s="11" t="s">
        <v>779</v>
      </c>
      <c r="C354" s="12">
        <v>46148.619618055556</v>
      </c>
      <c r="D354" s="11" t="s">
        <v>780</v>
      </c>
      <c r="E354" s="14" t="s">
        <v>29</v>
      </c>
      <c r="F354" s="14" t="s">
        <v>30</v>
      </c>
      <c r="G354" s="15" t="s">
        <v>17</v>
      </c>
      <c r="H354" s="15" t="s">
        <v>18</v>
      </c>
      <c r="I354" s="14" t="str">
        <f>IMAGE("https://upload.wikimedia.org/wikipedia/commons/c/c8/Cajeto_%28Citharexylum_subflavescens%29.jpg")</f>
        <v/>
      </c>
    </row>
    <row r="355" ht="36.0" customHeight="1">
      <c r="A355" s="16" t="str">
        <f t="shared" si="58"/>
        <v>Nathaly 1106</v>
      </c>
      <c r="B355" s="17" t="s">
        <v>781</v>
      </c>
      <c r="C355" s="18">
        <v>46147.60931712963</v>
      </c>
      <c r="D355" s="17" t="s">
        <v>782</v>
      </c>
      <c r="E355" s="19" t="s">
        <v>29</v>
      </c>
      <c r="F355" s="19" t="s">
        <v>30</v>
      </c>
      <c r="G355" s="20" t="s">
        <v>17</v>
      </c>
      <c r="H355" s="20" t="s">
        <v>18</v>
      </c>
      <c r="I355" s="19" t="str">
        <f>IMAGE("https://upload.wikimedia.org/wikipedia/commons/0/0b/Calaguala_%28Pleopeltis_macrocarpa%29.jpg")</f>
        <v/>
      </c>
    </row>
    <row r="356" ht="36.0" customHeight="1">
      <c r="A356" s="10" t="str">
        <f>HYPERLINK("https://commons.wikimedia.org/wiki/User:" &amp; ENCODEURL("JJCL09"), "JJCL09")</f>
        <v>JJCL09</v>
      </c>
      <c r="B356" s="11" t="s">
        <v>783</v>
      </c>
      <c r="C356" s="12">
        <v>46147.88143518518</v>
      </c>
      <c r="D356" s="11" t="s">
        <v>784</v>
      </c>
      <c r="E356" s="14" t="s">
        <v>785</v>
      </c>
      <c r="F356" s="15" t="s">
        <v>16</v>
      </c>
      <c r="G356" s="15" t="s">
        <v>17</v>
      </c>
      <c r="H356" s="15" t="s">
        <v>18</v>
      </c>
      <c r="I356" s="14" t="str">
        <f>IMAGE("https://upload.wikimedia.org/wikipedia/commons/5/57/Caldas.jpg")</f>
        <v/>
      </c>
    </row>
    <row r="357" ht="36.0" customHeight="1">
      <c r="A357" s="16" t="str">
        <f t="shared" ref="A357:A358" si="59">HYPERLINK("https://commons.wikimedia.org/wiki/User:" &amp; ENCODEURL("Nathaly 1106"), "Nathaly 1106")</f>
        <v>Nathaly 1106</v>
      </c>
      <c r="B357" s="17" t="s">
        <v>786</v>
      </c>
      <c r="C357" s="18">
        <v>46148.61920138889</v>
      </c>
      <c r="D357" s="17" t="s">
        <v>787</v>
      </c>
      <c r="E357" s="19" t="s">
        <v>29</v>
      </c>
      <c r="F357" s="19" t="s">
        <v>30</v>
      </c>
      <c r="G357" s="20" t="s">
        <v>17</v>
      </c>
      <c r="H357" s="20" t="s">
        <v>18</v>
      </c>
      <c r="I357" s="19" t="str">
        <f>IMAGE("https://upload.wikimedia.org/wikipedia/commons/a/a9/Calliandra_trinervia.jpg")</f>
        <v/>
      </c>
    </row>
    <row r="358" ht="36.0" customHeight="1">
      <c r="A358" s="10" t="str">
        <f t="shared" si="59"/>
        <v>Nathaly 1106</v>
      </c>
      <c r="B358" s="11" t="s">
        <v>788</v>
      </c>
      <c r="C358" s="12">
        <v>46147.67109953704</v>
      </c>
      <c r="D358" s="11" t="s">
        <v>789</v>
      </c>
      <c r="E358" s="14" t="s">
        <v>29</v>
      </c>
      <c r="F358" s="14" t="s">
        <v>30</v>
      </c>
      <c r="G358" s="15" t="s">
        <v>17</v>
      </c>
      <c r="H358" s="15" t="s">
        <v>18</v>
      </c>
      <c r="I358" s="14" t="str">
        <f>IMAGE("https://upload.wikimedia.org/wikipedia/commons/6/6a/Calliandra_trinervia_Benth.jpg")</f>
        <v/>
      </c>
    </row>
    <row r="359" ht="36.0" customHeight="1">
      <c r="A359" s="16" t="str">
        <f>HYPERLINK("https://commons.wikimedia.org/wiki/User:" &amp; ENCODEURL("AmiGueko"), "AmiGueko")</f>
        <v>AmiGueko</v>
      </c>
      <c r="B359" s="17" t="s">
        <v>790</v>
      </c>
      <c r="C359" s="18">
        <v>46166.54987268519</v>
      </c>
      <c r="D359" s="17" t="s">
        <v>791</v>
      </c>
      <c r="E359" s="19" t="s">
        <v>792</v>
      </c>
      <c r="F359" s="20" t="s">
        <v>16</v>
      </c>
      <c r="G359" s="20" t="s">
        <v>17</v>
      </c>
      <c r="H359" s="20" t="s">
        <v>18</v>
      </c>
      <c r="I359" s="19" t="str">
        <f>IMAGE("https://upload.wikimedia.org/wikipedia/commons/f/f2/Callystemon.jpg")</f>
        <v/>
      </c>
    </row>
    <row r="360" ht="36.0" customHeight="1">
      <c r="A360" s="10" t="str">
        <f>HYPERLINK("https://commons.wikimedia.org/wiki/User:" &amp; ENCODEURL("Nbareschu"), "Nbareschu")</f>
        <v>Nbareschu</v>
      </c>
      <c r="B360" s="11" t="s">
        <v>793</v>
      </c>
      <c r="C360" s="12">
        <v>46149.42122685185</v>
      </c>
      <c r="D360" s="11" t="s">
        <v>794</v>
      </c>
      <c r="E360" s="14" t="s">
        <v>795</v>
      </c>
      <c r="F360" s="15" t="s">
        <v>16</v>
      </c>
      <c r="G360" s="15" t="s">
        <v>17</v>
      </c>
      <c r="H360" s="15" t="s">
        <v>18</v>
      </c>
      <c r="I360" s="14" t="str">
        <f>IMAGE("https://upload.wikimedia.org/wikipedia/commons/0/0a/Calz%C3%B3n_de_b%C3%BAho.jpg")</f>
        <v/>
      </c>
    </row>
    <row r="361" ht="36.0" customHeight="1">
      <c r="A361" s="16" t="str">
        <f>HYPERLINK("https://commons.wikimedia.org/wiki/User:" &amp; ENCODEURL("Joseeem"), "Joseeem")</f>
        <v>Joseeem</v>
      </c>
      <c r="B361" s="17" t="s">
        <v>796</v>
      </c>
      <c r="C361" s="18">
        <v>46156.9450462963</v>
      </c>
      <c r="D361" s="17" t="s">
        <v>797</v>
      </c>
      <c r="E361" s="19" t="s">
        <v>29</v>
      </c>
      <c r="F361" s="19" t="s">
        <v>30</v>
      </c>
      <c r="G361" s="20" t="s">
        <v>17</v>
      </c>
      <c r="H361" s="20" t="s">
        <v>18</v>
      </c>
      <c r="I361" s="19" t="str">
        <f>IMAGE("https://upload.wikimedia.org/wikipedia/commons/b/b6/Camarones_Guajira_Colombia.jpg")</f>
        <v/>
      </c>
    </row>
    <row r="362" ht="36.0" customHeight="1">
      <c r="A362" s="10" t="str">
        <f t="shared" ref="A362:A363" si="60">HYPERLINK("https://commons.wikimedia.org/wiki/User:" &amp; ENCODEURL("Mfrancoavellaneda"), "Mfrancoavellaneda")</f>
        <v>Mfrancoavellaneda</v>
      </c>
      <c r="B362" s="11" t="s">
        <v>798</v>
      </c>
      <c r="C362" s="12">
        <v>46203.83819444444</v>
      </c>
      <c r="D362" s="11" t="s">
        <v>799</v>
      </c>
      <c r="E362" s="14" t="s">
        <v>29</v>
      </c>
      <c r="F362" s="14" t="s">
        <v>30</v>
      </c>
      <c r="G362" s="15" t="s">
        <v>17</v>
      </c>
      <c r="H362" s="15" t="s">
        <v>18</v>
      </c>
      <c r="I362" s="14" t="str">
        <f>IMAGE("https://upload.wikimedia.org/wikipedia/commons/9/93/Camino_cascadas_del_fin_del_mundo.jpg")</f>
        <v/>
      </c>
    </row>
    <row r="363" ht="36.0" customHeight="1">
      <c r="A363" s="16" t="str">
        <f t="shared" si="60"/>
        <v>Mfrancoavellaneda</v>
      </c>
      <c r="B363" s="17" t="s">
        <v>800</v>
      </c>
      <c r="C363" s="18">
        <v>46203.83818287037</v>
      </c>
      <c r="D363" s="17" t="s">
        <v>801</v>
      </c>
      <c r="E363" s="19" t="s">
        <v>29</v>
      </c>
      <c r="F363" s="19" t="s">
        <v>30</v>
      </c>
      <c r="G363" s="20" t="s">
        <v>17</v>
      </c>
      <c r="H363" s="20" t="s">
        <v>18</v>
      </c>
      <c r="I363" s="19" t="str">
        <f>IMAGE("https://upload.wikimedia.org/wikipedia/commons/e/e2/Camino_cascadas_del_fin_del_mundo_putumayo.jpg")</f>
        <v/>
      </c>
    </row>
    <row r="364" ht="36.0" customHeight="1">
      <c r="A364" s="10" t="str">
        <f>HYPERLINK("https://commons.wikimedia.org/wiki/User:" &amp; ENCODEURL("DeibyJk"), "DeibyJk")</f>
        <v>DeibyJk</v>
      </c>
      <c r="B364" s="11" t="s">
        <v>802</v>
      </c>
      <c r="C364" s="12">
        <v>46166.942083333335</v>
      </c>
      <c r="D364" s="11" t="s">
        <v>158</v>
      </c>
      <c r="E364" s="14" t="s">
        <v>29</v>
      </c>
      <c r="F364" s="14" t="s">
        <v>30</v>
      </c>
      <c r="G364" s="15" t="s">
        <v>17</v>
      </c>
      <c r="H364" s="15" t="s">
        <v>18</v>
      </c>
      <c r="I364" s="14" t="str">
        <f>IMAGE("https://upload.wikimedia.org/wikipedia/commons/7/75/Campanahuila_15.jpg")</f>
        <v/>
      </c>
    </row>
    <row r="365" ht="36.0" customHeight="1">
      <c r="A365" s="16" t="str">
        <f>HYPERLINK("https://commons.wikimedia.org/wiki/User:" &amp; ENCODEURL("Dsjkkms"), "Dsjkkms")</f>
        <v>Dsjkkms</v>
      </c>
      <c r="B365" s="17" t="s">
        <v>803</v>
      </c>
      <c r="C365" s="18">
        <v>46163.571388888886</v>
      </c>
      <c r="D365" s="17" t="s">
        <v>804</v>
      </c>
      <c r="E365" s="19" t="s">
        <v>29</v>
      </c>
      <c r="F365" s="19" t="s">
        <v>30</v>
      </c>
      <c r="G365" s="20" t="s">
        <v>17</v>
      </c>
      <c r="H365" s="20" t="s">
        <v>18</v>
      </c>
      <c r="I365" s="19" t="str">
        <f>IMAGE("https://upload.wikimedia.org/wikipedia/commons/5/5e/Campanilla._Thevetia_peruviana.jpg")</f>
        <v/>
      </c>
    </row>
    <row r="366" ht="36.0" customHeight="1">
      <c r="A366" s="10" t="str">
        <f>HYPERLINK("https://commons.wikimedia.org/wiki/User:" &amp; ENCODEURL("DeibyJk"), "DeibyJk")</f>
        <v>DeibyJk</v>
      </c>
      <c r="B366" s="11" t="s">
        <v>805</v>
      </c>
      <c r="C366" s="12">
        <v>46166.94189814815</v>
      </c>
      <c r="D366" s="11" t="s">
        <v>158</v>
      </c>
      <c r="E366" s="14" t="s">
        <v>29</v>
      </c>
      <c r="F366" s="14" t="s">
        <v>30</v>
      </c>
      <c r="G366" s="15" t="s">
        <v>17</v>
      </c>
      <c r="H366" s="15" t="s">
        <v>18</v>
      </c>
      <c r="I366" s="14" t="str">
        <f>IMAGE("https://upload.wikimedia.org/wikipedia/commons/a/a6/Campanillashuila_06.jpg")</f>
        <v/>
      </c>
    </row>
    <row r="367" ht="36.0" customHeight="1">
      <c r="A367" s="16" t="str">
        <f>HYPERLINK("https://commons.wikimedia.org/wiki/User:" &amp; ENCODEURL("Gojan222"), "Gojan222")</f>
        <v>Gojan222</v>
      </c>
      <c r="B367" s="17" t="s">
        <v>806</v>
      </c>
      <c r="C367" s="18">
        <v>46166.42949074074</v>
      </c>
      <c r="D367" s="17" t="s">
        <v>807</v>
      </c>
      <c r="E367" s="19" t="s">
        <v>29</v>
      </c>
      <c r="F367" s="19" t="s">
        <v>30</v>
      </c>
      <c r="G367" s="20" t="s">
        <v>17</v>
      </c>
      <c r="H367" s="20" t="s">
        <v>18</v>
      </c>
      <c r="I367" s="19" t="str">
        <f>IMAGE("https://upload.wikimedia.org/wikipedia/commons/f/f0/Campo_colombiano.jpg")</f>
        <v/>
      </c>
    </row>
    <row r="368" ht="36.0" customHeight="1">
      <c r="A368" s="10" t="str">
        <f>HYPERLINK("https://commons.wikimedia.org/wiki/User:" &amp; ENCODEURL("Laupedrazaa"), "Laupedrazaa")</f>
        <v>Laupedrazaa</v>
      </c>
      <c r="B368" s="11" t="s">
        <v>808</v>
      </c>
      <c r="C368" s="12">
        <v>46167.88746527778</v>
      </c>
      <c r="D368" s="11" t="s">
        <v>809</v>
      </c>
      <c r="E368" s="14" t="s">
        <v>29</v>
      </c>
      <c r="F368" s="14" t="s">
        <v>30</v>
      </c>
      <c r="G368" s="15" t="s">
        <v>17</v>
      </c>
      <c r="H368" s="15" t="s">
        <v>18</v>
      </c>
      <c r="I368" s="14" t="str">
        <f>IMAGE("https://upload.wikimedia.org/wikipedia/commons/2/28/Campos_de_Cundinamarca.jpg")</f>
        <v/>
      </c>
    </row>
    <row r="369" ht="36.0" customHeight="1">
      <c r="A369" s="16" t="str">
        <f>HYPERLINK("https://commons.wikimedia.org/wiki/User:" &amp; ENCODEURL("Diferoch"), "Diferoch")</f>
        <v>Diferoch</v>
      </c>
      <c r="B369" s="17" t="s">
        <v>810</v>
      </c>
      <c r="C369" s="18">
        <v>46173.76231481481</v>
      </c>
      <c r="D369" s="17" t="s">
        <v>811</v>
      </c>
      <c r="E369" s="19" t="s">
        <v>812</v>
      </c>
      <c r="F369" s="20" t="s">
        <v>16</v>
      </c>
      <c r="G369" s="20" t="s">
        <v>17</v>
      </c>
      <c r="H369" s="20" t="s">
        <v>18</v>
      </c>
      <c r="I369" s="19" t="str">
        <f>IMAGE("https://upload.wikimedia.org/wikipedia/commons/f/f9/Campylorhynchus_griseus_bicolor_-_Barrancabermeja%2C_Santander%2C_Colombia_-_14_Jun_2026_-_Diferoch.jpg")</f>
        <v/>
      </c>
    </row>
    <row r="370" ht="36.0" customHeight="1">
      <c r="A370" s="10" t="str">
        <f>HYPERLINK("https://commons.wikimedia.org/wiki/User:" &amp; ENCODEURL("Mottenpriesterin"), "Mottenpriesterin")</f>
        <v>Mottenpriesterin</v>
      </c>
      <c r="B370" s="11" t="s">
        <v>813</v>
      </c>
      <c r="C370" s="12">
        <v>46202.92497685185</v>
      </c>
      <c r="D370" s="11" t="s">
        <v>814</v>
      </c>
      <c r="E370" s="14" t="s">
        <v>29</v>
      </c>
      <c r="F370" s="14" t="s">
        <v>30</v>
      </c>
      <c r="G370" s="15" t="s">
        <v>17</v>
      </c>
      <c r="H370" s="15" t="s">
        <v>18</v>
      </c>
      <c r="I370" s="14" t="str">
        <f>IMAGE("https://upload.wikimedia.org/wikipedia/commons/7/75/Cane_toad_%28Rhinella_horribilis%29_on_the_leaf-littered_forest_floor_in_Tayrona_National_Park%2C_2025.jpg")</f>
        <v/>
      </c>
    </row>
    <row r="371" ht="36.0" customHeight="1">
      <c r="A371" s="16" t="str">
        <f>HYPERLINK("https://commons.wikimedia.org/wiki/User:" &amp; ENCODEURL("Moisés Barrera Sogamoso"), "Moisés Barrera Sogamoso")</f>
        <v>Moisés Barrera Sogamoso</v>
      </c>
      <c r="B371" s="17" t="s">
        <v>815</v>
      </c>
      <c r="C371" s="18">
        <v>46146.64145833333</v>
      </c>
      <c r="D371" s="17" t="s">
        <v>816</v>
      </c>
      <c r="E371" s="19" t="s">
        <v>29</v>
      </c>
      <c r="F371" s="19" t="s">
        <v>30</v>
      </c>
      <c r="G371" s="20" t="s">
        <v>17</v>
      </c>
      <c r="H371" s="20" t="s">
        <v>18</v>
      </c>
      <c r="I371" s="19" t="str">
        <f>IMAGE("https://upload.wikimedia.org/wikipedia/commons/4/4e/Cantos_de_medio_d%C3%ADa.jpg")</f>
        <v/>
      </c>
    </row>
    <row r="372" ht="36.0" customHeight="1">
      <c r="A372" s="10" t="str">
        <f>HYPERLINK("https://commons.wikimedia.org/wiki/User:" &amp; ENCODEURL("Adrianava.yviene"), "Adrianava.yviene")</f>
        <v>Adrianava.yviene</v>
      </c>
      <c r="B372" s="11" t="s">
        <v>817</v>
      </c>
      <c r="C372" s="12">
        <v>46198.557974537034</v>
      </c>
      <c r="D372" s="11" t="s">
        <v>818</v>
      </c>
      <c r="E372" s="14" t="s">
        <v>29</v>
      </c>
      <c r="F372" s="14" t="s">
        <v>30</v>
      </c>
      <c r="G372" s="15" t="s">
        <v>17</v>
      </c>
      <c r="H372" s="15" t="s">
        <v>18</v>
      </c>
      <c r="I372" s="14" t="str">
        <f>IMAGE("https://upload.wikimedia.org/wikipedia/commons/8/84/Capas_monta%C3%B1eras.jpg")</f>
        <v/>
      </c>
    </row>
    <row r="373" ht="36.0" customHeight="1">
      <c r="A373" s="16" t="str">
        <f>HYPERLINK("https://commons.wikimedia.org/wiki/User:" &amp; ENCODEURL("Johan Andrés Toro"), "Johan Andrés Toro")</f>
        <v>Johan Andrés Toro</v>
      </c>
      <c r="B373" s="17" t="s">
        <v>819</v>
      </c>
      <c r="C373" s="18">
        <v>46171.49082175926</v>
      </c>
      <c r="D373" s="17" t="s">
        <v>820</v>
      </c>
      <c r="E373" s="19" t="s">
        <v>29</v>
      </c>
      <c r="F373" s="19" t="s">
        <v>30</v>
      </c>
      <c r="G373" s="20" t="s">
        <v>17</v>
      </c>
      <c r="H373" s="20" t="s">
        <v>18</v>
      </c>
      <c r="I373" s="19" t="str">
        <f>IMAGE("https://upload.wikimedia.org/wikipedia/commons/2/28/Capas_sedimentarias_expuestas_en_los_Farallones_de_Sutatausa.jpg")</f>
        <v/>
      </c>
    </row>
    <row r="374" ht="36.0" customHeight="1">
      <c r="A374" s="10" t="str">
        <f>HYPERLINK("https://commons.wikimedia.org/wiki/User:" &amp; ENCODEURL("Overlabor5010"), "Overlabor5010")</f>
        <v>Overlabor5010</v>
      </c>
      <c r="B374" s="11" t="s">
        <v>821</v>
      </c>
      <c r="C374" s="12">
        <v>46161.907372685186</v>
      </c>
      <c r="D374" s="11" t="s">
        <v>822</v>
      </c>
      <c r="E374" s="14" t="s">
        <v>823</v>
      </c>
      <c r="F374" s="15" t="s">
        <v>16</v>
      </c>
      <c r="G374" s="15" t="s">
        <v>17</v>
      </c>
      <c r="H374" s="15" t="s">
        <v>18</v>
      </c>
      <c r="I374" s="14" t="str">
        <f>IMAGE("https://upload.wikimedia.org/wikipedia/commons/2/2c/Capuchin_Monkey_in_Tayrona_National_Park.jpg")</f>
        <v/>
      </c>
    </row>
    <row r="375" ht="36.0" customHeight="1">
      <c r="A375" s="16" t="str">
        <f>HYPERLINK("https://commons.wikimedia.org/wiki/User:" &amp; ENCODEURL("Maurentroa"), "Maurentroa")</f>
        <v>Maurentroa</v>
      </c>
      <c r="B375" s="17" t="s">
        <v>824</v>
      </c>
      <c r="C375" s="18">
        <v>46203.710439814815</v>
      </c>
      <c r="D375" s="17" t="s">
        <v>825</v>
      </c>
      <c r="E375" s="19" t="s">
        <v>29</v>
      </c>
      <c r="F375" s="19" t="s">
        <v>30</v>
      </c>
      <c r="G375" s="20" t="s">
        <v>17</v>
      </c>
      <c r="H375" s="20" t="s">
        <v>18</v>
      </c>
      <c r="I375" s="19" t="str">
        <f>IMAGE("https://upload.wikimedia.org/wikipedia/commons/1/1a/Capybara_Meta_Colombia_20260113.jpg")</f>
        <v/>
      </c>
    </row>
    <row r="376" ht="36.0" customHeight="1">
      <c r="A376" s="10" t="str">
        <f>HYPERLINK("https://commons.wikimedia.org/wiki/User:" &amp; ENCODEURL("Supertita"), "Supertita")</f>
        <v>Supertita</v>
      </c>
      <c r="B376" s="11" t="s">
        <v>826</v>
      </c>
      <c r="C376" s="12">
        <v>46191.905335648145</v>
      </c>
      <c r="D376" s="11" t="s">
        <v>14</v>
      </c>
      <c r="E376" s="14" t="s">
        <v>15</v>
      </c>
      <c r="F376" s="15" t="s">
        <v>16</v>
      </c>
      <c r="G376" s="15" t="s">
        <v>17</v>
      </c>
      <c r="H376" s="15" t="s">
        <v>18</v>
      </c>
      <c r="I376" s="14" t="str">
        <f>IMAGE("https://upload.wikimedia.org/wikipedia/commons/3/34/Caracara_chimachima_%28Daptrius_chimachima%29.jpg")</f>
        <v/>
      </c>
    </row>
    <row r="377" ht="36.0" customHeight="1">
      <c r="A377" s="16" t="str">
        <f t="shared" ref="A377:A378" si="61">HYPERLINK("https://commons.wikimedia.org/wiki/User:" &amp; ENCODEURL("JessieHernande3"), "JessieHernande3")</f>
        <v>JessieHernande3</v>
      </c>
      <c r="B377" s="17" t="s">
        <v>827</v>
      </c>
      <c r="C377" s="18">
        <v>46155.772627314815</v>
      </c>
      <c r="D377" s="17" t="s">
        <v>828</v>
      </c>
      <c r="E377" s="19" t="s">
        <v>29</v>
      </c>
      <c r="F377" s="19" t="s">
        <v>30</v>
      </c>
      <c r="G377" s="20" t="s">
        <v>17</v>
      </c>
      <c r="H377" s="20" t="s">
        <v>18</v>
      </c>
      <c r="I377" s="19" t="str">
        <f>IMAGE("https://upload.wikimedia.org/wikipedia/commons/a/a4/Caracol_Cantera.jpg")</f>
        <v/>
      </c>
    </row>
    <row r="378" ht="36.0" customHeight="1">
      <c r="A378" s="10" t="str">
        <f t="shared" si="61"/>
        <v>JessieHernande3</v>
      </c>
      <c r="B378" s="11" t="s">
        <v>829</v>
      </c>
      <c r="C378" s="12">
        <v>46155.77261574074</v>
      </c>
      <c r="D378" s="11" t="s">
        <v>828</v>
      </c>
      <c r="E378" s="14" t="s">
        <v>29</v>
      </c>
      <c r="F378" s="14" t="s">
        <v>30</v>
      </c>
      <c r="G378" s="15" t="s">
        <v>17</v>
      </c>
      <c r="H378" s="15" t="s">
        <v>18</v>
      </c>
      <c r="I378" s="14" t="str">
        <f>IMAGE("https://upload.wikimedia.org/wikipedia/commons/d/d9/Caracol_Cantera_2.jpg")</f>
        <v/>
      </c>
    </row>
    <row r="379" ht="36.0" customHeight="1">
      <c r="A379" s="16" t="str">
        <f>HYPERLINK("https://commons.wikimedia.org/wiki/User:" &amp; ENCODEURL("Alzevi"), "Alzevi")</f>
        <v>Alzevi</v>
      </c>
      <c r="B379" s="17" t="s">
        <v>830</v>
      </c>
      <c r="C379" s="18">
        <v>46149.551412037035</v>
      </c>
      <c r="D379" s="17" t="s">
        <v>831</v>
      </c>
      <c r="E379" s="19" t="s">
        <v>29</v>
      </c>
      <c r="F379" s="19" t="s">
        <v>30</v>
      </c>
      <c r="G379" s="20" t="s">
        <v>17</v>
      </c>
      <c r="H379" s="20" t="s">
        <v>18</v>
      </c>
      <c r="I379" s="19" t="str">
        <f>IMAGE("https://upload.wikimedia.org/wikipedia/commons/b/b9/Caracol_brillante.jpg")</f>
        <v/>
      </c>
    </row>
    <row r="380" ht="36.0" customHeight="1">
      <c r="A380" s="10" t="str">
        <f>HYPERLINK("https://commons.wikimedia.org/wiki/User:" &amp; ENCODEURL("Sandramirezgiraldo"), "Sandramirezgiraldo")</f>
        <v>Sandramirezgiraldo</v>
      </c>
      <c r="B380" s="11" t="s">
        <v>832</v>
      </c>
      <c r="C380" s="12">
        <v>46203.98636574074</v>
      </c>
      <c r="D380" s="11" t="s">
        <v>833</v>
      </c>
      <c r="E380" s="14" t="s">
        <v>29</v>
      </c>
      <c r="F380" s="14" t="s">
        <v>30</v>
      </c>
      <c r="G380" s="15" t="s">
        <v>17</v>
      </c>
      <c r="H380" s="15" t="s">
        <v>18</v>
      </c>
      <c r="I380" s="14" t="str">
        <f>IMAGE("https://upload.wikimedia.org/wikipedia/commons/f/f2/Caracol_de_Jard%C3%ADn.jpg")</f>
        <v/>
      </c>
    </row>
    <row r="381" ht="36.0" customHeight="1">
      <c r="A381" s="16" t="str">
        <f>HYPERLINK("https://commons.wikimedia.org/wiki/User:" &amp; ENCODEURL("Nbareschu"), "Nbareschu")</f>
        <v>Nbareschu</v>
      </c>
      <c r="B381" s="17" t="s">
        <v>834</v>
      </c>
      <c r="C381" s="18">
        <v>46149.421435185184</v>
      </c>
      <c r="D381" s="17" t="s">
        <v>835</v>
      </c>
      <c r="E381" s="19" t="s">
        <v>836</v>
      </c>
      <c r="F381" s="20" t="s">
        <v>16</v>
      </c>
      <c r="G381" s="20" t="s">
        <v>17</v>
      </c>
      <c r="H381" s="20" t="s">
        <v>18</v>
      </c>
      <c r="I381" s="19" t="str">
        <f>IMAGE("https://upload.wikimedia.org/wikipedia/commons/8/83/Caracol_diminuto.jpg")</f>
        <v/>
      </c>
    </row>
    <row r="382" ht="36.0" customHeight="1">
      <c r="A382" s="10" t="str">
        <f>HYPERLINK("https://commons.wikimedia.org/wiki/User:" &amp; ENCODEURL("AmiGueko"), "AmiGueko")</f>
        <v>AmiGueko</v>
      </c>
      <c r="B382" s="11" t="s">
        <v>837</v>
      </c>
      <c r="C382" s="12">
        <v>46203.816157407404</v>
      </c>
      <c r="D382" s="11" t="s">
        <v>838</v>
      </c>
      <c r="E382" s="14" t="s">
        <v>490</v>
      </c>
      <c r="F382" s="15" t="s">
        <v>16</v>
      </c>
      <c r="G382" s="15" t="s">
        <v>17</v>
      </c>
      <c r="H382" s="15" t="s">
        <v>18</v>
      </c>
      <c r="I382" s="14" t="str">
        <f>IMAGE("https://upload.wikimedia.org/wikipedia/commons/f/f8/Caracol_junio_2025_1.jpg")</f>
        <v/>
      </c>
    </row>
    <row r="383" ht="36.0" customHeight="1">
      <c r="A383" s="16" t="str">
        <f>HYPERLINK("https://commons.wikimedia.org/wiki/User:" &amp; ENCODEURL("Jhas24.09"), "Jhas24.09")</f>
        <v>Jhas24.09</v>
      </c>
      <c r="B383" s="17" t="s">
        <v>839</v>
      </c>
      <c r="C383" s="18">
        <v>46160.101747685185</v>
      </c>
      <c r="D383" s="17" t="s">
        <v>840</v>
      </c>
      <c r="E383" s="19" t="s">
        <v>29</v>
      </c>
      <c r="F383" s="19" t="s">
        <v>30</v>
      </c>
      <c r="G383" s="20" t="s">
        <v>17</v>
      </c>
      <c r="H383" s="20" t="s">
        <v>18</v>
      </c>
      <c r="I383" s="19" t="str">
        <f>IMAGE("https://upload.wikimedia.org/wikipedia/commons/e/e2/Caracol_terrestre.jpg")</f>
        <v/>
      </c>
    </row>
    <row r="384" ht="36.0" customHeight="1">
      <c r="A384" s="10" t="str">
        <f>HYPERLINK("https://commons.wikimedia.org/wiki/User:" &amp; ENCODEURL("Sophy Martinez"), "Sophy Martinez")</f>
        <v>Sophy Martinez</v>
      </c>
      <c r="B384" s="11" t="s">
        <v>841</v>
      </c>
      <c r="C384" s="12">
        <v>46202.06946759259</v>
      </c>
      <c r="D384" s="11" t="s">
        <v>842</v>
      </c>
      <c r="E384" s="14" t="s">
        <v>843</v>
      </c>
      <c r="F384" s="15" t="s">
        <v>16</v>
      </c>
      <c r="G384" s="15" t="s">
        <v>17</v>
      </c>
      <c r="H384" s="15" t="s">
        <v>18</v>
      </c>
      <c r="I384" s="14" t="str">
        <f>IMAGE("https://upload.wikimedia.org/wikipedia/commons/d/d6/Card%C3%B3n_de_p%C3%A1ramo_%28Puya_sp.%29.jpg")</f>
        <v/>
      </c>
    </row>
    <row r="385" ht="36.0" customHeight="1">
      <c r="A385" s="16" t="str">
        <f>HYPERLINK("https://commons.wikimedia.org/wiki/User:" &amp; ENCODEURL("SebasWork"), "SebasWork")</f>
        <v>SebasWork</v>
      </c>
      <c r="B385" s="17" t="s">
        <v>844</v>
      </c>
      <c r="C385" s="18">
        <v>46203.83568287037</v>
      </c>
      <c r="D385" s="17" t="s">
        <v>845</v>
      </c>
      <c r="E385" s="19" t="s">
        <v>29</v>
      </c>
      <c r="F385" s="19" t="s">
        <v>30</v>
      </c>
      <c r="G385" s="20" t="s">
        <v>17</v>
      </c>
      <c r="H385" s="20" t="s">
        <v>18</v>
      </c>
      <c r="I385" s="19" t="str">
        <f>IMAGE("https://upload.wikimedia.org/wikipedia/commons/4/46/Carpentiro_habado_-_Melanerpes_rubricapillus.jpg")</f>
        <v/>
      </c>
    </row>
    <row r="386" ht="36.0" customHeight="1">
      <c r="A386" s="10" t="str">
        <f>HYPERLINK("https://commons.wikimedia.org/wiki/User:" &amp; ENCODEURL("NicolleTorresG"), "NicolleTorresG")</f>
        <v>NicolleTorresG</v>
      </c>
      <c r="B386" s="11" t="s">
        <v>846</v>
      </c>
      <c r="C386" s="12">
        <v>46199.93885416666</v>
      </c>
      <c r="D386" s="11" t="s">
        <v>847</v>
      </c>
      <c r="E386" s="14" t="s">
        <v>848</v>
      </c>
      <c r="F386" s="15" t="s">
        <v>16</v>
      </c>
      <c r="G386" s="15" t="s">
        <v>17</v>
      </c>
      <c r="H386" s="15" t="s">
        <v>18</v>
      </c>
      <c r="I386" s="14" t="str">
        <f>IMAGE("https://upload.wikimedia.org/wikipedia/commons/7/7c/Carpintero_Bellotero_-_Melanerpes_formicivorus.jpg")</f>
        <v/>
      </c>
    </row>
    <row r="387" ht="36.0" customHeight="1">
      <c r="A387" s="16" t="str">
        <f>HYPERLINK("https://commons.wikimedia.org/wiki/User:" &amp; ENCODEURL("ZulayMR"), "ZulayMR")</f>
        <v>ZulayMR</v>
      </c>
      <c r="B387" s="17" t="s">
        <v>849</v>
      </c>
      <c r="C387" s="18">
        <v>46201.70376157408</v>
      </c>
      <c r="D387" s="17" t="s">
        <v>850</v>
      </c>
      <c r="E387" s="19" t="s">
        <v>851</v>
      </c>
      <c r="F387" s="20" t="s">
        <v>16</v>
      </c>
      <c r="G387" s="20" t="s">
        <v>17</v>
      </c>
      <c r="H387" s="20" t="s">
        <v>18</v>
      </c>
      <c r="I387" s="19" t="str">
        <f>IMAGE("https://upload.wikimedia.org/wikipedia/commons/0/0b/Carpintero_en_casa.jpg")</f>
        <v/>
      </c>
    </row>
    <row r="388" ht="36.0" customHeight="1">
      <c r="A388" s="10" t="str">
        <f>HYPERLINK("https://commons.wikimedia.org/wiki/User:" &amp; ENCODEURL("Pperafan"), "Pperafan")</f>
        <v>Pperafan</v>
      </c>
      <c r="B388" s="11" t="s">
        <v>852</v>
      </c>
      <c r="C388" s="12">
        <v>46201.93568287037</v>
      </c>
      <c r="D388" s="11" t="s">
        <v>853</v>
      </c>
      <c r="E388" s="14" t="s">
        <v>29</v>
      </c>
      <c r="F388" s="14" t="s">
        <v>30</v>
      </c>
      <c r="G388" s="15" t="s">
        <v>17</v>
      </c>
      <c r="H388" s="15" t="s">
        <v>18</v>
      </c>
      <c r="I388" s="14" t="str">
        <f>IMAGE("https://upload.wikimedia.org/wikipedia/commons/d/d0/Carpintero_libando.jpg")</f>
        <v/>
      </c>
    </row>
    <row r="389" ht="36.0" customHeight="1">
      <c r="A389" s="16" t="str">
        <f t="shared" ref="A389:A393" si="62">HYPERLINK("https://commons.wikimedia.org/wiki/User:" &amp; ENCODEURL("AmiGueko"), "AmiGueko")</f>
        <v>AmiGueko</v>
      </c>
      <c r="B389" s="17" t="s">
        <v>854</v>
      </c>
      <c r="C389" s="18">
        <v>46203.816342592596</v>
      </c>
      <c r="D389" s="17" t="s">
        <v>855</v>
      </c>
      <c r="E389" s="19" t="s">
        <v>490</v>
      </c>
      <c r="F389" s="20" t="s">
        <v>16</v>
      </c>
      <c r="G389" s="20" t="s">
        <v>17</v>
      </c>
      <c r="H389" s="20" t="s">
        <v>18</v>
      </c>
      <c r="I389" s="19" t="str">
        <f>IMAGE("https://upload.wikimedia.org/wikipedia/commons/e/e3/Carriqu%C3%AD_verdeamarillo_junio_2025.jpg")</f>
        <v/>
      </c>
    </row>
    <row r="390" ht="36.0" customHeight="1">
      <c r="A390" s="10" t="str">
        <f t="shared" si="62"/>
        <v>AmiGueko</v>
      </c>
      <c r="B390" s="11" t="s">
        <v>856</v>
      </c>
      <c r="C390" s="12">
        <v>46203.816342592596</v>
      </c>
      <c r="D390" s="11" t="s">
        <v>855</v>
      </c>
      <c r="E390" s="14" t="s">
        <v>490</v>
      </c>
      <c r="F390" s="15" t="s">
        <v>16</v>
      </c>
      <c r="G390" s="15" t="s">
        <v>17</v>
      </c>
      <c r="H390" s="15" t="s">
        <v>18</v>
      </c>
      <c r="I390" s="14" t="str">
        <f>IMAGE("https://upload.wikimedia.org/wikipedia/commons/1/16/Carriqu%C3%AD_verdeamarillo_junio_2025_1.jpg")</f>
        <v/>
      </c>
    </row>
    <row r="391" ht="36.0" customHeight="1">
      <c r="A391" s="16" t="str">
        <f t="shared" si="62"/>
        <v>AmiGueko</v>
      </c>
      <c r="B391" s="17" t="s">
        <v>857</v>
      </c>
      <c r="C391" s="18">
        <v>46203.82491898148</v>
      </c>
      <c r="D391" s="17" t="s">
        <v>858</v>
      </c>
      <c r="E391" s="19" t="s">
        <v>859</v>
      </c>
      <c r="F391" s="20" t="s">
        <v>16</v>
      </c>
      <c r="G391" s="20" t="s">
        <v>17</v>
      </c>
      <c r="H391" s="20" t="s">
        <v>18</v>
      </c>
      <c r="I391" s="19" t="str">
        <f>IMAGE("https://upload.wikimedia.org/wikipedia/commons/5/53/Carriqu%C3%AD_verdiamarillo.jpg")</f>
        <v/>
      </c>
    </row>
    <row r="392" ht="36.0" customHeight="1">
      <c r="A392" s="10" t="str">
        <f t="shared" si="62"/>
        <v>AmiGueko</v>
      </c>
      <c r="B392" s="11" t="s">
        <v>860</v>
      </c>
      <c r="C392" s="12">
        <v>46203.825104166666</v>
      </c>
      <c r="D392" s="11" t="s">
        <v>858</v>
      </c>
      <c r="E392" s="14" t="s">
        <v>861</v>
      </c>
      <c r="F392" s="15" t="s">
        <v>16</v>
      </c>
      <c r="G392" s="15" t="s">
        <v>17</v>
      </c>
      <c r="H392" s="15" t="s">
        <v>18</v>
      </c>
      <c r="I392" s="14" t="str">
        <f>IMAGE("https://upload.wikimedia.org/wikipedia/commons/e/e2/Carriqu%C3%AD_verdiamarillo_%2830052%29.jpg")</f>
        <v/>
      </c>
    </row>
    <row r="393" ht="36.0" customHeight="1">
      <c r="A393" s="16" t="str">
        <f t="shared" si="62"/>
        <v>AmiGueko</v>
      </c>
      <c r="B393" s="17" t="s">
        <v>862</v>
      </c>
      <c r="C393" s="18">
        <v>46203.825219907405</v>
      </c>
      <c r="D393" s="17" t="s">
        <v>858</v>
      </c>
      <c r="E393" s="19" t="s">
        <v>863</v>
      </c>
      <c r="F393" s="20" t="s">
        <v>16</v>
      </c>
      <c r="G393" s="20" t="s">
        <v>17</v>
      </c>
      <c r="H393" s="20" t="s">
        <v>18</v>
      </c>
      <c r="I393" s="19" t="str">
        <f>IMAGE("https://upload.wikimedia.org/wikipedia/commons/d/d1/Carriqu%C3%AD_verdiamarillo_%2864601%29.jpg")</f>
        <v/>
      </c>
    </row>
    <row r="394" ht="36.0" customHeight="1">
      <c r="A394" s="10" t="str">
        <f>HYPERLINK("https://commons.wikimedia.org/wiki/User:" &amp; ENCODEURL("Dyrt.yis"), "Dyrt.yis")</f>
        <v>Dyrt.yis</v>
      </c>
      <c r="B394" s="11" t="s">
        <v>864</v>
      </c>
      <c r="C394" s="12">
        <v>46163.552766203706</v>
      </c>
      <c r="D394" s="11" t="s">
        <v>865</v>
      </c>
      <c r="E394" s="14" t="s">
        <v>29</v>
      </c>
      <c r="F394" s="14" t="s">
        <v>30</v>
      </c>
      <c r="G394" s="15" t="s">
        <v>17</v>
      </c>
      <c r="H394" s="15" t="s">
        <v>18</v>
      </c>
      <c r="I394" s="14" t="str">
        <f>IMAGE("https://upload.wikimedia.org/wikipedia/commons/d/dc/Cartagena%2Ccolombia.jpg")</f>
        <v/>
      </c>
    </row>
    <row r="395" ht="36.0" customHeight="1">
      <c r="A395" s="16" t="str">
        <f>HYPERLINK("https://commons.wikimedia.org/wiki/User:" &amp; ENCODEURL("Ibeths2026"), "Ibeths2026")</f>
        <v>Ibeths2026</v>
      </c>
      <c r="B395" s="17" t="s">
        <v>866</v>
      </c>
      <c r="C395" s="18">
        <v>46158.73479166667</v>
      </c>
      <c r="D395" s="17" t="s">
        <v>867</v>
      </c>
      <c r="E395" s="19" t="s">
        <v>29</v>
      </c>
      <c r="F395" s="19" t="s">
        <v>30</v>
      </c>
      <c r="G395" s="20" t="s">
        <v>17</v>
      </c>
      <c r="H395" s="20" t="s">
        <v>18</v>
      </c>
      <c r="I395" s="19" t="str">
        <f>IMAGE("https://upload.wikimedia.org/wikipedia/commons/3/36/Cartagena_Enso%C3%B1adora.jpg")</f>
        <v/>
      </c>
    </row>
    <row r="396" ht="36.0" customHeight="1">
      <c r="A396" s="10" t="str">
        <f t="shared" ref="A396:A402" si="63">HYPERLINK("https://commons.wikimedia.org/wiki/User:" &amp; ENCODEURL("AmiGueko"), "AmiGueko")</f>
        <v>AmiGueko</v>
      </c>
      <c r="B396" s="11" t="s">
        <v>868</v>
      </c>
      <c r="C396" s="12">
        <v>46166.567777777775</v>
      </c>
      <c r="D396" s="11" t="s">
        <v>869</v>
      </c>
      <c r="E396" s="14" t="s">
        <v>870</v>
      </c>
      <c r="F396" s="15" t="s">
        <v>16</v>
      </c>
      <c r="G396" s="15" t="s">
        <v>17</v>
      </c>
      <c r="H396" s="15" t="s">
        <v>18</v>
      </c>
      <c r="I396" s="14" t="str">
        <f>IMAGE("https://upload.wikimedia.org/wikipedia/commons/a/a4/Cartuchos_%2823466%29.jpg")</f>
        <v/>
      </c>
    </row>
    <row r="397" ht="36.0" customHeight="1">
      <c r="A397" s="16" t="str">
        <f t="shared" si="63"/>
        <v>AmiGueko</v>
      </c>
      <c r="B397" s="17" t="s">
        <v>871</v>
      </c>
      <c r="C397" s="18">
        <v>46166.567881944444</v>
      </c>
      <c r="D397" s="17" t="s">
        <v>869</v>
      </c>
      <c r="E397" s="19" t="s">
        <v>872</v>
      </c>
      <c r="F397" s="20" t="s">
        <v>16</v>
      </c>
      <c r="G397" s="20" t="s">
        <v>17</v>
      </c>
      <c r="H397" s="20" t="s">
        <v>18</v>
      </c>
      <c r="I397" s="19" t="str">
        <f>IMAGE("https://upload.wikimedia.org/wikipedia/commons/c/c5/Cartuchos_%2825984%29.jpg")</f>
        <v/>
      </c>
    </row>
    <row r="398" ht="36.0" customHeight="1">
      <c r="A398" s="10" t="str">
        <f t="shared" si="63"/>
        <v>AmiGueko</v>
      </c>
      <c r="B398" s="11" t="s">
        <v>873</v>
      </c>
      <c r="C398" s="12">
        <v>46166.567094907405</v>
      </c>
      <c r="D398" s="11" t="s">
        <v>869</v>
      </c>
      <c r="E398" s="14" t="s">
        <v>874</v>
      </c>
      <c r="F398" s="15" t="s">
        <v>16</v>
      </c>
      <c r="G398" s="15" t="s">
        <v>17</v>
      </c>
      <c r="H398" s="15" t="s">
        <v>18</v>
      </c>
      <c r="I398" s="14" t="str">
        <f>IMAGE("https://upload.wikimedia.org/wikipedia/commons/d/d3/Cartuchos_%2838939%29.jpg")</f>
        <v/>
      </c>
    </row>
    <row r="399" ht="36.0" customHeight="1">
      <c r="A399" s="16" t="str">
        <f t="shared" si="63"/>
        <v>AmiGueko</v>
      </c>
      <c r="B399" s="17" t="s">
        <v>875</v>
      </c>
      <c r="C399" s="18">
        <v>46166.56767361111</v>
      </c>
      <c r="D399" s="17" t="s">
        <v>869</v>
      </c>
      <c r="E399" s="19" t="s">
        <v>876</v>
      </c>
      <c r="F399" s="20" t="s">
        <v>16</v>
      </c>
      <c r="G399" s="20" t="s">
        <v>17</v>
      </c>
      <c r="H399" s="20" t="s">
        <v>18</v>
      </c>
      <c r="I399" s="19" t="str">
        <f>IMAGE("https://upload.wikimedia.org/wikipedia/commons/f/f1/Cartuchos_%2851416%29.jpg")</f>
        <v/>
      </c>
    </row>
    <row r="400" ht="36.0" customHeight="1">
      <c r="A400" s="10" t="str">
        <f t="shared" si="63"/>
        <v>AmiGueko</v>
      </c>
      <c r="B400" s="11" t="s">
        <v>877</v>
      </c>
      <c r="C400" s="12">
        <v>46166.567407407405</v>
      </c>
      <c r="D400" s="11" t="s">
        <v>869</v>
      </c>
      <c r="E400" s="14" t="s">
        <v>878</v>
      </c>
      <c r="F400" s="15" t="s">
        <v>16</v>
      </c>
      <c r="G400" s="15" t="s">
        <v>17</v>
      </c>
      <c r="H400" s="15" t="s">
        <v>18</v>
      </c>
      <c r="I400" s="14" t="str">
        <f>IMAGE("https://upload.wikimedia.org/wikipedia/commons/8/86/Cartuchos_%2867545%29.jpg")</f>
        <v/>
      </c>
    </row>
    <row r="401" ht="36.0" customHeight="1">
      <c r="A401" s="16" t="str">
        <f t="shared" si="63"/>
        <v>AmiGueko</v>
      </c>
      <c r="B401" s="17" t="s">
        <v>879</v>
      </c>
      <c r="C401" s="18">
        <v>46166.56730324074</v>
      </c>
      <c r="D401" s="17" t="s">
        <v>869</v>
      </c>
      <c r="E401" s="19" t="s">
        <v>880</v>
      </c>
      <c r="F401" s="20" t="s">
        <v>16</v>
      </c>
      <c r="G401" s="20" t="s">
        <v>17</v>
      </c>
      <c r="H401" s="20" t="s">
        <v>18</v>
      </c>
      <c r="I401" s="19" t="str">
        <f>IMAGE("https://upload.wikimedia.org/wikipedia/commons/a/a0/Cartuchos_%2871991%29.jpg")</f>
        <v/>
      </c>
    </row>
    <row r="402" ht="36.0" customHeight="1">
      <c r="A402" s="10" t="str">
        <f t="shared" si="63"/>
        <v>AmiGueko</v>
      </c>
      <c r="B402" s="11" t="s">
        <v>881</v>
      </c>
      <c r="C402" s="12">
        <v>46166.5671875</v>
      </c>
      <c r="D402" s="11" t="s">
        <v>882</v>
      </c>
      <c r="E402" s="14" t="s">
        <v>883</v>
      </c>
      <c r="F402" s="15" t="s">
        <v>16</v>
      </c>
      <c r="G402" s="15" t="s">
        <v>17</v>
      </c>
      <c r="H402" s="15" t="s">
        <v>18</v>
      </c>
      <c r="I402" s="14" t="str">
        <f>IMAGE("https://upload.wikimedia.org/wikipedia/commons/e/e9/Cartuchos_cola_de_marrano.jpg")</f>
        <v/>
      </c>
    </row>
    <row r="403" ht="36.0" customHeight="1">
      <c r="A403" s="16" t="str">
        <f>HYPERLINK("https://commons.wikimedia.org/wiki/User:" &amp; ENCODEURL("Supertita"), "Supertita")</f>
        <v>Supertita</v>
      </c>
      <c r="B403" s="17" t="s">
        <v>884</v>
      </c>
      <c r="C403" s="18">
        <v>46192.70736111111</v>
      </c>
      <c r="D403" s="17" t="s">
        <v>885</v>
      </c>
      <c r="E403" s="19" t="s">
        <v>21</v>
      </c>
      <c r="F403" s="20" t="s">
        <v>16</v>
      </c>
      <c r="G403" s="20" t="s">
        <v>17</v>
      </c>
      <c r="H403" s="20" t="s">
        <v>18</v>
      </c>
      <c r="I403" s="19" t="str">
        <f>IMAGE("https://upload.wikimedia.org/wikipedia/commons/9/99/Cascada-PARQUE_NACIONAL_NATURAL_CHINGAZA.jpg")</f>
        <v/>
      </c>
    </row>
    <row r="404" ht="36.0" customHeight="1">
      <c r="A404" s="10" t="str">
        <f>HYPERLINK("https://commons.wikimedia.org/wiki/User:" &amp; ENCODEURL("Peperomia11"), "Peperomia11")</f>
        <v>Peperomia11</v>
      </c>
      <c r="B404" s="11" t="s">
        <v>886</v>
      </c>
      <c r="C404" s="12">
        <v>46202.56013888889</v>
      </c>
      <c r="D404" s="11" t="s">
        <v>887</v>
      </c>
      <c r="E404" s="14" t="s">
        <v>29</v>
      </c>
      <c r="F404" s="14" t="s">
        <v>30</v>
      </c>
      <c r="G404" s="15" t="s">
        <v>17</v>
      </c>
      <c r="H404" s="15" t="s">
        <v>18</v>
      </c>
      <c r="I404" s="14" t="str">
        <f>IMAGE("https://upload.wikimedia.org/wikipedia/commons/7/71/Cascada_IMG-20260628-WA0014.jpg")</f>
        <v/>
      </c>
    </row>
    <row r="405" ht="36.0" customHeight="1">
      <c r="A405" s="16" t="str">
        <f>HYPERLINK("https://commons.wikimedia.org/wiki/User:" &amp; ENCODEURL("Seacowatee"), "Seacowatee")</f>
        <v>Seacowatee</v>
      </c>
      <c r="B405" s="17" t="s">
        <v>888</v>
      </c>
      <c r="C405" s="18">
        <v>46197.431875</v>
      </c>
      <c r="D405" s="17" t="s">
        <v>889</v>
      </c>
      <c r="E405" s="19" t="s">
        <v>890</v>
      </c>
      <c r="F405" s="20" t="s">
        <v>16</v>
      </c>
      <c r="G405" s="20" t="s">
        <v>17</v>
      </c>
      <c r="H405" s="20" t="s">
        <v>18</v>
      </c>
      <c r="I405" s="19" t="str">
        <f>IMAGE("https://upload.wikimedia.org/wikipedia/commons/a/af/Cascada_La_Chorrera_in_the_distance.jpg")</f>
        <v/>
      </c>
    </row>
    <row r="406" ht="36.0" customHeight="1">
      <c r="A406" s="10" t="str">
        <f>HYPERLINK("https://commons.wikimedia.org/wiki/User:" &amp; ENCODEURL("Easlava7"), "Easlava7")</f>
        <v>Easlava7</v>
      </c>
      <c r="B406" s="11" t="s">
        <v>891</v>
      </c>
      <c r="C406" s="12">
        <v>46163.57141203704</v>
      </c>
      <c r="D406" s="11" t="s">
        <v>892</v>
      </c>
      <c r="E406" s="14" t="s">
        <v>29</v>
      </c>
      <c r="F406" s="14" t="s">
        <v>30</v>
      </c>
      <c r="G406" s="15" t="s">
        <v>17</v>
      </c>
      <c r="H406" s="15" t="s">
        <v>18</v>
      </c>
      <c r="I406" s="14" t="str">
        <f>IMAGE("https://upload.wikimedia.org/wikipedia/commons/b/b5/Cascada_Nevado_Cocuy_02.jpg")</f>
        <v/>
      </c>
    </row>
    <row r="407" ht="36.0" customHeight="1">
      <c r="A407" s="16" t="str">
        <f>HYPERLINK("https://commons.wikimedia.org/wiki/User:" &amp; ENCODEURL("Johan Andrés Toro"), "Johan Andrés Toro")</f>
        <v>Johan Andrés Toro</v>
      </c>
      <c r="B407" s="17" t="s">
        <v>893</v>
      </c>
      <c r="C407" s="18">
        <v>46171.739386574074</v>
      </c>
      <c r="D407" s="17" t="s">
        <v>894</v>
      </c>
      <c r="E407" s="19" t="s">
        <v>29</v>
      </c>
      <c r="F407" s="19" t="s">
        <v>30</v>
      </c>
      <c r="G407" s="20" t="s">
        <v>17</v>
      </c>
      <c r="H407" s="20" t="s">
        <v>18</v>
      </c>
      <c r="I407" s="19" t="str">
        <f>IMAGE("https://upload.wikimedia.org/wikipedia/commons/7/7b/Cascada_de_deshielo_sobre_paredes_rocosas_del_Nevado_del_Ruiz.jpg")</f>
        <v/>
      </c>
    </row>
    <row r="408" ht="36.0" customHeight="1">
      <c r="A408" s="10" t="str">
        <f t="shared" ref="A408:A409" si="64">HYPERLINK("https://commons.wikimedia.org/wiki/User:" &amp; ENCODEURL("Estudiante0001"), "Estudiante0001")</f>
        <v>Estudiante0001</v>
      </c>
      <c r="B408" s="11" t="s">
        <v>895</v>
      </c>
      <c r="C408" s="12">
        <v>46163.55567129629</v>
      </c>
      <c r="D408" s="11" t="s">
        <v>896</v>
      </c>
      <c r="E408" s="14" t="s">
        <v>897</v>
      </c>
      <c r="F408" s="15" t="s">
        <v>16</v>
      </c>
      <c r="G408" s="15" t="s">
        <v>17</v>
      </c>
      <c r="H408" s="15" t="s">
        <v>18</v>
      </c>
      <c r="I408" s="14" t="str">
        <f>IMAGE("https://upload.wikimedia.org/wikipedia/commons/2/26/Cascada_en_Guasca.jpg")</f>
        <v/>
      </c>
    </row>
    <row r="409" ht="36.0" customHeight="1">
      <c r="A409" s="16" t="str">
        <f t="shared" si="64"/>
        <v>Estudiante0001</v>
      </c>
      <c r="B409" s="17" t="s">
        <v>898</v>
      </c>
      <c r="C409" s="18">
        <v>46163.55569444445</v>
      </c>
      <c r="D409" s="17" t="s">
        <v>896</v>
      </c>
      <c r="E409" s="19" t="s">
        <v>899</v>
      </c>
      <c r="F409" s="20" t="s">
        <v>16</v>
      </c>
      <c r="G409" s="20" t="s">
        <v>17</v>
      </c>
      <c r="H409" s="20" t="s">
        <v>18</v>
      </c>
      <c r="I409" s="19" t="str">
        <f>IMAGE("https://upload.wikimedia.org/wikipedia/commons/9/96/Cascada_en_Guasca_-_La_Reserva_El_Zoque.jpg")</f>
        <v/>
      </c>
    </row>
    <row r="410" ht="36.0" customHeight="1">
      <c r="A410" s="10" t="str">
        <f t="shared" ref="A410:A411" si="65">HYPERLINK("https://commons.wikimedia.org/wiki/User:" &amp; ENCODEURL("AmiGueko"), "AmiGueko")</f>
        <v>AmiGueko</v>
      </c>
      <c r="B410" s="11" t="s">
        <v>900</v>
      </c>
      <c r="C410" s="12">
        <v>46156.98243055555</v>
      </c>
      <c r="D410" s="11" t="s">
        <v>901</v>
      </c>
      <c r="E410" s="14" t="s">
        <v>29</v>
      </c>
      <c r="F410" s="14" t="s">
        <v>30</v>
      </c>
      <c r="G410" s="15" t="s">
        <v>17</v>
      </c>
      <c r="H410" s="15" t="s">
        <v>18</v>
      </c>
      <c r="I410" s="14" t="str">
        <f>IMAGE("https://upload.wikimedia.org/wikipedia/commons/c/c9/Cascada_en_Murillo%2C_Tolima.jpg")</f>
        <v/>
      </c>
    </row>
    <row r="411" ht="36.0" customHeight="1">
      <c r="A411" s="16" t="str">
        <f t="shared" si="65"/>
        <v>AmiGueko</v>
      </c>
      <c r="B411" s="17" t="s">
        <v>902</v>
      </c>
      <c r="C411" s="18">
        <v>46156.98296296296</v>
      </c>
      <c r="D411" s="17" t="s">
        <v>901</v>
      </c>
      <c r="E411" s="19" t="s">
        <v>29</v>
      </c>
      <c r="F411" s="19" t="s">
        <v>30</v>
      </c>
      <c r="G411" s="20" t="s">
        <v>17</v>
      </c>
      <c r="H411" s="20" t="s">
        <v>18</v>
      </c>
      <c r="I411" s="19" t="str">
        <f>IMAGE("https://upload.wikimedia.org/wikipedia/commons/e/ec/Cascada_en_Murillo%2C_Tolima_%2833725%29.jpg")</f>
        <v/>
      </c>
    </row>
    <row r="412" ht="36.0" customHeight="1">
      <c r="A412" s="10" t="str">
        <f>HYPERLINK("https://commons.wikimedia.org/wiki/User:" &amp; ENCODEURL("Mig.ast20"), "Mig.ast20")</f>
        <v>Mig.ast20</v>
      </c>
      <c r="B412" s="11" t="s">
        <v>903</v>
      </c>
      <c r="C412" s="12">
        <v>46163.570023148146</v>
      </c>
      <c r="D412" s="11" t="s">
        <v>904</v>
      </c>
      <c r="E412" s="14" t="s">
        <v>29</v>
      </c>
      <c r="F412" s="14" t="s">
        <v>30</v>
      </c>
      <c r="G412" s="15" t="s">
        <v>17</v>
      </c>
      <c r="H412" s="15" t="s">
        <v>18</v>
      </c>
      <c r="I412" s="14" t="str">
        <f>IMAGE("https://upload.wikimedia.org/wikipedia/commons/0/00/Cascada_la_70.jpg")</f>
        <v/>
      </c>
    </row>
    <row r="413" ht="36.0" customHeight="1">
      <c r="A413" s="16" t="str">
        <f>HYPERLINK("https://commons.wikimedia.org/wiki/User:" &amp; ENCODEURL("Avargasc1"), "Avargasc1")</f>
        <v>Avargasc1</v>
      </c>
      <c r="B413" s="17" t="s">
        <v>905</v>
      </c>
      <c r="C413" s="18">
        <v>46171.36392361111</v>
      </c>
      <c r="D413" s="17" t="s">
        <v>906</v>
      </c>
      <c r="E413" s="19" t="s">
        <v>29</v>
      </c>
      <c r="F413" s="19" t="s">
        <v>30</v>
      </c>
      <c r="G413" s="20" t="s">
        <v>17</v>
      </c>
      <c r="H413" s="20" t="s">
        <v>18</v>
      </c>
      <c r="I413" s="19" t="str">
        <f>IMAGE("https://upload.wikimedia.org/wikipedia/commons/b/b8/Cascadas_Ventanas_de_Tisquizoque.jpg")</f>
        <v/>
      </c>
    </row>
    <row r="414" ht="36.0" customHeight="1">
      <c r="A414" s="10" t="str">
        <f>HYPERLINK("https://commons.wikimedia.org/wiki/User:" &amp; ENCODEURL("Johan Andrés Toro"), "Johan Andrés Toro")</f>
        <v>Johan Andrés Toro</v>
      </c>
      <c r="B414" s="11" t="s">
        <v>907</v>
      </c>
      <c r="C414" s="12">
        <v>46171.62703703704</v>
      </c>
      <c r="D414" s="11" t="s">
        <v>908</v>
      </c>
      <c r="E414" s="14" t="s">
        <v>909</v>
      </c>
      <c r="F414" s="15" t="s">
        <v>16</v>
      </c>
      <c r="G414" s="15" t="s">
        <v>17</v>
      </c>
      <c r="H414" s="15" t="s">
        <v>18</v>
      </c>
      <c r="I414" s="14" t="str">
        <f>IMAGE("https://upload.wikimedia.org/wikipedia/commons/c/c6/Cascadas_estacionales_en_las_paredes_del_ca%C3%B1%C3%B3n_del_Tequendama.jpg")</f>
        <v/>
      </c>
    </row>
    <row r="415" ht="36.0" customHeight="1">
      <c r="A415" s="16" t="str">
        <f>HYPERLINK("https://commons.wikimedia.org/wiki/User:" &amp; ENCODEURL("Nbareschu"), "Nbareschu")</f>
        <v>Nbareschu</v>
      </c>
      <c r="B415" s="17" t="s">
        <v>910</v>
      </c>
      <c r="C415" s="18">
        <v>46149.42149305555</v>
      </c>
      <c r="D415" s="17" t="s">
        <v>911</v>
      </c>
      <c r="E415" s="19" t="s">
        <v>912</v>
      </c>
      <c r="F415" s="20" t="s">
        <v>16</v>
      </c>
      <c r="G415" s="20" t="s">
        <v>17</v>
      </c>
      <c r="H415" s="20" t="s">
        <v>18</v>
      </c>
      <c r="I415" s="19" t="str">
        <f>IMAGE("https://upload.wikimedia.org/wikipedia/commons/0/0c/Castilleja_g%C3%BCican.jpg")</f>
        <v/>
      </c>
    </row>
    <row r="416" ht="36.0" customHeight="1">
      <c r="A416" s="10" t="str">
        <f>HYPERLINK("https://commons.wikimedia.org/wiki/User:" &amp; ENCODEURL("Mottenpriesterin"), "Mottenpriesterin")</f>
        <v>Mottenpriesterin</v>
      </c>
      <c r="B416" s="11" t="s">
        <v>913</v>
      </c>
      <c r="C416" s="12">
        <v>46202.920219907406</v>
      </c>
      <c r="D416" s="11" t="s">
        <v>914</v>
      </c>
      <c r="E416" s="14" t="s">
        <v>29</v>
      </c>
      <c r="F416" s="14" t="s">
        <v>30</v>
      </c>
      <c r="G416" s="15" t="s">
        <v>17</v>
      </c>
      <c r="H416" s="15" t="s">
        <v>18</v>
      </c>
      <c r="I416" s="14" t="str">
        <f>IMAGE("https://upload.wikimedia.org/wikipedia/commons/7/76/Caterpillar_of_a_hag_moth_%28family_Limacodidae%29_on_a_leaf%2C_Colombia%2C_2025.jpg")</f>
        <v/>
      </c>
    </row>
    <row r="417" ht="36.0" customHeight="1">
      <c r="A417" s="16" t="str">
        <f>HYPERLINK("https://commons.wikimedia.org/wiki/User:" &amp; ENCODEURL("Lamoraleja"), "Lamoraleja")</f>
        <v>Lamoraleja</v>
      </c>
      <c r="B417" s="17" t="s">
        <v>915</v>
      </c>
      <c r="C417" s="18">
        <v>46149.58369212963</v>
      </c>
      <c r="D417" s="17" t="s">
        <v>916</v>
      </c>
      <c r="E417" s="19" t="s">
        <v>29</v>
      </c>
      <c r="F417" s="19" t="s">
        <v>30</v>
      </c>
      <c r="G417" s="20" t="s">
        <v>17</v>
      </c>
      <c r="H417" s="20" t="s">
        <v>18</v>
      </c>
      <c r="I417" s="19" t="str">
        <f>IMAGE("https://upload.wikimedia.org/wikipedia/commons/4/4e/Caverna_del_oro.jpg")</f>
        <v/>
      </c>
    </row>
    <row r="418" ht="36.0" customHeight="1">
      <c r="A418" s="10" t="str">
        <f>HYPERLINK("https://commons.wikimedia.org/wiki/User:" &amp; ENCODEURL("Gilgomo9"), "Gilgomo9")</f>
        <v>Gilgomo9</v>
      </c>
      <c r="B418" s="11" t="s">
        <v>917</v>
      </c>
      <c r="C418" s="12">
        <v>46144.439421296294</v>
      </c>
      <c r="D418" s="11" t="s">
        <v>918</v>
      </c>
      <c r="E418" s="14" t="s">
        <v>29</v>
      </c>
      <c r="F418" s="14" t="s">
        <v>30</v>
      </c>
      <c r="G418" s="15" t="s">
        <v>17</v>
      </c>
      <c r="H418" s="15" t="s">
        <v>18</v>
      </c>
      <c r="I418" s="14" t="str">
        <f>IMAGE("https://upload.wikimedia.org/wikipedia/commons/6/62/Cayena_en_Jard%C3%ADn_Barranquilla.jpg")</f>
        <v/>
      </c>
    </row>
    <row r="419" ht="36.0" customHeight="1">
      <c r="A419" s="16" t="str">
        <f>HYPERLINK("https://commons.wikimedia.org/wiki/User:" &amp; ENCODEURL("NMontoya (WMCO)"), "NMontoya (WMCO)")</f>
        <v>NMontoya (WMCO)</v>
      </c>
      <c r="B419" s="17" t="s">
        <v>919</v>
      </c>
      <c r="C419" s="18">
        <v>46191.80777777778</v>
      </c>
      <c r="D419" s="17" t="s">
        <v>920</v>
      </c>
      <c r="E419" s="19" t="s">
        <v>683</v>
      </c>
      <c r="F419" s="20" t="s">
        <v>16</v>
      </c>
      <c r="G419" s="20" t="s">
        <v>17</v>
      </c>
      <c r="H419" s="20" t="s">
        <v>18</v>
      </c>
      <c r="I419" s="19" t="str">
        <f>IMAGE("https://upload.wikimedia.org/wikipedia/commons/6/6b/Ca%C3%B1agria_%E2%80%93_G%C3%A9nero_Costus_%E2%80%93_Familia_Costaceae.png")</f>
        <v/>
      </c>
    </row>
    <row r="420" ht="36.0" customHeight="1">
      <c r="A420" s="10" t="str">
        <f>HYPERLINK("https://commons.wikimedia.org/wiki/User:" &amp; ENCODEURL("Mpmarula1"), "Mpmarula1")</f>
        <v>Mpmarula1</v>
      </c>
      <c r="B420" s="11" t="s">
        <v>921</v>
      </c>
      <c r="C420" s="12">
        <v>46151.00119212963</v>
      </c>
      <c r="D420" s="11" t="s">
        <v>922</v>
      </c>
      <c r="E420" s="14" t="s">
        <v>29</v>
      </c>
      <c r="F420" s="14" t="s">
        <v>30</v>
      </c>
      <c r="G420" s="15" t="s">
        <v>17</v>
      </c>
      <c r="H420" s="15" t="s">
        <v>18</v>
      </c>
      <c r="I420" s="14" t="str">
        <f>IMAGE("https://upload.wikimedia.org/wikipedia/commons/7/7e/Ca%C3%B1o_Cristales%2C_Colombia._2023.jpg")</f>
        <v/>
      </c>
    </row>
    <row r="421" ht="36.0" customHeight="1">
      <c r="A421" s="16" t="str">
        <f t="shared" ref="A421:A424" si="66">HYPERLINK("https://commons.wikimedia.org/wiki/User:" &amp; ENCODEURL("Noeliachalfoun"), "Noeliachalfoun")</f>
        <v>Noeliachalfoun</v>
      </c>
      <c r="B421" s="17" t="s">
        <v>923</v>
      </c>
      <c r="C421" s="18">
        <v>46182.708391203705</v>
      </c>
      <c r="D421" s="17" t="s">
        <v>924</v>
      </c>
      <c r="E421" s="19" t="s">
        <v>925</v>
      </c>
      <c r="F421" s="20" t="s">
        <v>16</v>
      </c>
      <c r="G421" s="20" t="s">
        <v>17</v>
      </c>
      <c r="H421" s="20" t="s">
        <v>18</v>
      </c>
      <c r="I421" s="19" t="str">
        <f>IMAGE("https://upload.wikimedia.org/wikipedia/commons/b/bc/Ca%C3%B1o_Cristales-Parque_Nacional_Natural_Sierra_de_la_Macarena-Colombia-2.jpg")</f>
        <v/>
      </c>
    </row>
    <row r="422" ht="36.0" customHeight="1">
      <c r="A422" s="10" t="str">
        <f t="shared" si="66"/>
        <v>Noeliachalfoun</v>
      </c>
      <c r="B422" s="11" t="s">
        <v>926</v>
      </c>
      <c r="C422" s="12">
        <v>46182.708391203705</v>
      </c>
      <c r="D422" s="11" t="s">
        <v>927</v>
      </c>
      <c r="E422" s="14" t="s">
        <v>928</v>
      </c>
      <c r="F422" s="15" t="s">
        <v>16</v>
      </c>
      <c r="G422" s="15" t="s">
        <v>17</v>
      </c>
      <c r="H422" s="15" t="s">
        <v>18</v>
      </c>
      <c r="I422" s="14" t="str">
        <f>IMAGE("https://upload.wikimedia.org/wikipedia/commons/f/f2/Ca%C3%B1o_Cristales-Parque_Nacional_Natural_Sierra_de_la_Macarena-Colombia-3.jpg")</f>
        <v/>
      </c>
    </row>
    <row r="423" ht="36.0" customHeight="1">
      <c r="A423" s="16" t="str">
        <f t="shared" si="66"/>
        <v>Noeliachalfoun</v>
      </c>
      <c r="B423" s="17" t="s">
        <v>929</v>
      </c>
      <c r="C423" s="18">
        <v>46182.708391203705</v>
      </c>
      <c r="D423" s="17" t="s">
        <v>927</v>
      </c>
      <c r="E423" s="19" t="s">
        <v>928</v>
      </c>
      <c r="F423" s="20" t="s">
        <v>16</v>
      </c>
      <c r="G423" s="20" t="s">
        <v>17</v>
      </c>
      <c r="H423" s="20" t="s">
        <v>18</v>
      </c>
      <c r="I423" s="19" t="str">
        <f>IMAGE("https://upload.wikimedia.org/wikipedia/commons/d/d9/Ca%C3%B1o_Cristales-Parque_Nacional_Natural_Sierra_de_la_Macarena-Colombia-4.jpg")</f>
        <v/>
      </c>
    </row>
    <row r="424" ht="36.0" customHeight="1">
      <c r="A424" s="10" t="str">
        <f t="shared" si="66"/>
        <v>Noeliachalfoun</v>
      </c>
      <c r="B424" s="11" t="s">
        <v>930</v>
      </c>
      <c r="C424" s="12">
        <v>46182.70842592593</v>
      </c>
      <c r="D424" s="11" t="s">
        <v>927</v>
      </c>
      <c r="E424" s="14" t="s">
        <v>925</v>
      </c>
      <c r="F424" s="15" t="s">
        <v>16</v>
      </c>
      <c r="G424" s="15" t="s">
        <v>17</v>
      </c>
      <c r="H424" s="15" t="s">
        <v>18</v>
      </c>
      <c r="I424" s="14" t="str">
        <f>IMAGE("https://upload.wikimedia.org/wikipedia/commons/e/ee/Ca%C3%B1o_Cristales-Parque_Nacional_Natural_Sierra_de_la_Macarena-Colombia-5.jpg")</f>
        <v/>
      </c>
    </row>
    <row r="425" ht="36.0" customHeight="1">
      <c r="A425" s="16" t="str">
        <f>HYPERLINK("https://commons.wikimedia.org/wiki/User:" &amp; ENCODEURL("Mpmarula1"), "Mpmarula1")</f>
        <v>Mpmarula1</v>
      </c>
      <c r="B425" s="17" t="s">
        <v>931</v>
      </c>
      <c r="C425" s="18">
        <v>46151.00119212963</v>
      </c>
      <c r="D425" s="17" t="s">
        <v>932</v>
      </c>
      <c r="E425" s="19" t="s">
        <v>29</v>
      </c>
      <c r="F425" s="19" t="s">
        <v>30</v>
      </c>
      <c r="G425" s="20" t="s">
        <v>17</v>
      </c>
      <c r="H425" s="20" t="s">
        <v>18</v>
      </c>
      <c r="I425" s="19" t="str">
        <f>IMAGE("https://upload.wikimedia.org/wikipedia/commons/0/06/Ca%C3%B1o_Cristales_2023.jpg")</f>
        <v/>
      </c>
    </row>
    <row r="426" ht="36.0" customHeight="1">
      <c r="A426" s="10" t="str">
        <f>HYPERLINK("https://commons.wikimedia.org/wiki/User:" &amp; ENCODEURL("Juanrapave"), "Juanrapave")</f>
        <v>Juanrapave</v>
      </c>
      <c r="B426" s="11" t="s">
        <v>933</v>
      </c>
      <c r="C426" s="12">
        <v>46166.313113425924</v>
      </c>
      <c r="D426" s="11" t="s">
        <v>934</v>
      </c>
      <c r="E426" s="14" t="s">
        <v>935</v>
      </c>
      <c r="F426" s="15" t="s">
        <v>16</v>
      </c>
      <c r="G426" s="15" t="s">
        <v>17</v>
      </c>
      <c r="H426" s="15" t="s">
        <v>18</v>
      </c>
      <c r="I426" s="14" t="str">
        <f>IMAGE("https://upload.wikimedia.org/wikipedia/commons/f/fa/Ca%C3%B1o_Juan_Angola.jpg")</f>
        <v/>
      </c>
    </row>
    <row r="427" ht="36.0" customHeight="1">
      <c r="A427" s="16" t="str">
        <f>HYPERLINK("https://commons.wikimedia.org/wiki/User:" &amp; ENCODEURL("Oscarvelascomora"), "Oscarvelascomora")</f>
        <v>Oscarvelascomora</v>
      </c>
      <c r="B427" s="17" t="s">
        <v>936</v>
      </c>
      <c r="C427" s="18">
        <v>46151.6830787037</v>
      </c>
      <c r="D427" s="17" t="s">
        <v>937</v>
      </c>
      <c r="E427" s="19" t="s">
        <v>29</v>
      </c>
      <c r="F427" s="19" t="s">
        <v>30</v>
      </c>
      <c r="G427" s="20" t="s">
        <v>17</v>
      </c>
      <c r="H427" s="20" t="s">
        <v>18</v>
      </c>
      <c r="I427" s="19" t="str">
        <f>IMAGE("https://upload.wikimedia.org/wikipedia/commons/d/d7/Ca%C3%B1on_del_Chicamocha_Santander_2015.jpg")</f>
        <v/>
      </c>
    </row>
    <row r="428" ht="36.0" customHeight="1">
      <c r="A428" s="10" t="str">
        <f>HYPERLINK("https://commons.wikimedia.org/wiki/User:" &amp; ENCODEURL("Cathetovar"), "Cathetovar")</f>
        <v>Cathetovar</v>
      </c>
      <c r="B428" s="11" t="s">
        <v>938</v>
      </c>
      <c r="C428" s="12">
        <v>46195.78065972222</v>
      </c>
      <c r="D428" s="11" t="s">
        <v>939</v>
      </c>
      <c r="E428" s="14" t="s">
        <v>940</v>
      </c>
      <c r="F428" s="15" t="s">
        <v>16</v>
      </c>
      <c r="G428" s="15" t="s">
        <v>17</v>
      </c>
      <c r="H428" s="15" t="s">
        <v>18</v>
      </c>
      <c r="I428" s="14" t="str">
        <f>IMAGE("https://upload.wikimedia.org/wikipedia/commons/1/1f/Ca%C3%B1ones_erosionados_del_desierto_gris.jpg")</f>
        <v/>
      </c>
    </row>
    <row r="429" ht="36.0" customHeight="1">
      <c r="A429" s="16" t="str">
        <f t="shared" ref="A429:A430" si="67">HYPERLINK("https://commons.wikimedia.org/wiki/User:" &amp; ENCODEURL("Sebasgr05"), "Sebasgr05")</f>
        <v>Sebasgr05</v>
      </c>
      <c r="B429" s="17" t="s">
        <v>941</v>
      </c>
      <c r="C429" s="18">
        <v>46178.38679398148</v>
      </c>
      <c r="D429" s="17" t="s">
        <v>942</v>
      </c>
      <c r="E429" s="19" t="s">
        <v>943</v>
      </c>
      <c r="F429" s="20" t="s">
        <v>16</v>
      </c>
      <c r="G429" s="20" t="s">
        <v>17</v>
      </c>
      <c r="H429" s="20" t="s">
        <v>18</v>
      </c>
      <c r="I429" s="19" t="str">
        <f>IMAGE("https://upload.wikimedia.org/wikipedia/commons/a/a9/Cebus_capucinus_curtus%2C_Gorgona_Island.jpg")</f>
        <v/>
      </c>
    </row>
    <row r="430" ht="36.0" customHeight="1">
      <c r="A430" s="10" t="str">
        <f t="shared" si="67"/>
        <v>Sebasgr05</v>
      </c>
      <c r="B430" s="11" t="s">
        <v>944</v>
      </c>
      <c r="C430" s="12">
        <v>46178.390011574076</v>
      </c>
      <c r="D430" s="11" t="s">
        <v>945</v>
      </c>
      <c r="E430" s="14" t="s">
        <v>29</v>
      </c>
      <c r="F430" s="14" t="s">
        <v>30</v>
      </c>
      <c r="G430" s="15" t="s">
        <v>17</v>
      </c>
      <c r="H430" s="15" t="s">
        <v>18</v>
      </c>
      <c r="I430" s="14" t="str">
        <f>IMAGE("https://upload.wikimedia.org/wikipedia/commons/d/d1/Cebus_cesarae%2C_Becerril-Cesar.jpg")</f>
        <v/>
      </c>
    </row>
    <row r="431" ht="36.0" customHeight="1">
      <c r="A431" s="16" t="str">
        <f t="shared" ref="A431:A436" si="68">HYPERLINK("https://commons.wikimedia.org/wiki/User:" &amp; ENCODEURL("Diferoch"), "Diferoch")</f>
        <v>Diferoch</v>
      </c>
      <c r="B431" s="17" t="s">
        <v>946</v>
      </c>
      <c r="C431" s="18">
        <v>46171.95214120371</v>
      </c>
      <c r="D431" s="17" t="s">
        <v>947</v>
      </c>
      <c r="E431" s="19" t="s">
        <v>948</v>
      </c>
      <c r="F431" s="20" t="s">
        <v>16</v>
      </c>
      <c r="G431" s="20" t="s">
        <v>17</v>
      </c>
      <c r="H431" s="20" t="s">
        <v>18</v>
      </c>
      <c r="I431" s="19" t="str">
        <f>IMAGE("https://upload.wikimedia.org/wikipedia/commons/6/6c/Cebus_versicolor_-_Barrancabermeja%2C_Santander%2C_Colombia_-_13_Jun_2026_-_Diferoch_-_1.jpg")</f>
        <v/>
      </c>
    </row>
    <row r="432" ht="36.0" customHeight="1">
      <c r="A432" s="10" t="str">
        <f t="shared" si="68"/>
        <v>Diferoch</v>
      </c>
      <c r="B432" s="11" t="s">
        <v>949</v>
      </c>
      <c r="C432" s="12">
        <v>46171.952152777776</v>
      </c>
      <c r="D432" s="11" t="s">
        <v>950</v>
      </c>
      <c r="E432" s="14" t="s">
        <v>951</v>
      </c>
      <c r="F432" s="15" t="s">
        <v>16</v>
      </c>
      <c r="G432" s="15" t="s">
        <v>17</v>
      </c>
      <c r="H432" s="15" t="s">
        <v>18</v>
      </c>
      <c r="I432" s="14" t="str">
        <f>IMAGE("https://upload.wikimedia.org/wikipedia/commons/f/f0/Cebus_versicolor_-_Barrancabermeja%2C_Santander%2C_Colombia_-_13_Jun_2026_-_Diferoch_-_2.jpg")</f>
        <v/>
      </c>
    </row>
    <row r="433" ht="36.0" customHeight="1">
      <c r="A433" s="16" t="str">
        <f t="shared" si="68"/>
        <v>Diferoch</v>
      </c>
      <c r="B433" s="17" t="s">
        <v>952</v>
      </c>
      <c r="C433" s="18">
        <v>46177.96225694445</v>
      </c>
      <c r="D433" s="17" t="s">
        <v>953</v>
      </c>
      <c r="E433" s="19" t="s">
        <v>954</v>
      </c>
      <c r="F433" s="20" t="s">
        <v>16</v>
      </c>
      <c r="G433" s="20" t="s">
        <v>17</v>
      </c>
      <c r="H433" s="20" t="s">
        <v>18</v>
      </c>
      <c r="I433" s="19" t="str">
        <f>IMAGE("https://upload.wikimedia.org/wikipedia/commons/4/4e/Cebus_versicolor_-_Barrancabermeja%2C_Santander%2C_Colombia_-_17_Jun_2026_-_Diferoch_-_1.jpg")</f>
        <v/>
      </c>
    </row>
    <row r="434" ht="36.0" customHeight="1">
      <c r="A434" s="10" t="str">
        <f t="shared" si="68"/>
        <v>Diferoch</v>
      </c>
      <c r="B434" s="11" t="s">
        <v>955</v>
      </c>
      <c r="C434" s="12">
        <v>46177.96225694445</v>
      </c>
      <c r="D434" s="11" t="s">
        <v>956</v>
      </c>
      <c r="E434" s="14" t="s">
        <v>957</v>
      </c>
      <c r="F434" s="15" t="s">
        <v>16</v>
      </c>
      <c r="G434" s="15" t="s">
        <v>17</v>
      </c>
      <c r="H434" s="15" t="s">
        <v>18</v>
      </c>
      <c r="I434" s="14" t="str">
        <f>IMAGE("https://upload.wikimedia.org/wikipedia/commons/c/c5/Cebus_versicolor_-_Barrancabermeja%2C_Santander%2C_Colombia_-_17_Jun_2026_-_Diferoch_-_2.jpg")</f>
        <v/>
      </c>
    </row>
    <row r="435" ht="36.0" customHeight="1">
      <c r="A435" s="16" t="str">
        <f t="shared" si="68"/>
        <v>Diferoch</v>
      </c>
      <c r="B435" s="17" t="s">
        <v>958</v>
      </c>
      <c r="C435" s="18">
        <v>46177.96225694445</v>
      </c>
      <c r="D435" s="17" t="s">
        <v>956</v>
      </c>
      <c r="E435" s="19" t="s">
        <v>957</v>
      </c>
      <c r="F435" s="20" t="s">
        <v>16</v>
      </c>
      <c r="G435" s="20" t="s">
        <v>17</v>
      </c>
      <c r="H435" s="20" t="s">
        <v>18</v>
      </c>
      <c r="I435" s="19" t="str">
        <f>IMAGE("https://upload.wikimedia.org/wikipedia/commons/b/bf/Cebus_versicolor_-_Barrancabermeja%2C_Santander%2C_Colombia_-_17_Jun_2026_-_Diferoch_-_3.jpg")</f>
        <v/>
      </c>
    </row>
    <row r="436" ht="36.0" customHeight="1">
      <c r="A436" s="10" t="str">
        <f t="shared" si="68"/>
        <v>Diferoch</v>
      </c>
      <c r="B436" s="11" t="s">
        <v>959</v>
      </c>
      <c r="C436" s="12">
        <v>46190.84474537037</v>
      </c>
      <c r="D436" s="11" t="s">
        <v>960</v>
      </c>
      <c r="E436" s="14" t="s">
        <v>961</v>
      </c>
      <c r="F436" s="15" t="s">
        <v>16</v>
      </c>
      <c r="G436" s="15" t="s">
        <v>17</v>
      </c>
      <c r="H436" s="15" t="s">
        <v>18</v>
      </c>
      <c r="I436" s="14" t="str">
        <f>IMAGE("https://upload.wikimedia.org/wikipedia/commons/d/d8/Cebus_versicolor_-_Cimitarra%2C_Santander%2C_Colombia_-_30_Sep_2025_-_Diferoch.jpg")</f>
        <v/>
      </c>
    </row>
    <row r="437" ht="36.0" customHeight="1">
      <c r="A437" s="16" t="str">
        <f>HYPERLINK("https://commons.wikimedia.org/wiki/User:" &amp; ENCODEURL("JinM143"), "JinM143")</f>
        <v>JinM143</v>
      </c>
      <c r="B437" s="17" t="s">
        <v>962</v>
      </c>
      <c r="C437" s="18">
        <v>46163.522685185184</v>
      </c>
      <c r="D437" s="17" t="s">
        <v>963</v>
      </c>
      <c r="E437" s="19" t="s">
        <v>29</v>
      </c>
      <c r="F437" s="19" t="s">
        <v>30</v>
      </c>
      <c r="G437" s="20" t="s">
        <v>17</v>
      </c>
      <c r="H437" s="20" t="s">
        <v>18</v>
      </c>
      <c r="I437" s="19" t="str">
        <f>IMAGE("https://upload.wikimedia.org/wikipedia/commons/1/1f/Cecropia_sp_-_Julian_Barrera.jpg")</f>
        <v/>
      </c>
    </row>
    <row r="438" ht="36.0" customHeight="1">
      <c r="A438" s="10" t="str">
        <f>HYPERLINK("https://commons.wikimedia.org/wiki/User:" &amp; ENCODEURL("Jukaper23"), "Jukaper23")</f>
        <v>Jukaper23</v>
      </c>
      <c r="B438" s="11" t="s">
        <v>964</v>
      </c>
      <c r="C438" s="12">
        <v>46201.5369212963</v>
      </c>
      <c r="D438" s="11" t="s">
        <v>965</v>
      </c>
      <c r="E438" s="14" t="s">
        <v>29</v>
      </c>
      <c r="F438" s="14" t="s">
        <v>30</v>
      </c>
      <c r="G438" s="15" t="s">
        <v>17</v>
      </c>
      <c r="H438" s="15" t="s">
        <v>18</v>
      </c>
      <c r="I438" s="14" t="str">
        <f>IMAGE("https://upload.wikimedia.org/wikipedia/commons/0/06/Cedrela_odorata_2026-05-23.jpg")</f>
        <v/>
      </c>
    </row>
    <row r="439" ht="36.0" customHeight="1">
      <c r="A439" s="16" t="str">
        <f>HYPERLINK("https://commons.wikimedia.org/wiki/User:" &amp; ENCODEURL("AmiGueko"), "AmiGueko")</f>
        <v>AmiGueko</v>
      </c>
      <c r="B439" s="17" t="s">
        <v>966</v>
      </c>
      <c r="C439" s="18">
        <v>46151.29912037037</v>
      </c>
      <c r="D439" s="17" t="s">
        <v>967</v>
      </c>
      <c r="E439" s="19" t="s">
        <v>968</v>
      </c>
      <c r="F439" s="20" t="s">
        <v>16</v>
      </c>
      <c r="G439" s="20" t="s">
        <v>17</v>
      </c>
      <c r="H439" s="20" t="s">
        <v>18</v>
      </c>
      <c r="I439" s="19" t="str">
        <f>IMAGE("https://upload.wikimedia.org/wikipedia/commons/5/5b/Cedro_americano.jpg")</f>
        <v/>
      </c>
    </row>
    <row r="440" ht="36.0" customHeight="1">
      <c r="A440" s="10" t="str">
        <f t="shared" ref="A440:A443" si="69">HYPERLINK("https://commons.wikimedia.org/wiki/User:" &amp; ENCODEURL("Nathaly 1106"), "Nathaly 1106")</f>
        <v>Nathaly 1106</v>
      </c>
      <c r="B440" s="11" t="s">
        <v>969</v>
      </c>
      <c r="C440" s="12">
        <v>46148.61943287037</v>
      </c>
      <c r="D440" s="11" t="s">
        <v>970</v>
      </c>
      <c r="E440" s="14" t="s">
        <v>29</v>
      </c>
      <c r="F440" s="14" t="s">
        <v>30</v>
      </c>
      <c r="G440" s="15" t="s">
        <v>17</v>
      </c>
      <c r="H440" s="15" t="s">
        <v>18</v>
      </c>
      <c r="I440" s="14" t="str">
        <f>IMAGE("https://upload.wikimedia.org/wikipedia/commons/5/55/Cedro_cebolla_%28Cedrela_montana%29.jpg")</f>
        <v/>
      </c>
    </row>
    <row r="441" ht="36.0" customHeight="1">
      <c r="A441" s="16" t="str">
        <f t="shared" si="69"/>
        <v>Nathaly 1106</v>
      </c>
      <c r="B441" s="17" t="s">
        <v>971</v>
      </c>
      <c r="C441" s="18">
        <v>46148.61935185185</v>
      </c>
      <c r="D441" s="17" t="s">
        <v>972</v>
      </c>
      <c r="E441" s="19" t="s">
        <v>29</v>
      </c>
      <c r="F441" s="19" t="s">
        <v>30</v>
      </c>
      <c r="G441" s="20" t="s">
        <v>17</v>
      </c>
      <c r="H441" s="20" t="s">
        <v>18</v>
      </c>
      <c r="I441" s="19" t="str">
        <f>IMAGE("https://upload.wikimedia.org/wikipedia/commons/f/fb/Cedro_cebolla_%28Meliaceae%29.jpg")</f>
        <v/>
      </c>
    </row>
    <row r="442" ht="36.0" customHeight="1">
      <c r="A442" s="10" t="str">
        <f t="shared" si="69"/>
        <v>Nathaly 1106</v>
      </c>
      <c r="B442" s="11" t="s">
        <v>973</v>
      </c>
      <c r="C442" s="12">
        <v>46148.631423611114</v>
      </c>
      <c r="D442" s="11" t="s">
        <v>974</v>
      </c>
      <c r="E442" s="14" t="s">
        <v>29</v>
      </c>
      <c r="F442" s="14" t="s">
        <v>30</v>
      </c>
      <c r="G442" s="15" t="s">
        <v>17</v>
      </c>
      <c r="H442" s="15" t="s">
        <v>18</v>
      </c>
      <c r="I442" s="14" t="str">
        <f>IMAGE("https://upload.wikimedia.org/wikipedia/commons/0/04/Cedro_cebolla_de_porte_alto.jpg")</f>
        <v/>
      </c>
    </row>
    <row r="443" ht="36.0" customHeight="1">
      <c r="A443" s="16" t="str">
        <f t="shared" si="69"/>
        <v>Nathaly 1106</v>
      </c>
      <c r="B443" s="17" t="s">
        <v>975</v>
      </c>
      <c r="C443" s="18">
        <v>46148.6190625</v>
      </c>
      <c r="D443" s="17" t="s">
        <v>976</v>
      </c>
      <c r="E443" s="19" t="s">
        <v>29</v>
      </c>
      <c r="F443" s="19" t="s">
        <v>30</v>
      </c>
      <c r="G443" s="20" t="s">
        <v>17</v>
      </c>
      <c r="H443" s="20" t="s">
        <v>18</v>
      </c>
      <c r="I443" s="19" t="str">
        <f>IMAGE("https://upload.wikimedia.org/wikipedia/commons/0/03/Cedro_del_jap%C3%B3n_%28Cryptomeria_japonica%29.jpg")</f>
        <v/>
      </c>
    </row>
    <row r="444" ht="36.0" customHeight="1">
      <c r="A444" s="10" t="str">
        <f>HYPERLINK("https://commons.wikimedia.org/wiki/User:" &amp; ENCODEURL("AmiGueko"), "AmiGueko")</f>
        <v>AmiGueko</v>
      </c>
      <c r="B444" s="11" t="s">
        <v>977</v>
      </c>
      <c r="C444" s="12">
        <v>46177.87596064815</v>
      </c>
      <c r="D444" s="11" t="s">
        <v>978</v>
      </c>
      <c r="E444" s="14" t="s">
        <v>103</v>
      </c>
      <c r="F444" s="15" t="s">
        <v>16</v>
      </c>
      <c r="G444" s="15" t="s">
        <v>17</v>
      </c>
      <c r="H444" s="15" t="s">
        <v>18</v>
      </c>
      <c r="I444" s="14" t="str">
        <f>IMAGE("https://upload.wikimedia.org/wikipedia/commons/e/e6/Ceiba_2.jpg")</f>
        <v/>
      </c>
    </row>
    <row r="445" ht="36.0" customHeight="1">
      <c r="A445" s="16" t="str">
        <f>HYPERLINK("https://commons.wikimedia.org/wiki/User:" &amp; ENCODEURL("Jukaper23"), "Jukaper23")</f>
        <v>Jukaper23</v>
      </c>
      <c r="B445" s="17" t="s">
        <v>979</v>
      </c>
      <c r="C445" s="18">
        <v>46201.53690972222</v>
      </c>
      <c r="D445" s="17" t="s">
        <v>980</v>
      </c>
      <c r="E445" s="19" t="s">
        <v>29</v>
      </c>
      <c r="F445" s="19" t="s">
        <v>30</v>
      </c>
      <c r="G445" s="20" t="s">
        <v>17</v>
      </c>
      <c r="H445" s="20" t="s">
        <v>18</v>
      </c>
      <c r="I445" s="19" t="str">
        <f>IMAGE("https://upload.wikimedia.org/wikipedia/commons/0/0a/Ceiba_2026-05-23.jpg")</f>
        <v/>
      </c>
    </row>
    <row r="446" ht="36.0" customHeight="1">
      <c r="A446" s="10" t="str">
        <f>HYPERLINK("https://commons.wikimedia.org/wiki/User:" &amp; ENCODEURL("AmiGueko"), "AmiGueko")</f>
        <v>AmiGueko</v>
      </c>
      <c r="B446" s="11" t="s">
        <v>981</v>
      </c>
      <c r="C446" s="12">
        <v>46177.875972222224</v>
      </c>
      <c r="D446" s="11" t="s">
        <v>978</v>
      </c>
      <c r="E446" s="14" t="s">
        <v>103</v>
      </c>
      <c r="F446" s="15" t="s">
        <v>16</v>
      </c>
      <c r="G446" s="15" t="s">
        <v>17</v>
      </c>
      <c r="H446" s="15" t="s">
        <v>18</v>
      </c>
      <c r="I446" s="14" t="str">
        <f>IMAGE("https://upload.wikimedia.org/wikipedia/commons/8/8b/Ceiba_3.jpg")</f>
        <v/>
      </c>
    </row>
    <row r="447" ht="36.0" customHeight="1">
      <c r="A447" s="16" t="str">
        <f>HYPERLINK("https://commons.wikimedia.org/wiki/User:" &amp; ENCODEURL("Daniela Novoa"), "Daniela Novoa")</f>
        <v>Daniela Novoa</v>
      </c>
      <c r="B447" s="17" t="s">
        <v>982</v>
      </c>
      <c r="C447" s="18">
        <v>46194.88502314815</v>
      </c>
      <c r="D447" s="17" t="s">
        <v>983</v>
      </c>
      <c r="E447" s="19" t="s">
        <v>29</v>
      </c>
      <c r="F447" s="19" t="s">
        <v>30</v>
      </c>
      <c r="G447" s="20" t="s">
        <v>17</v>
      </c>
      <c r="H447" s="20" t="s">
        <v>18</v>
      </c>
      <c r="I447" s="19" t="str">
        <f>IMAGE("https://upload.wikimedia.org/wikipedia/commons/a/ad/Ceiba_Ibague.jpg")</f>
        <v/>
      </c>
    </row>
    <row r="448" ht="36.0" customHeight="1">
      <c r="A448" s="10" t="str">
        <f t="shared" ref="A448:A449" si="70">HYPERLINK("https://commons.wikimedia.org/wiki/User:" &amp; ENCODEURL("AmiGueko"), "AmiGueko")</f>
        <v>AmiGueko</v>
      </c>
      <c r="B448" s="11" t="s">
        <v>984</v>
      </c>
      <c r="C448" s="12">
        <v>46177.87600694445</v>
      </c>
      <c r="D448" s="11" t="s">
        <v>985</v>
      </c>
      <c r="E448" s="14" t="s">
        <v>103</v>
      </c>
      <c r="F448" s="15" t="s">
        <v>16</v>
      </c>
      <c r="G448" s="15" t="s">
        <v>17</v>
      </c>
      <c r="H448" s="15" t="s">
        <v>18</v>
      </c>
      <c r="I448" s="14" t="str">
        <f>IMAGE("https://upload.wikimedia.org/wikipedia/commons/3/3e/Ceiba_amarilla.jpg")</f>
        <v/>
      </c>
    </row>
    <row r="449" ht="36.0" customHeight="1">
      <c r="A449" s="16" t="str">
        <f t="shared" si="70"/>
        <v>AmiGueko</v>
      </c>
      <c r="B449" s="17" t="s">
        <v>986</v>
      </c>
      <c r="C449" s="18">
        <v>46177.87600694445</v>
      </c>
      <c r="D449" s="17" t="s">
        <v>987</v>
      </c>
      <c r="E449" s="19" t="s">
        <v>103</v>
      </c>
      <c r="F449" s="20" t="s">
        <v>16</v>
      </c>
      <c r="G449" s="20" t="s">
        <v>17</v>
      </c>
      <c r="H449" s="20" t="s">
        <v>18</v>
      </c>
      <c r="I449" s="19" t="str">
        <f>IMAGE("https://upload.wikimedia.org/wikipedia/commons/7/79/Ceiba_amarilla2.jpg")</f>
        <v/>
      </c>
    </row>
    <row r="450" ht="36.0" customHeight="1">
      <c r="A450" s="10" t="str">
        <f>HYPERLINK("https://commons.wikimedia.org/wiki/User:" &amp; ENCODEURL("Johan Andrés Toro"), "Johan Andrés Toro")</f>
        <v>Johan Andrés Toro</v>
      </c>
      <c r="B450" s="11" t="s">
        <v>988</v>
      </c>
      <c r="C450" s="12">
        <v>46176.94572916667</v>
      </c>
      <c r="D450" s="11" t="s">
        <v>989</v>
      </c>
      <c r="E450" s="14" t="s">
        <v>29</v>
      </c>
      <c r="F450" s="14" t="s">
        <v>30</v>
      </c>
      <c r="G450" s="15" t="s">
        <v>17</v>
      </c>
      <c r="H450" s="15" t="s">
        <v>18</v>
      </c>
      <c r="I450" s="14" t="str">
        <f>IMAGE("https://upload.wikimedia.org/wikipedia/commons/b/b0/Centinela_del_bosque_seco_Mimus_gilvus_sobre_cactus_card%C3%B3n_en_la_Tatacoa.jpg")</f>
        <v/>
      </c>
    </row>
    <row r="451" ht="36.0" customHeight="1">
      <c r="A451" s="16" t="str">
        <f>HYPERLINK("https://commons.wikimedia.org/wiki/User:" &amp; ENCODEURL("Laupedrazaa"), "Laupedrazaa")</f>
        <v>Laupedrazaa</v>
      </c>
      <c r="B451" s="17" t="s">
        <v>990</v>
      </c>
      <c r="C451" s="18">
        <v>46167.886087962965</v>
      </c>
      <c r="D451" s="17" t="s">
        <v>991</v>
      </c>
      <c r="E451" s="19" t="s">
        <v>29</v>
      </c>
      <c r="F451" s="19" t="s">
        <v>30</v>
      </c>
      <c r="G451" s="20" t="s">
        <v>17</v>
      </c>
      <c r="H451" s="20" t="s">
        <v>18</v>
      </c>
      <c r="I451" s="19" t="str">
        <f>IMAGE("https://upload.wikimedia.org/wikipedia/commons/f/f0/Centinelas_del_campo.jpg")</f>
        <v/>
      </c>
    </row>
    <row r="452" ht="36.0" customHeight="1">
      <c r="A452" s="10" t="str">
        <f>HYPERLINK("https://commons.wikimedia.org/wiki/User:" &amp; ENCODEURL("ThiagoVladReySayers"), "ThiagoVladReySayers")</f>
        <v>ThiagoVladReySayers</v>
      </c>
      <c r="B452" s="11" t="s">
        <v>992</v>
      </c>
      <c r="C452" s="12">
        <v>46196.59018518519</v>
      </c>
      <c r="D452" s="11" t="s">
        <v>993</v>
      </c>
      <c r="E452" s="14" t="s">
        <v>29</v>
      </c>
      <c r="F452" s="14" t="s">
        <v>30</v>
      </c>
      <c r="G452" s="15" t="s">
        <v>17</v>
      </c>
      <c r="H452" s="15" t="s">
        <v>18</v>
      </c>
      <c r="I452" s="14" t="str">
        <f>IMAGE("https://upload.wikimedia.org/wikipedia/commons/3/38/CHICAMOCHA_NATIONAL_PARK.jpg")</f>
        <v/>
      </c>
    </row>
    <row r="453" ht="36.0" customHeight="1">
      <c r="A453" s="16" t="str">
        <f>HYPERLINK("https://commons.wikimedia.org/wiki/User:" &amp; ENCODEURL("Mar 21DS"), "Mar 21DS")</f>
        <v>Mar 21DS</v>
      </c>
      <c r="B453" s="17" t="s">
        <v>994</v>
      </c>
      <c r="C453" s="18">
        <v>46163.56232638889</v>
      </c>
      <c r="D453" s="17" t="s">
        <v>995</v>
      </c>
      <c r="E453" s="19" t="s">
        <v>29</v>
      </c>
      <c r="F453" s="19" t="s">
        <v>30</v>
      </c>
      <c r="G453" s="20" t="s">
        <v>17</v>
      </c>
      <c r="H453" s="20" t="s">
        <v>18</v>
      </c>
      <c r="I453" s="19" t="str">
        <f>IMAGE("https://upload.wikimedia.org/wikipedia/commons/a/a0/Centro_hist%C3%B3rico_nocturno_cartagena.jpg")</f>
        <v/>
      </c>
    </row>
    <row r="454" ht="36.0" customHeight="1">
      <c r="A454" s="10" t="str">
        <f t="shared" ref="A454:A455" si="71">HYPERLINK("https://commons.wikimedia.org/wiki/User:" &amp; ENCODEURL("AmiGueko"), "AmiGueko")</f>
        <v>AmiGueko</v>
      </c>
      <c r="B454" s="11" t="s">
        <v>996</v>
      </c>
      <c r="C454" s="12">
        <v>46177.87603009259</v>
      </c>
      <c r="D454" s="11" t="s">
        <v>997</v>
      </c>
      <c r="E454" s="14" t="s">
        <v>103</v>
      </c>
      <c r="F454" s="15" t="s">
        <v>16</v>
      </c>
      <c r="G454" s="15" t="s">
        <v>17</v>
      </c>
      <c r="H454" s="15" t="s">
        <v>18</v>
      </c>
      <c r="I454" s="14" t="str">
        <f>IMAGE("https://upload.wikimedia.org/wikipedia/commons/0/01/Cereus_Hilmannianus.jpg")</f>
        <v/>
      </c>
    </row>
    <row r="455" ht="36.0" customHeight="1">
      <c r="A455" s="16" t="str">
        <f t="shared" si="71"/>
        <v>AmiGueko</v>
      </c>
      <c r="B455" s="17" t="s">
        <v>998</v>
      </c>
      <c r="C455" s="18">
        <v>46177.87603009259</v>
      </c>
      <c r="D455" s="17" t="s">
        <v>999</v>
      </c>
      <c r="E455" s="19" t="s">
        <v>103</v>
      </c>
      <c r="F455" s="20" t="s">
        <v>16</v>
      </c>
      <c r="G455" s="20" t="s">
        <v>17</v>
      </c>
      <c r="H455" s="20" t="s">
        <v>18</v>
      </c>
      <c r="I455" s="19" t="str">
        <f>IMAGE("https://upload.wikimedia.org/wikipedia/commons/8/8f/Cereus_Hilmanniaunus2.jpg")</f>
        <v/>
      </c>
    </row>
    <row r="456" ht="36.0" customHeight="1">
      <c r="A456" s="10" t="str">
        <f>HYPERLINK("https://commons.wikimedia.org/wiki/User:" &amp; ENCODEURL("Nathaly 1106"), "Nathaly 1106")</f>
        <v>Nathaly 1106</v>
      </c>
      <c r="B456" s="11" t="s">
        <v>1000</v>
      </c>
      <c r="C456" s="12">
        <v>46148.61938657407</v>
      </c>
      <c r="D456" s="11" t="s">
        <v>1001</v>
      </c>
      <c r="E456" s="14" t="s">
        <v>29</v>
      </c>
      <c r="F456" s="14" t="s">
        <v>30</v>
      </c>
      <c r="G456" s="15" t="s">
        <v>17</v>
      </c>
      <c r="H456" s="15" t="s">
        <v>18</v>
      </c>
      <c r="I456" s="14" t="str">
        <f>IMAGE("https://upload.wikimedia.org/wikipedia/commons/8/8e/Cerezo_%28Rosaceae%29.jpg")</f>
        <v/>
      </c>
    </row>
    <row r="457" ht="36.0" customHeight="1">
      <c r="A457" s="16" t="str">
        <f>HYPERLINK("https://commons.wikimedia.org/wiki/User:" &amp; ENCODEURL("NunuAiyi"), "NunuAiyi")</f>
        <v>NunuAiyi</v>
      </c>
      <c r="B457" s="17" t="s">
        <v>1002</v>
      </c>
      <c r="C457" s="18">
        <v>46203.85858796296</v>
      </c>
      <c r="D457" s="17" t="s">
        <v>1003</v>
      </c>
      <c r="E457" s="19" t="s">
        <v>29</v>
      </c>
      <c r="F457" s="19" t="s">
        <v>30</v>
      </c>
      <c r="G457" s="20" t="s">
        <v>17</v>
      </c>
      <c r="H457" s="20" t="s">
        <v>18</v>
      </c>
      <c r="I457" s="19" t="str">
        <f>IMAGE("https://upload.wikimedia.org/wikipedia/commons/3/3d/Cerrando_el_d%C3%ADa.jpg")</f>
        <v/>
      </c>
    </row>
    <row r="458" ht="36.0" customHeight="1">
      <c r="A458" s="10" t="str">
        <f>HYPERLINK("https://commons.wikimedia.org/wiki/User:" &amp; ENCODEURL("AmiGueko"), "AmiGueko")</f>
        <v>AmiGueko</v>
      </c>
      <c r="B458" s="11" t="s">
        <v>1004</v>
      </c>
      <c r="C458" s="12">
        <v>46166.592314814814</v>
      </c>
      <c r="D458" s="11" t="s">
        <v>1005</v>
      </c>
      <c r="E458" s="14" t="s">
        <v>1006</v>
      </c>
      <c r="F458" s="15" t="s">
        <v>16</v>
      </c>
      <c r="G458" s="15" t="s">
        <v>17</v>
      </c>
      <c r="H458" s="15" t="s">
        <v>18</v>
      </c>
      <c r="I458" s="14" t="str">
        <f>IMAGE("https://upload.wikimedia.org/wikipedia/commons/b/bd/Cerro_de_Monserrate_%2856500%29.jpg")</f>
        <v/>
      </c>
    </row>
    <row r="459" ht="36.0" customHeight="1">
      <c r="A459" s="16" t="str">
        <f>HYPERLINK("https://commons.wikimedia.org/wiki/User:" &amp; ENCODEURL("Adrianava.yviene"), "Adrianava.yviene")</f>
        <v>Adrianava.yviene</v>
      </c>
      <c r="B459" s="17" t="s">
        <v>1007</v>
      </c>
      <c r="C459" s="18">
        <v>46198.558020833334</v>
      </c>
      <c r="D459" s="17" t="s">
        <v>1008</v>
      </c>
      <c r="E459" s="19" t="s">
        <v>29</v>
      </c>
      <c r="F459" s="19" t="s">
        <v>30</v>
      </c>
      <c r="G459" s="20" t="s">
        <v>17</v>
      </c>
      <c r="H459" s="20" t="s">
        <v>18</v>
      </c>
      <c r="I459" s="19" t="str">
        <f>IMAGE("https://upload.wikimedia.org/wikipedia/commons/7/71/Cerro_de_las_antenas.jpg")</f>
        <v/>
      </c>
    </row>
    <row r="460" ht="36.0" customHeight="1">
      <c r="A460" s="10" t="str">
        <f>HYPERLINK("https://commons.wikimedia.org/wiki/User:" &amp; ENCODEURL("XRkstudiox"), "XRkstudiox")</f>
        <v>XRkstudiox</v>
      </c>
      <c r="B460" s="11" t="s">
        <v>1009</v>
      </c>
      <c r="C460" s="12">
        <v>46203.71460648148</v>
      </c>
      <c r="D460" s="11" t="s">
        <v>415</v>
      </c>
      <c r="E460" s="14" t="s">
        <v>29</v>
      </c>
      <c r="F460" s="14" t="s">
        <v>30</v>
      </c>
      <c r="G460" s="15" t="s">
        <v>17</v>
      </c>
      <c r="H460" s="15" t="s">
        <v>18</v>
      </c>
      <c r="I460" s="14" t="str">
        <f>IMAGE("https://upload.wikimedia.org/wikipedia/commons/0/0b/Cerros_Mavicure%2C_Pajarito_y_El_Mono.jpg")</f>
        <v/>
      </c>
    </row>
    <row r="461" ht="36.0" customHeight="1">
      <c r="A461" s="16" t="str">
        <f>HYPERLINK("https://commons.wikimedia.org/wiki/User:" &amp; ENCODEURL("Project5443"), "Project5443")</f>
        <v>Project5443</v>
      </c>
      <c r="B461" s="17" t="s">
        <v>1010</v>
      </c>
      <c r="C461" s="18">
        <v>46163.56585648148</v>
      </c>
      <c r="D461" s="17" t="s">
        <v>1011</v>
      </c>
      <c r="E461" s="19" t="s">
        <v>323</v>
      </c>
      <c r="F461" s="20" t="s">
        <v>16</v>
      </c>
      <c r="G461" s="20" t="s">
        <v>17</v>
      </c>
      <c r="H461" s="20" t="s">
        <v>18</v>
      </c>
      <c r="I461" s="19" t="str">
        <f>IMAGE("https://upload.wikimedia.org/wikipedia/commons/1/1e/Cerros_de_Monserrate.jpg")</f>
        <v/>
      </c>
    </row>
    <row r="462" ht="36.0" customHeight="1">
      <c r="A462" s="10" t="str">
        <f>HYPERLINK("https://commons.wikimedia.org/wiki/User:" &amp; ENCODEURL("Nathaly 1106"), "Nathaly 1106")</f>
        <v>Nathaly 1106</v>
      </c>
      <c r="B462" s="11" t="s">
        <v>1012</v>
      </c>
      <c r="C462" s="12">
        <v>46147.671331018515</v>
      </c>
      <c r="D462" s="11" t="s">
        <v>1013</v>
      </c>
      <c r="E462" s="14" t="s">
        <v>29</v>
      </c>
      <c r="F462" s="14" t="s">
        <v>30</v>
      </c>
      <c r="G462" s="15" t="s">
        <v>17</v>
      </c>
      <c r="H462" s="15" t="s">
        <v>18</v>
      </c>
      <c r="I462" s="14" t="str">
        <f>IMAGE("https://upload.wikimedia.org/wikipedia/commons/0/0a/Cestro_%28Cestrum_elegans%29.jpg")</f>
        <v/>
      </c>
    </row>
    <row r="463" ht="36.0" customHeight="1">
      <c r="A463" s="16" t="str">
        <f>HYPERLINK("https://commons.wikimedia.org/wiki/User:" &amp; ENCODEURL("Elcrespodeloscuentos"), "Elcrespodeloscuentos")</f>
        <v>Elcrespodeloscuentos</v>
      </c>
      <c r="B463" s="17" t="s">
        <v>1014</v>
      </c>
      <c r="C463" s="18">
        <v>46203.94855324074</v>
      </c>
      <c r="D463" s="17" t="s">
        <v>1015</v>
      </c>
      <c r="E463" s="19" t="s">
        <v>29</v>
      </c>
      <c r="F463" s="19" t="s">
        <v>30</v>
      </c>
      <c r="G463" s="20" t="s">
        <v>17</v>
      </c>
      <c r="H463" s="20" t="s">
        <v>18</v>
      </c>
      <c r="I463" s="19" t="str">
        <f>IMAGE("https://upload.wikimedia.org/wikipedia/commons/b/b1/Chaetolepis_microphylla_28%2C06%2C26_p%C3%A1ramo_de_Belmira.jpg")</f>
        <v/>
      </c>
    </row>
    <row r="464" ht="36.0" customHeight="1">
      <c r="A464" s="10" t="str">
        <f>HYPERLINK("https://commons.wikimedia.org/wiki/User:" &amp; ENCODEURL("Juan Antonio Liévano A"), "Juan Antonio Liévano A")</f>
        <v>Juan Antonio Liévano A</v>
      </c>
      <c r="B464" s="11" t="s">
        <v>1016</v>
      </c>
      <c r="C464" s="12">
        <v>46203.58006944445</v>
      </c>
      <c r="D464" s="11" t="s">
        <v>1017</v>
      </c>
      <c r="E464" s="14" t="s">
        <v>29</v>
      </c>
      <c r="F464" s="14" t="s">
        <v>30</v>
      </c>
      <c r="G464" s="15" t="s">
        <v>17</v>
      </c>
      <c r="H464" s="15" t="s">
        <v>18</v>
      </c>
      <c r="I464" s="14" t="str">
        <f>IMAGE("https://upload.wikimedia.org/wikipedia/commons/d/df/Chagra_Yuca_Brava_-_Mira%C3%B1as_PNN_Cahuinari.jpg")</f>
        <v/>
      </c>
    </row>
    <row r="465" ht="36.0" customHeight="1">
      <c r="A465" s="16" t="str">
        <f>HYPERLINK("https://commons.wikimedia.org/wiki/User:" &amp; ENCODEURL("NunuAiyi"), "NunuAiyi")</f>
        <v>NunuAiyi</v>
      </c>
      <c r="B465" s="17" t="s">
        <v>1018</v>
      </c>
      <c r="C465" s="18">
        <v>46203.85865740741</v>
      </c>
      <c r="D465" s="17" t="s">
        <v>1019</v>
      </c>
      <c r="E465" s="19" t="s">
        <v>29</v>
      </c>
      <c r="F465" s="19" t="s">
        <v>30</v>
      </c>
      <c r="G465" s="20" t="s">
        <v>17</v>
      </c>
      <c r="H465" s="20" t="s">
        <v>18</v>
      </c>
      <c r="I465" s="19" t="str">
        <f>IMAGE("https://upload.wikimedia.org/wikipedia/commons/a/a0/Chaparro_florecido.jpg")</f>
        <v/>
      </c>
    </row>
    <row r="466" ht="36.0" customHeight="1">
      <c r="A466" s="10" t="str">
        <f>HYPERLINK("https://commons.wikimedia.org/wiki/User:" &amp; ENCODEURL("AmiGueko"), "AmiGueko")</f>
        <v>AmiGueko</v>
      </c>
      <c r="B466" s="11" t="s">
        <v>1020</v>
      </c>
      <c r="C466" s="12">
        <v>46177.87604166667</v>
      </c>
      <c r="D466" s="11" t="s">
        <v>1021</v>
      </c>
      <c r="E466" s="14" t="s">
        <v>103</v>
      </c>
      <c r="F466" s="15" t="s">
        <v>16</v>
      </c>
      <c r="G466" s="15" t="s">
        <v>17</v>
      </c>
      <c r="H466" s="15" t="s">
        <v>18</v>
      </c>
      <c r="I466" s="14" t="str">
        <f>IMAGE("https://upload.wikimedia.org/wikipedia/commons/5/57/Chaquiro_dulce.jpg")</f>
        <v/>
      </c>
    </row>
    <row r="467" ht="36.0" customHeight="1">
      <c r="A467" s="16" t="str">
        <f>HYPERLINK("https://commons.wikimedia.org/wiki/User:" &amp; ENCODEURL("Diferoch"), "Diferoch")</f>
        <v>Diferoch</v>
      </c>
      <c r="B467" s="17" t="s">
        <v>1022</v>
      </c>
      <c r="C467" s="18">
        <v>46198.74234953704</v>
      </c>
      <c r="D467" s="17" t="s">
        <v>1023</v>
      </c>
      <c r="E467" s="19" t="s">
        <v>1024</v>
      </c>
      <c r="F467" s="20" t="s">
        <v>16</v>
      </c>
      <c r="G467" s="20" t="s">
        <v>17</v>
      </c>
      <c r="H467" s="20" t="s">
        <v>18</v>
      </c>
      <c r="I467" s="19" t="str">
        <f>IMAGE("https://upload.wikimedia.org/wikipedia/commons/2/22/Charadrius_semipalmatus_-_Nuqu%C3%AD%2C_Choc%C3%B3%2C_Colombia_-_23_Oct_2025_-_Diferoch.jpg")</f>
        <v/>
      </c>
    </row>
    <row r="468" ht="36.0" customHeight="1">
      <c r="A468" s="10" t="str">
        <f>HYPERLINK("https://commons.wikimedia.org/wiki/User:" &amp; ENCODEURL("Andres Ggalindo"), "Andres Ggalindo")</f>
        <v>Andres Ggalindo</v>
      </c>
      <c r="B468" s="11" t="s">
        <v>1025</v>
      </c>
      <c r="C468" s="12">
        <v>46203.99829861111</v>
      </c>
      <c r="D468" s="11" t="s">
        <v>1026</v>
      </c>
      <c r="E468" s="14" t="s">
        <v>29</v>
      </c>
      <c r="F468" s="14" t="s">
        <v>30</v>
      </c>
      <c r="G468" s="15" t="s">
        <v>17</v>
      </c>
      <c r="H468" s="15" t="s">
        <v>18</v>
      </c>
      <c r="I468" s="14" t="str">
        <f>IMAGE("https://upload.wikimedia.org/wikipedia/commons/4/44/Charca_en_el_Parque_Nacional_Natural_El_Cocuy.jpg")</f>
        <v/>
      </c>
    </row>
    <row r="469" ht="36.0" customHeight="1">
      <c r="A469" s="16" t="str">
        <f>HYPERLINK("https://commons.wikimedia.org/wiki/User:" &amp; ENCODEURL("CHAVESJUAN19"), "CHAVESJUAN19")</f>
        <v>CHAVESJUAN19</v>
      </c>
      <c r="B469" s="17" t="s">
        <v>1027</v>
      </c>
      <c r="C469" s="18">
        <v>46203.962233796294</v>
      </c>
      <c r="D469" s="17" t="s">
        <v>1028</v>
      </c>
      <c r="E469" s="19" t="s">
        <v>29</v>
      </c>
      <c r="F469" s="19" t="s">
        <v>30</v>
      </c>
      <c r="G469" s="20" t="s">
        <v>17</v>
      </c>
      <c r="H469" s="20" t="s">
        <v>18</v>
      </c>
      <c r="I469" s="19" t="str">
        <f>IMAGE("https://upload.wikimedia.org/wikipedia/commons/0/04/Charlas_de_familia_-_PNN_Sumapaz.jpg")</f>
        <v/>
      </c>
    </row>
    <row r="470" ht="36.0" customHeight="1">
      <c r="A470" s="10" t="str">
        <f>HYPERLINK("https://commons.wikimedia.org/wiki/User:" &amp; ENCODEURL("ColombianFibonacci"), "ColombianFibonacci")</f>
        <v>ColombianFibonacci</v>
      </c>
      <c r="B470" s="11" t="s">
        <v>1029</v>
      </c>
      <c r="C470" s="12">
        <v>46162.70716435185</v>
      </c>
      <c r="D470" s="11" t="s">
        <v>1030</v>
      </c>
      <c r="E470" s="14" t="s">
        <v>29</v>
      </c>
      <c r="F470" s="14" t="s">
        <v>30</v>
      </c>
      <c r="G470" s="15" t="s">
        <v>17</v>
      </c>
      <c r="H470" s="15" t="s">
        <v>18</v>
      </c>
      <c r="I470" s="14" t="str">
        <f>IMAGE("https://upload.wikimedia.org/wikipedia/commons/1/10/Chasing_waterfalls_at_Quebrada_Valencia.jpg")</f>
        <v/>
      </c>
    </row>
    <row r="471" ht="36.0" customHeight="1">
      <c r="A471" s="16" t="str">
        <f>HYPERLINK("https://commons.wikimedia.org/wiki/User:" &amp; ENCODEURL("Diferoch"), "Diferoch")</f>
        <v>Diferoch</v>
      </c>
      <c r="B471" s="17" t="s">
        <v>1031</v>
      </c>
      <c r="C471" s="18">
        <v>46190.94084490741</v>
      </c>
      <c r="D471" s="17" t="s">
        <v>1032</v>
      </c>
      <c r="E471" s="19" t="s">
        <v>1033</v>
      </c>
      <c r="F471" s="20" t="s">
        <v>16</v>
      </c>
      <c r="G471" s="20" t="s">
        <v>17</v>
      </c>
      <c r="H471" s="20" t="s">
        <v>18</v>
      </c>
      <c r="I471" s="19" t="str">
        <f>IMAGE("https://upload.wikimedia.org/wikipedia/commons/2/23/Chauna_chavaria_-_Cimitarra%2C_Santander%2C_Colombia_-_01_Oct_2025_-_Diferoch.jpg")</f>
        <v/>
      </c>
    </row>
    <row r="472" ht="36.0" customHeight="1">
      <c r="A472" s="10" t="str">
        <f>HYPERLINK("https://commons.wikimedia.org/wiki/User:" &amp; ENCODEURL("Maicol andres sanabria leon"), "Maicol andres sanabria leon")</f>
        <v>Maicol andres sanabria leon</v>
      </c>
      <c r="B472" s="11" t="s">
        <v>1034</v>
      </c>
      <c r="C472" s="12">
        <v>46161.54347222222</v>
      </c>
      <c r="D472" s="11" t="s">
        <v>1035</v>
      </c>
      <c r="E472" s="14" t="s">
        <v>1036</v>
      </c>
      <c r="F472" s="15" t="s">
        <v>16</v>
      </c>
      <c r="G472" s="15" t="s">
        <v>17</v>
      </c>
      <c r="H472" s="15" t="s">
        <v>18</v>
      </c>
      <c r="I472" s="14" t="str">
        <f>IMAGE("https://upload.wikimedia.org/wikipedia/commons/d/dc/Chaviva_es_un_pueblo_en_el_municipio_de_puerto_lopez%2C_departamento_del_meta.jpg")</f>
        <v/>
      </c>
    </row>
    <row r="473" ht="36.0" customHeight="1">
      <c r="A473" s="16" t="str">
        <f>HYPERLINK("https://commons.wikimedia.org/wiki/User:" &amp; ENCODEURL("Sebasgr05"), "Sebasgr05")</f>
        <v>Sebasgr05</v>
      </c>
      <c r="B473" s="17" t="s">
        <v>1037</v>
      </c>
      <c r="C473" s="18">
        <v>46178.3934375</v>
      </c>
      <c r="D473" s="17" t="s">
        <v>1038</v>
      </c>
      <c r="E473" s="19" t="s">
        <v>1039</v>
      </c>
      <c r="F473" s="20" t="s">
        <v>16</v>
      </c>
      <c r="G473" s="20" t="s">
        <v>17</v>
      </c>
      <c r="H473" s="20" t="s">
        <v>18</v>
      </c>
      <c r="I473" s="19" t="str">
        <f>IMAGE("https://upload.wikimedia.org/wikipedia/commons/7/77/Cheracebus_medemi.jpg")</f>
        <v/>
      </c>
    </row>
    <row r="474" ht="36.0" customHeight="1">
      <c r="A474" s="10" t="str">
        <f>HYPERLINK("https://commons.wikimedia.org/wiki/User:" &amp; ENCODEURL("Charlesjsharp"), "Charlesjsharp")</f>
        <v>Charlesjsharp</v>
      </c>
      <c r="B474" s="11" t="s">
        <v>1040</v>
      </c>
      <c r="C474" s="12">
        <v>46171.61688657408</v>
      </c>
      <c r="D474" s="11" t="s">
        <v>1041</v>
      </c>
      <c r="E474" s="14" t="s">
        <v>554</v>
      </c>
      <c r="F474" s="15" t="s">
        <v>16</v>
      </c>
      <c r="G474" s="15" t="s">
        <v>17</v>
      </c>
      <c r="H474" s="15" t="s">
        <v>18</v>
      </c>
      <c r="I474" s="14" t="str">
        <f>IMAGE("https://upload.wikimedia.org/wikipedia/commons/4/43/Chestnut-crowned_antpitta_%28Grallaria_ruficapilla%29_Caldas_2.jpg")</f>
        <v/>
      </c>
    </row>
    <row r="475" ht="36.0" customHeight="1">
      <c r="A475" s="16" t="str">
        <f>HYPERLINK("https://commons.wikimedia.org/wiki/User:" &amp; ENCODEURL("Supertita"), "Supertita")</f>
        <v>Supertita</v>
      </c>
      <c r="B475" s="17" t="s">
        <v>1042</v>
      </c>
      <c r="C475" s="18">
        <v>46192.754837962966</v>
      </c>
      <c r="D475" s="17" t="s">
        <v>1043</v>
      </c>
      <c r="E475" s="19" t="s">
        <v>446</v>
      </c>
      <c r="F475" s="20" t="s">
        <v>16</v>
      </c>
      <c r="G475" s="20" t="s">
        <v>17</v>
      </c>
      <c r="H475" s="20" t="s">
        <v>18</v>
      </c>
      <c r="I475" s="19" t="str">
        <f>IMAGE("https://upload.wikimedia.org/wikipedia/commons/e/ef/Chicharra-Tettigades_chilensis.jpg")</f>
        <v/>
      </c>
    </row>
    <row r="476" ht="36.0" customHeight="1">
      <c r="A476" s="10" t="str">
        <f>HYPERLINK("https://commons.wikimedia.org/wiki/User:" &amp; ENCODEURL("Anvar2420"), "Anvar2420")</f>
        <v>Anvar2420</v>
      </c>
      <c r="B476" s="11" t="s">
        <v>1044</v>
      </c>
      <c r="C476" s="12">
        <v>46163.55678240741</v>
      </c>
      <c r="D476" s="11" t="s">
        <v>1045</v>
      </c>
      <c r="E476" s="14" t="s">
        <v>29</v>
      </c>
      <c r="F476" s="14" t="s">
        <v>30</v>
      </c>
      <c r="G476" s="15" t="s">
        <v>17</v>
      </c>
      <c r="H476" s="15" t="s">
        <v>18</v>
      </c>
      <c r="I476" s="14" t="str">
        <f>IMAGE("https://upload.wikimedia.org/wikipedia/commons/b/b8/Chig%C3%BCiros_-_Llanos_Orientales.jpg")</f>
        <v/>
      </c>
    </row>
    <row r="477" ht="36.0" customHeight="1">
      <c r="A477" s="16" t="str">
        <f>HYPERLINK("https://commons.wikimedia.org/wiki/User:" &amp; ENCODEURL("Jhas24.09"), "Jhas24.09")</f>
        <v>Jhas24.09</v>
      </c>
      <c r="B477" s="17" t="s">
        <v>1046</v>
      </c>
      <c r="C477" s="18">
        <v>46160.1012962963</v>
      </c>
      <c r="D477" s="17" t="s">
        <v>1047</v>
      </c>
      <c r="E477" s="19" t="s">
        <v>29</v>
      </c>
      <c r="F477" s="19" t="s">
        <v>30</v>
      </c>
      <c r="G477" s="20" t="s">
        <v>17</v>
      </c>
      <c r="H477" s="20" t="s">
        <v>18</v>
      </c>
      <c r="I477" s="19" t="str">
        <f>IMAGE("https://upload.wikimedia.org/wikipedia/commons/7/77/Chinche_verde.jpg")</f>
        <v/>
      </c>
    </row>
    <row r="478" ht="36.0" customHeight="1">
      <c r="A478" s="10" t="str">
        <f>HYPERLINK("https://commons.wikimedia.org/wiki/User:" &amp; ENCODEURL("AmiGueko"), "AmiGueko")</f>
        <v>AmiGueko</v>
      </c>
      <c r="B478" s="11" t="s">
        <v>1048</v>
      </c>
      <c r="C478" s="12">
        <v>46150.94461805555</v>
      </c>
      <c r="D478" s="11" t="s">
        <v>1049</v>
      </c>
      <c r="E478" s="14" t="s">
        <v>1050</v>
      </c>
      <c r="F478" s="15" t="s">
        <v>16</v>
      </c>
      <c r="G478" s="15" t="s">
        <v>17</v>
      </c>
      <c r="H478" s="15" t="s">
        <v>18</v>
      </c>
      <c r="I478" s="14" t="str">
        <f>IMAGE("https://upload.wikimedia.org/wikipedia/commons/6/63/Chiraco_o_Pedro_Hern%C3%A1ndez.jpg")</f>
        <v/>
      </c>
    </row>
    <row r="479" ht="36.0" customHeight="1">
      <c r="A479" s="16" t="str">
        <f t="shared" ref="A479:A480" si="72">HYPERLINK("https://commons.wikimedia.org/wiki/User:" &amp; ENCODEURL("Diferoch"), "Diferoch")</f>
        <v>Diferoch</v>
      </c>
      <c r="B479" s="17" t="s">
        <v>1051</v>
      </c>
      <c r="C479" s="18">
        <v>46173.7622337963</v>
      </c>
      <c r="D479" s="17" t="s">
        <v>1052</v>
      </c>
      <c r="E479" s="19" t="s">
        <v>1053</v>
      </c>
      <c r="F479" s="20" t="s">
        <v>16</v>
      </c>
      <c r="G479" s="20" t="s">
        <v>17</v>
      </c>
      <c r="H479" s="20" t="s">
        <v>18</v>
      </c>
      <c r="I479" s="19" t="str">
        <f>IMAGE("https://upload.wikimedia.org/wikipedia/commons/c/c3/Chironius_spixii_-_Barrancabermeja%2C_Santander%2C_Colombia_-_14_Jun_2026_-_Diferoch_-_1.jpg")</f>
        <v/>
      </c>
    </row>
    <row r="480" ht="36.0" customHeight="1">
      <c r="A480" s="10" t="str">
        <f t="shared" si="72"/>
        <v>Diferoch</v>
      </c>
      <c r="B480" s="11" t="s">
        <v>1054</v>
      </c>
      <c r="C480" s="12">
        <v>46173.7622337963</v>
      </c>
      <c r="D480" s="11" t="s">
        <v>1052</v>
      </c>
      <c r="E480" s="14" t="s">
        <v>1055</v>
      </c>
      <c r="F480" s="15" t="s">
        <v>16</v>
      </c>
      <c r="G480" s="15" t="s">
        <v>17</v>
      </c>
      <c r="H480" s="15" t="s">
        <v>18</v>
      </c>
      <c r="I480" s="14" t="str">
        <f>IMAGE("https://upload.wikimedia.org/wikipedia/commons/f/f5/Chironius_spixii_-_Barrancabermeja%2C_Santander%2C_Colombia_-_14_Jun_2026_-_Diferoch_-_2.jpg")</f>
        <v/>
      </c>
    </row>
    <row r="481" ht="36.0" customHeight="1">
      <c r="A481" s="16" t="str">
        <f>HYPERLINK("https://commons.wikimedia.org/wiki/User:" &amp; ENCODEURL("Luisalberto p"), "Luisalberto p")</f>
        <v>Luisalberto p</v>
      </c>
      <c r="B481" s="17" t="s">
        <v>1056</v>
      </c>
      <c r="C481" s="18">
        <v>46175.773460648146</v>
      </c>
      <c r="D481" s="17" t="s">
        <v>1057</v>
      </c>
      <c r="E481" s="19" t="s">
        <v>29</v>
      </c>
      <c r="F481" s="19" t="s">
        <v>30</v>
      </c>
      <c r="G481" s="20" t="s">
        <v>17</v>
      </c>
      <c r="H481" s="20" t="s">
        <v>18</v>
      </c>
      <c r="I481" s="19" t="str">
        <f>IMAGE("https://upload.wikimedia.org/wikipedia/commons/2/26/Chlorophonia_pyrrhophrys_-_Chestnut-breasted_Chlorophonia.jpg")</f>
        <v/>
      </c>
    </row>
    <row r="482" ht="36.0" customHeight="1">
      <c r="A482" s="10" t="str">
        <f>HYPERLINK("https://commons.wikimedia.org/wiki/User:" &amp; ENCODEURL("Nathaly 1106"), "Nathaly 1106")</f>
        <v>Nathaly 1106</v>
      </c>
      <c r="B482" s="11" t="s">
        <v>1058</v>
      </c>
      <c r="C482" s="12">
        <v>46148.61918981482</v>
      </c>
      <c r="D482" s="11" t="s">
        <v>1059</v>
      </c>
      <c r="E482" s="14" t="s">
        <v>29</v>
      </c>
      <c r="F482" s="14" t="s">
        <v>30</v>
      </c>
      <c r="G482" s="15" t="s">
        <v>17</v>
      </c>
      <c r="H482" s="15" t="s">
        <v>18</v>
      </c>
      <c r="I482" s="14" t="str">
        <f>IMAGE("https://upload.wikimedia.org/wikipedia/commons/8/8d/Chuguac%C3%A1_%28Icacinaceae%29.jpg")</f>
        <v/>
      </c>
    </row>
    <row r="483" ht="36.0" customHeight="1">
      <c r="A483" s="16" t="str">
        <f>HYPERLINK("https://commons.wikimedia.org/wiki/User:" &amp; ENCODEURL("Diferoch"), "Diferoch")</f>
        <v>Diferoch</v>
      </c>
      <c r="B483" s="17" t="s">
        <v>1060</v>
      </c>
      <c r="C483" s="18">
        <v>46195.94881944444</v>
      </c>
      <c r="D483" s="17" t="s">
        <v>1061</v>
      </c>
      <c r="E483" s="19" t="s">
        <v>1062</v>
      </c>
      <c r="F483" s="20" t="s">
        <v>16</v>
      </c>
      <c r="G483" s="20" t="s">
        <v>17</v>
      </c>
      <c r="H483" s="20" t="s">
        <v>18</v>
      </c>
      <c r="I483" s="19" t="str">
        <f>IMAGE("https://upload.wikimedia.org/wikipedia/commons/1/17/Cicadidae_-_Cimitarra%2C_Santander%2C_Colombia_-_03_Oct_2025_-_Diferoch.jpg")</f>
        <v/>
      </c>
    </row>
    <row r="484" ht="36.0" customHeight="1">
      <c r="A484" s="10" t="str">
        <f>HYPERLINK("https://commons.wikimedia.org/wiki/User:" &amp; ENCODEURL("Juanrapave"), "Juanrapave")</f>
        <v>Juanrapave</v>
      </c>
      <c r="B484" s="11" t="s">
        <v>1063</v>
      </c>
      <c r="C484" s="12">
        <v>46166.313113425924</v>
      </c>
      <c r="D484" s="11" t="s">
        <v>1064</v>
      </c>
      <c r="E484" s="14" t="s">
        <v>1065</v>
      </c>
      <c r="F484" s="15" t="s">
        <v>16</v>
      </c>
      <c r="G484" s="15" t="s">
        <v>17</v>
      </c>
      <c r="H484" s="15" t="s">
        <v>18</v>
      </c>
      <c r="I484" s="14" t="str">
        <f>IMAGE("https://upload.wikimedia.org/wikipedia/commons/d/de/Cielo_Cartagenero.jpg")</f>
        <v/>
      </c>
    </row>
    <row r="485" ht="36.0" customHeight="1">
      <c r="A485" s="16" t="str">
        <f>HYPERLINK("https://commons.wikimedia.org/wiki/User:" &amp; ENCODEURL("Johan Andrés Toro"), "Johan Andrés Toro")</f>
        <v>Johan Andrés Toro</v>
      </c>
      <c r="B485" s="17" t="s">
        <v>1066</v>
      </c>
      <c r="C485" s="18">
        <v>46176.945752314816</v>
      </c>
      <c r="D485" s="17" t="s">
        <v>1067</v>
      </c>
      <c r="E485" s="19" t="s">
        <v>29</v>
      </c>
      <c r="F485" s="19" t="s">
        <v>30</v>
      </c>
      <c r="G485" s="20" t="s">
        <v>17</v>
      </c>
      <c r="H485" s="20" t="s">
        <v>18</v>
      </c>
      <c r="I485" s="19" t="str">
        <f>IMAGE("https://upload.wikimedia.org/wikipedia/commons/e/e1/Cielo_estrellado_en_el_desierto_de_la_Tatacoa.jpg")</f>
        <v/>
      </c>
    </row>
    <row r="486" ht="36.0" customHeight="1">
      <c r="A486" s="10" t="str">
        <f t="shared" ref="A486:A487" si="73">HYPERLINK("https://commons.wikimedia.org/wiki/User:" &amp; ENCODEURL("Elprofeta91"), "Elprofeta91")</f>
        <v>Elprofeta91</v>
      </c>
      <c r="B486" s="11" t="s">
        <v>1068</v>
      </c>
      <c r="C486" s="12">
        <v>46147.79109953704</v>
      </c>
      <c r="D486" s="11" t="s">
        <v>32</v>
      </c>
      <c r="E486" s="14" t="s">
        <v>1069</v>
      </c>
      <c r="F486" s="15" t="s">
        <v>16</v>
      </c>
      <c r="G486" s="15" t="s">
        <v>17</v>
      </c>
      <c r="H486" s="15" t="s">
        <v>18</v>
      </c>
      <c r="I486" s="14" t="str">
        <f>IMAGE("https://upload.wikimedia.org/wikipedia/commons/7/7c/Cielo_parcialmente_despejado.jpg")</f>
        <v/>
      </c>
    </row>
    <row r="487" ht="36.0" customHeight="1">
      <c r="A487" s="16" t="str">
        <f t="shared" si="73"/>
        <v>Elprofeta91</v>
      </c>
      <c r="B487" s="17" t="s">
        <v>1070</v>
      </c>
      <c r="C487" s="18">
        <v>46147.79497685185</v>
      </c>
      <c r="D487" s="17" t="s">
        <v>32</v>
      </c>
      <c r="E487" s="19" t="s">
        <v>1071</v>
      </c>
      <c r="F487" s="20" t="s">
        <v>16</v>
      </c>
      <c r="G487" s="20" t="s">
        <v>17</v>
      </c>
      <c r="H487" s="20" t="s">
        <v>18</v>
      </c>
      <c r="I487" s="19" t="str">
        <f>IMAGE("https://upload.wikimedia.org/wikipedia/commons/b/be/Cielo_parcialmente_nublado_en_Nech%C3%AD.jpg")</f>
        <v/>
      </c>
    </row>
    <row r="488" ht="36.0" customHeight="1">
      <c r="A488" s="10" t="str">
        <f>HYPERLINK("https://commons.wikimedia.org/wiki/User:" &amp; ENCODEURL("AmiGueko"), "AmiGueko")</f>
        <v>AmiGueko</v>
      </c>
      <c r="B488" s="11" t="s">
        <v>1072</v>
      </c>
      <c r="C488" s="12">
        <v>46150.95542824074</v>
      </c>
      <c r="D488" s="11" t="s">
        <v>1073</v>
      </c>
      <c r="E488" s="14" t="s">
        <v>1074</v>
      </c>
      <c r="F488" s="15" t="s">
        <v>16</v>
      </c>
      <c r="G488" s="15" t="s">
        <v>17</v>
      </c>
      <c r="H488" s="15" t="s">
        <v>18</v>
      </c>
      <c r="I488" s="14" t="str">
        <f>IMAGE("https://upload.wikimedia.org/wikipedia/commons/a/ad/Ciempi%C3%A9s_de_patas_de_fuego.jpg")</f>
        <v/>
      </c>
    </row>
    <row r="489" ht="36.0" customHeight="1">
      <c r="A489" s="16" t="str">
        <f>HYPERLINK("https://commons.wikimedia.org/wiki/User:" &amp; ENCODEURL("Juanrapave"), "Juanrapave")</f>
        <v>Juanrapave</v>
      </c>
      <c r="B489" s="17" t="s">
        <v>1075</v>
      </c>
      <c r="C489" s="18">
        <v>46166.313263888886</v>
      </c>
      <c r="D489" s="17" t="s">
        <v>1076</v>
      </c>
      <c r="E489" s="19" t="s">
        <v>1077</v>
      </c>
      <c r="F489" s="20" t="s">
        <v>16</v>
      </c>
      <c r="G489" s="20" t="s">
        <v>17</v>
      </c>
      <c r="H489" s="20" t="s">
        <v>18</v>
      </c>
      <c r="I489" s="19" t="str">
        <f>IMAGE("https://upload.wikimedia.org/wikipedia/commons/0/00/Cienaga%2C_Magdalena.jpg")</f>
        <v/>
      </c>
    </row>
    <row r="490" ht="36.0" customHeight="1">
      <c r="A490" s="10" t="str">
        <f t="shared" ref="A490:A491" si="74">HYPERLINK("https://commons.wikimedia.org/wiki/User:" &amp; ENCODEURL("Joseeem"), "Joseeem")</f>
        <v>Joseeem</v>
      </c>
      <c r="B490" s="11" t="s">
        <v>1078</v>
      </c>
      <c r="C490" s="12">
        <v>46156.9450462963</v>
      </c>
      <c r="D490" s="11" t="s">
        <v>1079</v>
      </c>
      <c r="E490" s="14" t="s">
        <v>29</v>
      </c>
      <c r="F490" s="14" t="s">
        <v>30</v>
      </c>
      <c r="G490" s="15" t="s">
        <v>17</v>
      </c>
      <c r="H490" s="15" t="s">
        <v>18</v>
      </c>
      <c r="I490" s="14" t="str">
        <f>IMAGE("https://upload.wikimedia.org/wikipedia/commons/8/8d/Cienaga_2.jpg")</f>
        <v/>
      </c>
    </row>
    <row r="491" ht="36.0" customHeight="1">
      <c r="A491" s="16" t="str">
        <f t="shared" si="74"/>
        <v>Joseeem</v>
      </c>
      <c r="B491" s="17" t="s">
        <v>1080</v>
      </c>
      <c r="C491" s="18">
        <v>46156.945023148146</v>
      </c>
      <c r="D491" s="17" t="s">
        <v>1081</v>
      </c>
      <c r="E491" s="19" t="s">
        <v>29</v>
      </c>
      <c r="F491" s="19" t="s">
        <v>30</v>
      </c>
      <c r="G491" s="20" t="s">
        <v>17</v>
      </c>
      <c r="H491" s="20" t="s">
        <v>18</v>
      </c>
      <c r="I491" s="19" t="str">
        <f>IMAGE("https://upload.wikimedia.org/wikipedia/commons/5/55/Cienaga_In_Guajira.jpg")</f>
        <v/>
      </c>
    </row>
    <row r="492" ht="36.0" customHeight="1">
      <c r="A492" s="10" t="str">
        <f>HYPERLINK("https://commons.wikimedia.org/wiki/User:" &amp; ENCODEURL("Project5443"), "Project5443")</f>
        <v>Project5443</v>
      </c>
      <c r="B492" s="11" t="s">
        <v>1082</v>
      </c>
      <c r="C492" s="12">
        <v>46163.56591435185</v>
      </c>
      <c r="D492" s="11" t="s">
        <v>1083</v>
      </c>
      <c r="E492" s="14" t="s">
        <v>1084</v>
      </c>
      <c r="F492" s="15" t="s">
        <v>16</v>
      </c>
      <c r="G492" s="15" t="s">
        <v>17</v>
      </c>
      <c r="H492" s="15" t="s">
        <v>18</v>
      </c>
      <c r="I492" s="14" t="str">
        <f>IMAGE("https://upload.wikimedia.org/wikipedia/commons/8/8d/Cig%C3%BCe%C3%B1uela_Cuellinegra.jpg")</f>
        <v/>
      </c>
    </row>
    <row r="493" ht="36.0" customHeight="1">
      <c r="A493" s="16" t="str">
        <f>HYPERLINK("https://commons.wikimedia.org/wiki/User:" &amp; ENCODEURL("Mar 21DS"), "Mar 21DS")</f>
        <v>Mar 21DS</v>
      </c>
      <c r="B493" s="17" t="s">
        <v>1085</v>
      </c>
      <c r="C493" s="18">
        <v>46163.562372685185</v>
      </c>
      <c r="D493" s="17" t="s">
        <v>1086</v>
      </c>
      <c r="E493" s="19" t="s">
        <v>29</v>
      </c>
      <c r="F493" s="19" t="s">
        <v>30</v>
      </c>
      <c r="G493" s="20" t="s">
        <v>17</v>
      </c>
      <c r="H493" s="20" t="s">
        <v>18</v>
      </c>
      <c r="I493" s="19" t="str">
        <f>IMAGE("https://upload.wikimedia.org/wikipedia/commons/6/6f/Ciudad_amurallada_cartagena.jpg")</f>
        <v/>
      </c>
    </row>
    <row r="494" ht="36.0" customHeight="1">
      <c r="A494" s="10" t="str">
        <f t="shared" ref="A494:A495" si="75">HYPERLINK("https://commons.wikimedia.org/wiki/User:" &amp; ENCODEURL("Paulis Bucrav"), "Paulis Bucrav")</f>
        <v>Paulis Bucrav</v>
      </c>
      <c r="B494" s="11" t="s">
        <v>1087</v>
      </c>
      <c r="C494" s="12">
        <v>46193.71939814815</v>
      </c>
      <c r="D494" s="11" t="s">
        <v>1088</v>
      </c>
      <c r="E494" s="14" t="s">
        <v>29</v>
      </c>
      <c r="F494" s="14" t="s">
        <v>30</v>
      </c>
      <c r="G494" s="15" t="s">
        <v>17</v>
      </c>
      <c r="H494" s="15" t="s">
        <v>18</v>
      </c>
      <c r="I494" s="14" t="str">
        <f>IMAGE("https://upload.wikimedia.org/wikipedia/commons/6/63/Ciudad_de_Pasto%2C_a_las_faldas_del_majestuoso_Volc%C3%A1n_Galeras._Conjunci%C3%B3n_Luna%2C_Venus%2C_Mercurio_y_J%C3%BApiter.jpg")</f>
        <v/>
      </c>
    </row>
    <row r="495" ht="36.0" customHeight="1">
      <c r="A495" s="16" t="str">
        <f t="shared" si="75"/>
        <v>Paulis Bucrav</v>
      </c>
      <c r="B495" s="17" t="s">
        <v>1089</v>
      </c>
      <c r="C495" s="18">
        <v>46193.71944444445</v>
      </c>
      <c r="D495" s="17" t="s">
        <v>1090</v>
      </c>
      <c r="E495" s="19" t="s">
        <v>29</v>
      </c>
      <c r="F495" s="19" t="s">
        <v>30</v>
      </c>
      <c r="G495" s="20" t="s">
        <v>17</v>
      </c>
      <c r="H495" s="20" t="s">
        <v>18</v>
      </c>
      <c r="I495" s="19" t="str">
        <f>IMAGE("https://upload.wikimedia.org/wikipedia/commons/5/5d/Ciudad_de_Pasto%2C_a_las_faldas_del_majestuoso_Volc%C3%A1n_Galeras.jpg")</f>
        <v/>
      </c>
    </row>
    <row r="496" ht="36.0" customHeight="1">
      <c r="A496" s="10" t="str">
        <f t="shared" ref="A496:A498" si="76">HYPERLINK("https://commons.wikimedia.org/wiki/User:" &amp; ENCODEURL("Mfrancoavellaneda"), "Mfrancoavellaneda")</f>
        <v>Mfrancoavellaneda</v>
      </c>
      <c r="B496" s="11" t="s">
        <v>1091</v>
      </c>
      <c r="C496" s="12">
        <v>46203.8380787037</v>
      </c>
      <c r="D496" s="11" t="s">
        <v>1092</v>
      </c>
      <c r="E496" s="14" t="s">
        <v>29</v>
      </c>
      <c r="F496" s="14" t="s">
        <v>30</v>
      </c>
      <c r="G496" s="15" t="s">
        <v>17</v>
      </c>
      <c r="H496" s="15" t="s">
        <v>18</v>
      </c>
      <c r="I496" s="14" t="str">
        <f>IMAGE("https://upload.wikimedia.org/wikipedia/commons/f/ff/Ciudad_de_Piedra_vegetaci%C3%B3n_Guaviare.jpg")</f>
        <v/>
      </c>
    </row>
    <row r="497" ht="36.0" customHeight="1">
      <c r="A497" s="16" t="str">
        <f t="shared" si="76"/>
        <v>Mfrancoavellaneda</v>
      </c>
      <c r="B497" s="17" t="s">
        <v>1093</v>
      </c>
      <c r="C497" s="18">
        <v>46203.838055555556</v>
      </c>
      <c r="D497" s="17" t="s">
        <v>1094</v>
      </c>
      <c r="E497" s="19" t="s">
        <v>29</v>
      </c>
      <c r="F497" s="19" t="s">
        <v>30</v>
      </c>
      <c r="G497" s="20" t="s">
        <v>17</v>
      </c>
      <c r="H497" s="20" t="s">
        <v>18</v>
      </c>
      <c r="I497" s="19" t="str">
        <f>IMAGE("https://upload.wikimedia.org/wikipedia/commons/1/10/Ciudad_de_piedra_Guaviare.jpg")</f>
        <v/>
      </c>
    </row>
    <row r="498" ht="36.0" customHeight="1">
      <c r="A498" s="10" t="str">
        <f t="shared" si="76"/>
        <v>Mfrancoavellaneda</v>
      </c>
      <c r="B498" s="11" t="s">
        <v>1095</v>
      </c>
      <c r="C498" s="12">
        <v>46203.83809027778</v>
      </c>
      <c r="D498" s="11" t="s">
        <v>1096</v>
      </c>
      <c r="E498" s="14" t="s">
        <v>29</v>
      </c>
      <c r="F498" s="14" t="s">
        <v>30</v>
      </c>
      <c r="G498" s="15" t="s">
        <v>17</v>
      </c>
      <c r="H498" s="15" t="s">
        <v>18</v>
      </c>
      <c r="I498" s="14" t="str">
        <f>IMAGE("https://upload.wikimedia.org/wikipedia/commons/6/69/Ciudad_de_piedra_erosi%C3%B3n_Guaviare.jpg")</f>
        <v/>
      </c>
    </row>
    <row r="499" ht="36.0" customHeight="1">
      <c r="A499" s="16" t="str">
        <f>HYPERLINK("https://commons.wikimedia.org/wiki/User:" &amp; ENCODEURL("MelyC43"), "MelyC43")</f>
        <v>MelyC43</v>
      </c>
      <c r="B499" s="17" t="s">
        <v>1097</v>
      </c>
      <c r="C499" s="18">
        <v>46168.00837962963</v>
      </c>
      <c r="D499" s="17" t="s">
        <v>1098</v>
      </c>
      <c r="E499" s="19" t="s">
        <v>29</v>
      </c>
      <c r="F499" s="19" t="s">
        <v>30</v>
      </c>
      <c r="G499" s="20" t="s">
        <v>17</v>
      </c>
      <c r="H499" s="20" t="s">
        <v>18</v>
      </c>
      <c r="I499" s="19" t="str">
        <f>IMAGE("https://upload.wikimedia.org/wikipedia/commons/3/3e/Ci%C3%A9naga_de_Mallorqu%C3%ADn.jpg")</f>
        <v/>
      </c>
    </row>
    <row r="500" ht="36.0" customHeight="1">
      <c r="A500" s="10" t="str">
        <f>HYPERLINK("https://commons.wikimedia.org/wiki/User:" &amp; ENCODEURL("NunuAiyi"), "NunuAiyi")</f>
        <v>NunuAiyi</v>
      </c>
      <c r="B500" s="11" t="s">
        <v>1099</v>
      </c>
      <c r="C500" s="12">
        <v>46203.85865740741</v>
      </c>
      <c r="D500" s="11" t="s">
        <v>1100</v>
      </c>
      <c r="E500" s="14" t="s">
        <v>29</v>
      </c>
      <c r="F500" s="14" t="s">
        <v>30</v>
      </c>
      <c r="G500" s="15" t="s">
        <v>17</v>
      </c>
      <c r="H500" s="15" t="s">
        <v>18</v>
      </c>
      <c r="I500" s="14" t="str">
        <f>IMAGE("https://upload.wikimedia.org/wikipedia/commons/c/ce/Clavelillo_visitado.jpg")</f>
        <v/>
      </c>
    </row>
    <row r="501" ht="36.0" customHeight="1">
      <c r="A501" s="16" t="str">
        <f>HYPERLINK("https://commons.wikimedia.org/wiki/User:" &amp; ENCODEURL("SoyElMaloColon"), "SoyElMaloColon")</f>
        <v>SoyElMaloColon</v>
      </c>
      <c r="B501" s="17" t="s">
        <v>1101</v>
      </c>
      <c r="C501" s="18">
        <v>46163.113958333335</v>
      </c>
      <c r="D501" s="17" t="s">
        <v>1102</v>
      </c>
      <c r="E501" s="19" t="s">
        <v>29</v>
      </c>
      <c r="F501" s="19" t="s">
        <v>30</v>
      </c>
      <c r="G501" s="20" t="s">
        <v>17</v>
      </c>
      <c r="H501" s="20" t="s">
        <v>18</v>
      </c>
      <c r="I501" s="19" t="str">
        <f>IMAGE("https://upload.wikimedia.org/wikipedia/commons/1/16/Climb_Climb_Climb.jpg")</f>
        <v/>
      </c>
    </row>
    <row r="502" ht="36.0" customHeight="1">
      <c r="A502" s="10" t="str">
        <f>HYPERLINK("https://commons.wikimedia.org/wiki/User:" &amp; ENCODEURL("VirginiaClavijo"), "VirginiaClavijo")</f>
        <v>VirginiaClavijo</v>
      </c>
      <c r="B502" s="11" t="s">
        <v>1103</v>
      </c>
      <c r="C502" s="12">
        <v>46167.66402777778</v>
      </c>
      <c r="D502" s="11" t="s">
        <v>1104</v>
      </c>
      <c r="E502" s="14" t="s">
        <v>29</v>
      </c>
      <c r="F502" s="14" t="s">
        <v>30</v>
      </c>
      <c r="G502" s="15" t="s">
        <v>17</v>
      </c>
      <c r="H502" s="15" t="s">
        <v>18</v>
      </c>
      <c r="I502" s="14" t="str">
        <f>IMAGE("https://upload.wikimedia.org/wikipedia/commons/5/51/COLOMBIA_ENTRE_EL_ATARDECER.jpg")</f>
        <v/>
      </c>
    </row>
    <row r="503" ht="36.0" customHeight="1">
      <c r="A503" s="16" t="str">
        <f>HYPERLINK("https://commons.wikimedia.org/wiki/User:" &amp; ENCODEURL("NMontoya (WMCO)"), "NMontoya (WMCO)")</f>
        <v>NMontoya (WMCO)</v>
      </c>
      <c r="B503" s="17" t="s">
        <v>1105</v>
      </c>
      <c r="C503" s="18">
        <v>46146.49459490741</v>
      </c>
      <c r="D503" s="17" t="s">
        <v>1106</v>
      </c>
      <c r="E503" s="19" t="s">
        <v>29</v>
      </c>
      <c r="F503" s="19" t="s">
        <v>30</v>
      </c>
      <c r="G503" s="20" t="s">
        <v>17</v>
      </c>
      <c r="H503" s="20" t="s">
        <v>18</v>
      </c>
      <c r="I503" s="19" t="str">
        <f>IMAGE("https://upload.wikimedia.org/wikipedia/commons/5/56/Clivia_miniata_%28Flor_de_jard%C3%ADn%29.jpg")</f>
        <v/>
      </c>
    </row>
    <row r="504" ht="36.0" customHeight="1">
      <c r="A504" s="10" t="str">
        <f>HYPERLINK("https://commons.wikimedia.org/wiki/User:" &amp; ENCODEURL("Nathaly 1106"), "Nathaly 1106")</f>
        <v>Nathaly 1106</v>
      </c>
      <c r="B504" s="11" t="s">
        <v>1107</v>
      </c>
      <c r="C504" s="12">
        <v>46147.60928240741</v>
      </c>
      <c r="D504" s="11" t="s">
        <v>1108</v>
      </c>
      <c r="E504" s="14" t="s">
        <v>29</v>
      </c>
      <c r="F504" s="14" t="s">
        <v>30</v>
      </c>
      <c r="G504" s="15" t="s">
        <v>17</v>
      </c>
      <c r="H504" s="15" t="s">
        <v>18</v>
      </c>
      <c r="I504" s="14" t="str">
        <f>IMAGE("https://upload.wikimedia.org/wikipedia/commons/1/18/Clivia_miniata_._Clivia_naranja.jpg")</f>
        <v/>
      </c>
    </row>
    <row r="505" ht="36.0" customHeight="1">
      <c r="A505" s="16" t="str">
        <f>HYPERLINK("https://commons.wikimedia.org/wiki/User:" &amp; ENCODEURL("Orchi"), "Orchi")</f>
        <v>Orchi</v>
      </c>
      <c r="B505" s="17" t="s">
        <v>1109</v>
      </c>
      <c r="C505" s="18">
        <v>46224.31193287037</v>
      </c>
      <c r="D505" s="17" t="s">
        <v>1110</v>
      </c>
      <c r="E505" s="19" t="s">
        <v>29</v>
      </c>
      <c r="F505" s="19" t="s">
        <v>30</v>
      </c>
      <c r="G505" s="20" t="s">
        <v>17</v>
      </c>
      <c r="H505" s="20" t="s">
        <v>18</v>
      </c>
      <c r="I505" s="19" t="str">
        <f>IMAGE("https://upload.wikimedia.org/wikipedia/commons/b/b7/Close-up_of_an_Epidendrum_orchid_inflorescence_near_Villa_de_Leyva%2C_2026.jpg")</f>
        <v/>
      </c>
    </row>
    <row r="506" ht="36.0" customHeight="1">
      <c r="A506" s="10" t="str">
        <f>HYPERLINK("https://commons.wikimedia.org/wiki/User:" &amp; ENCODEURL("LentedeBerilo"), "LentedeBerilo")</f>
        <v>LentedeBerilo</v>
      </c>
      <c r="B506" s="11" t="s">
        <v>1111</v>
      </c>
      <c r="C506" s="12">
        <v>46190.741898148146</v>
      </c>
      <c r="D506" s="11" t="s">
        <v>1112</v>
      </c>
      <c r="E506" s="14" t="s">
        <v>1113</v>
      </c>
      <c r="F506" s="15" t="s">
        <v>16</v>
      </c>
      <c r="G506" s="15" t="s">
        <v>17</v>
      </c>
      <c r="H506" s="15" t="s">
        <v>18</v>
      </c>
      <c r="I506" s="14" t="str">
        <f>IMAGE("https://upload.wikimedia.org/wikipedia/commons/c/c9/Close_up_de_epipedobates_currulao_en_gorgona.jpg")</f>
        <v/>
      </c>
    </row>
    <row r="507" ht="36.0" customHeight="1">
      <c r="A507" s="16" t="str">
        <f>HYPERLINK("https://commons.wikimedia.org/wiki/User:" &amp; ENCODEURL("Mottenpriesterin"), "Mottenpriesterin")</f>
        <v>Mottenpriesterin</v>
      </c>
      <c r="B507" s="17" t="s">
        <v>1114</v>
      </c>
      <c r="C507" s="18">
        <v>46202.92005787037</v>
      </c>
      <c r="D507" s="17" t="s">
        <v>1115</v>
      </c>
      <c r="E507" s="19" t="s">
        <v>29</v>
      </c>
      <c r="F507" s="19" t="s">
        <v>30</v>
      </c>
      <c r="G507" s="20" t="s">
        <v>17</v>
      </c>
      <c r="H507" s="20" t="s">
        <v>18</v>
      </c>
      <c r="I507" s="19" t="str">
        <f>IMAGE("https://upload.wikimedia.org/wikipedia/commons/a/af/Clusia_shrub_with_epiphytic_bromeliads_in_a_semi-arid_highland_landscape_near_Villa_de_Leyva%2C_2026.jpg")</f>
        <v/>
      </c>
    </row>
    <row r="508" ht="36.0" customHeight="1">
      <c r="A508" s="10" t="str">
        <f>HYPERLINK("https://commons.wikimedia.org/wiki/User:" &amp; ENCODEURL("Mikedelvalle44"), "Mikedelvalle44")</f>
        <v>Mikedelvalle44</v>
      </c>
      <c r="B508" s="11" t="s">
        <v>1116</v>
      </c>
      <c r="C508" s="12">
        <v>46185.325</v>
      </c>
      <c r="D508" s="11" t="s">
        <v>1117</v>
      </c>
      <c r="E508" s="14" t="s">
        <v>29</v>
      </c>
      <c r="F508" s="14" t="s">
        <v>30</v>
      </c>
      <c r="G508" s="15" t="s">
        <v>17</v>
      </c>
      <c r="H508" s="15" t="s">
        <v>18</v>
      </c>
      <c r="I508" s="14" t="str">
        <f>IMAGE("https://upload.wikimedia.org/wikipedia/commons/e/e9/Coast_of_Santa_Marta.jpg")</f>
        <v/>
      </c>
    </row>
    <row r="509" ht="36.0" customHeight="1">
      <c r="A509" s="16" t="str">
        <f t="shared" ref="A509:A510" si="77">HYPERLINK("https://commons.wikimedia.org/wiki/User:" &amp; ENCODEURL("Mottenpriesterin"), "Mottenpriesterin")</f>
        <v>Mottenpriesterin</v>
      </c>
      <c r="B509" s="17" t="s">
        <v>1118</v>
      </c>
      <c r="C509" s="18">
        <v>46202.91966435185</v>
      </c>
      <c r="D509" s="17" t="s">
        <v>1119</v>
      </c>
      <c r="E509" s="19" t="s">
        <v>29</v>
      </c>
      <c r="F509" s="19" t="s">
        <v>30</v>
      </c>
      <c r="G509" s="20" t="s">
        <v>17</v>
      </c>
      <c r="H509" s="20" t="s">
        <v>18</v>
      </c>
      <c r="I509" s="19" t="str">
        <f>IMAGE("https://upload.wikimedia.org/wikipedia/commons/0/09/Coastal_Lagune_in_the_Tayrona_National_Park%2C_Magdalena_Department%2C_Colombia.jpg")</f>
        <v/>
      </c>
    </row>
    <row r="510" ht="36.0" customHeight="1">
      <c r="A510" s="10" t="str">
        <f t="shared" si="77"/>
        <v>Mottenpriesterin</v>
      </c>
      <c r="B510" s="11" t="s">
        <v>1120</v>
      </c>
      <c r="C510" s="12">
        <v>46202.91966435185</v>
      </c>
      <c r="D510" s="11" t="s">
        <v>1119</v>
      </c>
      <c r="E510" s="14" t="s">
        <v>29</v>
      </c>
      <c r="F510" s="14" t="s">
        <v>30</v>
      </c>
      <c r="G510" s="15" t="s">
        <v>17</v>
      </c>
      <c r="H510" s="15" t="s">
        <v>18</v>
      </c>
      <c r="I510" s="14" t="str">
        <f>IMAGE("https://upload.wikimedia.org/wikipedia/commons/0/09/Coastal_lagoon_with_Typha_marsh_and_coconut_palms_in_Tayrona_National_Park%2C_2026.jpg")</f>
        <v/>
      </c>
    </row>
    <row r="511" ht="36.0" customHeight="1">
      <c r="A511" s="16" t="str">
        <f>HYPERLINK("https://commons.wikimedia.org/wiki/User:" &amp; ENCODEURL("Johan Andrés Toro"), "Johan Andrés Toro")</f>
        <v>Johan Andrés Toro</v>
      </c>
      <c r="B511" s="17" t="s">
        <v>1121</v>
      </c>
      <c r="C511" s="18">
        <v>46171.73930555556</v>
      </c>
      <c r="D511" s="17" t="s">
        <v>1122</v>
      </c>
      <c r="E511" s="19" t="s">
        <v>29</v>
      </c>
      <c r="F511" s="19" t="s">
        <v>30</v>
      </c>
      <c r="G511" s="20" t="s">
        <v>17</v>
      </c>
      <c r="H511" s="20" t="s">
        <v>18</v>
      </c>
      <c r="I511" s="19" t="str">
        <f>IMAGE("https://upload.wikimedia.org/wikipedia/commons/6/60/Cobertura_de_frailejones_en_los_pajonales_del_Parque_Los_Nevados.jpg")</f>
        <v/>
      </c>
    </row>
    <row r="512" ht="36.0" customHeight="1">
      <c r="A512" s="10" t="str">
        <f t="shared" ref="A512:A516" si="78">HYPERLINK("https://commons.wikimedia.org/wiki/User:" &amp; ENCODEURL("AmiGueko"), "AmiGueko")</f>
        <v>AmiGueko</v>
      </c>
      <c r="B512" s="11" t="s">
        <v>1123</v>
      </c>
      <c r="C512" s="12">
        <v>46177.876064814816</v>
      </c>
      <c r="D512" s="11" t="s">
        <v>1124</v>
      </c>
      <c r="E512" s="14" t="s">
        <v>103</v>
      </c>
      <c r="F512" s="15" t="s">
        <v>16</v>
      </c>
      <c r="G512" s="15" t="s">
        <v>17</v>
      </c>
      <c r="H512" s="15" t="s">
        <v>18</v>
      </c>
      <c r="I512" s="14" t="str">
        <f>IMAGE("https://upload.wikimedia.org/wikipedia/commons/9/9c/Coca1.jpg")</f>
        <v/>
      </c>
    </row>
    <row r="513" ht="36.0" customHeight="1">
      <c r="A513" s="16" t="str">
        <f t="shared" si="78"/>
        <v>AmiGueko</v>
      </c>
      <c r="B513" s="17" t="s">
        <v>1125</v>
      </c>
      <c r="C513" s="18">
        <v>46177.876076388886</v>
      </c>
      <c r="D513" s="17" t="s">
        <v>1124</v>
      </c>
      <c r="E513" s="19" t="s">
        <v>103</v>
      </c>
      <c r="F513" s="20" t="s">
        <v>16</v>
      </c>
      <c r="G513" s="20" t="s">
        <v>17</v>
      </c>
      <c r="H513" s="20" t="s">
        <v>18</v>
      </c>
      <c r="I513" s="19" t="str">
        <f>IMAGE("https://upload.wikimedia.org/wikipedia/commons/d/d4/Coca2.jpg")</f>
        <v/>
      </c>
    </row>
    <row r="514" ht="36.0" customHeight="1">
      <c r="A514" s="10" t="str">
        <f t="shared" si="78"/>
        <v>AmiGueko</v>
      </c>
      <c r="B514" s="11" t="s">
        <v>1126</v>
      </c>
      <c r="C514" s="12">
        <v>46177.87611111111</v>
      </c>
      <c r="D514" s="11" t="s">
        <v>1124</v>
      </c>
      <c r="E514" s="14" t="s">
        <v>103</v>
      </c>
      <c r="F514" s="15" t="s">
        <v>16</v>
      </c>
      <c r="G514" s="15" t="s">
        <v>17</v>
      </c>
      <c r="H514" s="15" t="s">
        <v>18</v>
      </c>
      <c r="I514" s="14" t="str">
        <f>IMAGE("https://upload.wikimedia.org/wikipedia/commons/c/ce/Coca3.jpg")</f>
        <v/>
      </c>
    </row>
    <row r="515" ht="36.0" customHeight="1">
      <c r="A515" s="16" t="str">
        <f t="shared" si="78"/>
        <v>AmiGueko</v>
      </c>
      <c r="B515" s="17" t="s">
        <v>1127</v>
      </c>
      <c r="C515" s="18">
        <v>46177.87609953704</v>
      </c>
      <c r="D515" s="17" t="s">
        <v>1128</v>
      </c>
      <c r="E515" s="19" t="s">
        <v>103</v>
      </c>
      <c r="F515" s="20" t="s">
        <v>16</v>
      </c>
      <c r="G515" s="20" t="s">
        <v>17</v>
      </c>
      <c r="H515" s="20" t="s">
        <v>18</v>
      </c>
      <c r="I515" s="19" t="str">
        <f>IMAGE("https://upload.wikimedia.org/wikipedia/commons/8/8c/Coca_de_monte.jpg")</f>
        <v/>
      </c>
    </row>
    <row r="516" ht="36.0" customHeight="1">
      <c r="A516" s="10" t="str">
        <f t="shared" si="78"/>
        <v>AmiGueko</v>
      </c>
      <c r="B516" s="11" t="s">
        <v>1129</v>
      </c>
      <c r="C516" s="12">
        <v>46177.876064814816</v>
      </c>
      <c r="D516" s="11" t="s">
        <v>1124</v>
      </c>
      <c r="E516" s="14" t="s">
        <v>103</v>
      </c>
      <c r="F516" s="15" t="s">
        <v>16</v>
      </c>
      <c r="G516" s="15" t="s">
        <v>17</v>
      </c>
      <c r="H516" s="15" t="s">
        <v>18</v>
      </c>
      <c r="I516" s="14" t="str">
        <f>IMAGE("https://upload.wikimedia.org/wikipedia/commons/a/aa/Coca_planta_de_Colombia.jpg")</f>
        <v/>
      </c>
    </row>
    <row r="517" ht="36.0" customHeight="1">
      <c r="A517" s="16" t="str">
        <f t="shared" ref="A517:A518" si="79">HYPERLINK("https://commons.wikimedia.org/wiki/User:" &amp; ENCODEURL("EspejoRaul"), "EspejoRaul")</f>
        <v>EspejoRaul</v>
      </c>
      <c r="B517" s="17" t="s">
        <v>1130</v>
      </c>
      <c r="C517" s="18">
        <v>46199.01513888889</v>
      </c>
      <c r="D517" s="17" t="s">
        <v>1131</v>
      </c>
      <c r="E517" s="19" t="s">
        <v>29</v>
      </c>
      <c r="F517" s="19" t="s">
        <v>30</v>
      </c>
      <c r="G517" s="20" t="s">
        <v>17</v>
      </c>
      <c r="H517" s="20" t="s">
        <v>18</v>
      </c>
      <c r="I517" s="19" t="str">
        <f>IMAGE("https://upload.wikimedia.org/wikipedia/commons/9/97/Coeligena_prunellei_01.jpg")</f>
        <v/>
      </c>
    </row>
    <row r="518" ht="36.0" customHeight="1">
      <c r="A518" s="10" t="str">
        <f t="shared" si="79"/>
        <v>EspejoRaul</v>
      </c>
      <c r="B518" s="11" t="s">
        <v>1132</v>
      </c>
      <c r="C518" s="12">
        <v>46199.015173611115</v>
      </c>
      <c r="D518" s="11" t="s">
        <v>1131</v>
      </c>
      <c r="E518" s="14" t="s">
        <v>29</v>
      </c>
      <c r="F518" s="14" t="s">
        <v>30</v>
      </c>
      <c r="G518" s="15" t="s">
        <v>17</v>
      </c>
      <c r="H518" s="15" t="s">
        <v>18</v>
      </c>
      <c r="I518" s="14" t="str">
        <f>IMAGE("https://upload.wikimedia.org/wikipedia/commons/5/59/Coeligena_prunellei_02.jpg")</f>
        <v/>
      </c>
    </row>
    <row r="519" ht="36.0" customHeight="1">
      <c r="A519" s="16" t="str">
        <f>HYPERLINK("https://commons.wikimedia.org/wiki/User:" &amp; ENCODEURL("Diferoch"), "Diferoch")</f>
        <v>Diferoch</v>
      </c>
      <c r="B519" s="17" t="s">
        <v>1133</v>
      </c>
      <c r="C519" s="18">
        <v>46198.742256944446</v>
      </c>
      <c r="D519" s="17" t="s">
        <v>1134</v>
      </c>
      <c r="E519" s="19" t="s">
        <v>1135</v>
      </c>
      <c r="F519" s="20" t="s">
        <v>16</v>
      </c>
      <c r="G519" s="20" t="s">
        <v>17</v>
      </c>
      <c r="H519" s="20" t="s">
        <v>18</v>
      </c>
      <c r="I519" s="19" t="str">
        <f>IMAGE("https://upload.wikimedia.org/wikipedia/commons/6/64/Coenobita_compressus_-_Nuqu%C3%AD%2C_Choc%C3%B3%2C_Colombia_-_23_Oct_2025_-_Diferoch.jpg")</f>
        <v/>
      </c>
    </row>
    <row r="520" ht="36.0" customHeight="1">
      <c r="A520" s="10" t="str">
        <f>HYPERLINK("https://commons.wikimedia.org/wiki/User:" &amp; ENCODEURL("Johannelob"), "Johannelob")</f>
        <v>Johannelob</v>
      </c>
      <c r="B520" s="11" t="s">
        <v>1136</v>
      </c>
      <c r="C520" s="12">
        <v>46200.680752314816</v>
      </c>
      <c r="D520" s="11" t="s">
        <v>1137</v>
      </c>
      <c r="E520" s="14" t="s">
        <v>223</v>
      </c>
      <c r="F520" s="15" t="s">
        <v>16</v>
      </c>
      <c r="G520" s="15" t="s">
        <v>17</v>
      </c>
      <c r="H520" s="15" t="s">
        <v>18</v>
      </c>
      <c r="I520" s="14" t="str">
        <f>IMAGE("https://upload.wikimedia.org/wikipedia/commons/a/ab/Coexistencia_de_Entornos.jpg")</f>
        <v/>
      </c>
    </row>
    <row r="521" ht="36.0" customHeight="1">
      <c r="A521" s="16" t="str">
        <f>HYPERLINK("https://commons.wikimedia.org/wiki/User:" &amp; ENCODEURL("Estudiante0001"), "Estudiante0001")</f>
        <v>Estudiante0001</v>
      </c>
      <c r="B521" s="17" t="s">
        <v>1138</v>
      </c>
      <c r="C521" s="18">
        <v>46163.55563657408</v>
      </c>
      <c r="D521" s="17" t="s">
        <v>1139</v>
      </c>
      <c r="E521" s="19" t="s">
        <v>1140</v>
      </c>
      <c r="F521" s="20" t="s">
        <v>16</v>
      </c>
      <c r="G521" s="20" t="s">
        <v>17</v>
      </c>
      <c r="H521" s="20" t="s">
        <v>18</v>
      </c>
      <c r="I521" s="19" t="str">
        <f>IMAGE("https://upload.wikimedia.org/wikipedia/commons/e/ed/Coj%C3%ADn_de_Liquen_de_Guasca.jpg")</f>
        <v/>
      </c>
    </row>
    <row r="522" ht="36.0" customHeight="1">
      <c r="A522" s="10" t="str">
        <f>HYPERLINK("https://commons.wikimedia.org/wiki/User:" &amp; ENCODEURL("NMontoya (WMCO)"), "NMontoya (WMCO)")</f>
        <v>NMontoya (WMCO)</v>
      </c>
      <c r="B522" s="11" t="s">
        <v>1141</v>
      </c>
      <c r="C522" s="12">
        <v>46177.80662037037</v>
      </c>
      <c r="D522" s="11" t="s">
        <v>1142</v>
      </c>
      <c r="E522" s="14" t="s">
        <v>103</v>
      </c>
      <c r="F522" s="15" t="s">
        <v>16</v>
      </c>
      <c r="G522" s="15" t="s">
        <v>17</v>
      </c>
      <c r="H522" s="15" t="s">
        <v>18</v>
      </c>
      <c r="I522" s="14" t="str">
        <f>IMAGE("https://upload.wikimedia.org/wikipedia/commons/2/27/Col_de_monte_-_Anthurium_fendleri_-_Araceae.jpg")</f>
        <v/>
      </c>
    </row>
    <row r="523" ht="36.0" customHeight="1">
      <c r="A523" s="16" t="str">
        <f>HYPERLINK("https://commons.wikimedia.org/wiki/User:" &amp; ENCODEURL("CHAVESJUAN19"), "CHAVESJUAN19")</f>
        <v>CHAVESJUAN19</v>
      </c>
      <c r="B523" s="17" t="s">
        <v>1143</v>
      </c>
      <c r="C523" s="18">
        <v>46203.96229166666</v>
      </c>
      <c r="D523" s="17" t="s">
        <v>1144</v>
      </c>
      <c r="E523" s="19" t="s">
        <v>29</v>
      </c>
      <c r="F523" s="19" t="s">
        <v>30</v>
      </c>
      <c r="G523" s="20" t="s">
        <v>17</v>
      </c>
      <c r="H523" s="20" t="s">
        <v>18</v>
      </c>
      <c r="I523" s="19" t="str">
        <f>IMAGE("https://upload.wikimedia.org/wikipedia/commons/c/c8/Cola_blanca_camuflada_-_PNN_Sierra_nevada_de_Guican.jpg")</f>
        <v/>
      </c>
    </row>
    <row r="524" ht="36.0" customHeight="1">
      <c r="A524" s="10" t="str">
        <f>HYPERLINK("https://commons.wikimedia.org/wiki/User:" &amp; ENCODEURL("Pilarrb9286"), "Pilarrb9286")</f>
        <v>Pilarrb9286</v>
      </c>
      <c r="B524" s="11" t="s">
        <v>1145</v>
      </c>
      <c r="C524" s="12">
        <v>46150.85334490741</v>
      </c>
      <c r="D524" s="11" t="s">
        <v>1146</v>
      </c>
      <c r="E524" s="14" t="s">
        <v>283</v>
      </c>
      <c r="F524" s="15" t="s">
        <v>16</v>
      </c>
      <c r="G524" s="15" t="s">
        <v>17</v>
      </c>
      <c r="H524" s="15" t="s">
        <v>18</v>
      </c>
      <c r="I524" s="14" t="str">
        <f>IMAGE("https://upload.wikimedia.org/wikipedia/commons/5/5d/Coleoptero_Paipa.jpg")</f>
        <v/>
      </c>
    </row>
    <row r="525" ht="36.0" customHeight="1">
      <c r="A525" s="16" t="str">
        <f>HYPERLINK("https://commons.wikimedia.org/wiki/User:" &amp; ENCODEURL("NunuAiyi"), "NunuAiyi")</f>
        <v>NunuAiyi</v>
      </c>
      <c r="B525" s="17" t="s">
        <v>1147</v>
      </c>
      <c r="C525" s="18">
        <v>46203.85868055555</v>
      </c>
      <c r="D525" s="17" t="s">
        <v>1148</v>
      </c>
      <c r="E525" s="19" t="s">
        <v>29</v>
      </c>
      <c r="F525" s="19" t="s">
        <v>30</v>
      </c>
      <c r="G525" s="20" t="s">
        <v>17</v>
      </c>
      <c r="H525" s="20" t="s">
        <v>18</v>
      </c>
      <c r="I525" s="19" t="str">
        <f>IMAGE("https://upload.wikimedia.org/wikipedia/commons/4/44/Cole%C3%B3ptero_con_alas_rotas.jpg")</f>
        <v/>
      </c>
    </row>
    <row r="526" ht="36.0" customHeight="1">
      <c r="A526" s="10" t="str">
        <f>HYPERLINK("https://commons.wikimedia.org/wiki/User:" &amp; ENCODEURL("Jair-971"), "Jair-971")</f>
        <v>Jair-971</v>
      </c>
      <c r="B526" s="11" t="s">
        <v>1149</v>
      </c>
      <c r="C526" s="12">
        <v>46153.47287037037</v>
      </c>
      <c r="D526" s="11" t="s">
        <v>1150</v>
      </c>
      <c r="E526" s="14" t="s">
        <v>29</v>
      </c>
      <c r="F526" s="14" t="s">
        <v>30</v>
      </c>
      <c r="G526" s="15" t="s">
        <v>17</v>
      </c>
      <c r="H526" s="15" t="s">
        <v>18</v>
      </c>
      <c r="I526" s="14" t="str">
        <f>IMAGE("https://upload.wikimedia.org/wikipedia/commons/6/60/Colibri_coruscans_en_el_bosque.jpg")</f>
        <v/>
      </c>
    </row>
    <row r="527" ht="36.0" customHeight="1">
      <c r="A527" s="16" t="str">
        <f>HYPERLINK("https://commons.wikimedia.org/wiki/User:" &amp; ENCODEURL("Estudiante0001"), "Estudiante0001")</f>
        <v>Estudiante0001</v>
      </c>
      <c r="B527" s="17" t="s">
        <v>1151</v>
      </c>
      <c r="C527" s="18">
        <v>46163.51704861111</v>
      </c>
      <c r="D527" s="17" t="s">
        <v>1152</v>
      </c>
      <c r="E527" s="19" t="s">
        <v>1153</v>
      </c>
      <c r="F527" s="20" t="s">
        <v>16</v>
      </c>
      <c r="G527" s="20" t="s">
        <v>17</v>
      </c>
      <c r="H527" s="20" t="s">
        <v>18</v>
      </c>
      <c r="I527" s="19" t="str">
        <f>IMAGE("https://upload.wikimedia.org/wikipedia/commons/e/e6/Colibr%C3%AD_-_Eriocnemis_vestita_de_La_Reserva_El_Zoque.jpg")</f>
        <v/>
      </c>
    </row>
    <row r="528" ht="36.0" customHeight="1">
      <c r="A528" s="10" t="str">
        <f>HYPERLINK("https://commons.wikimedia.org/wiki/User:" &amp; ENCODEURL("Peperomia11"), "Peperomia11")</f>
        <v>Peperomia11</v>
      </c>
      <c r="B528" s="11" t="s">
        <v>1154</v>
      </c>
      <c r="C528" s="12">
        <v>46202.56005787037</v>
      </c>
      <c r="D528" s="11" t="s">
        <v>1155</v>
      </c>
      <c r="E528" s="14" t="s">
        <v>29</v>
      </c>
      <c r="F528" s="14" t="s">
        <v>30</v>
      </c>
      <c r="G528" s="15" t="s">
        <v>17</v>
      </c>
      <c r="H528" s="15" t="s">
        <v>18</v>
      </c>
      <c r="I528" s="14" t="str">
        <f>IMAGE("https://upload.wikimedia.org/wikipedia/commons/2/28/Colibr%C3%AD_0260529.jpg")</f>
        <v/>
      </c>
    </row>
    <row r="529" ht="36.0" customHeight="1">
      <c r="A529" s="16" t="str">
        <f>HYPERLINK("https://commons.wikimedia.org/wiki/User:" &amp; ENCODEURL("Natlycu"), "Natlycu")</f>
        <v>Natlycu</v>
      </c>
      <c r="B529" s="17" t="s">
        <v>1156</v>
      </c>
      <c r="C529" s="18">
        <v>46203.03606481481</v>
      </c>
      <c r="D529" s="17" t="s">
        <v>1157</v>
      </c>
      <c r="E529" s="19" t="s">
        <v>1158</v>
      </c>
      <c r="F529" s="20" t="s">
        <v>16</v>
      </c>
      <c r="G529" s="20" t="s">
        <v>17</v>
      </c>
      <c r="H529" s="20" t="s">
        <v>18</v>
      </c>
      <c r="I529" s="19" t="str">
        <f>IMAGE("https://upload.wikimedia.org/wikipedia/commons/6/6f/Colibr%C3%AD_Amazilia_capiazul_%28Saucerottia_cyanifrons%29_en_Paque_Verde_Y_Agua%2C_Fusagasug%C3%A1%2C_%28Cundinamarca%29.jpg")</f>
        <v/>
      </c>
    </row>
    <row r="530" ht="36.0" customHeight="1">
      <c r="A530" s="10" t="str">
        <f t="shared" ref="A530:A531" si="80">HYPERLINK("https://commons.wikimedia.org/wiki/User:" &amp; ENCODEURL("NicolleTorresG"), "NicolleTorresG")</f>
        <v>NicolleTorresG</v>
      </c>
      <c r="B530" s="11" t="s">
        <v>1159</v>
      </c>
      <c r="C530" s="12">
        <v>46199.93890046296</v>
      </c>
      <c r="D530" s="11" t="s">
        <v>1160</v>
      </c>
      <c r="E530" s="14" t="s">
        <v>848</v>
      </c>
      <c r="F530" s="15" t="s">
        <v>16</v>
      </c>
      <c r="G530" s="15" t="s">
        <v>17</v>
      </c>
      <c r="H530" s="15" t="s">
        <v>18</v>
      </c>
      <c r="I530" s="14" t="str">
        <f>IMAGE("https://upload.wikimedia.org/wikipedia/commons/a/ab/Colibr%C3%AD_Colirrufo_-_Amazilia_tzacatl.jpg")</f>
        <v/>
      </c>
    </row>
    <row r="531" ht="36.0" customHeight="1">
      <c r="A531" s="16" t="str">
        <f t="shared" si="80"/>
        <v>NicolleTorresG</v>
      </c>
      <c r="B531" s="17" t="s">
        <v>1161</v>
      </c>
      <c r="C531" s="18">
        <v>46199.93890046296</v>
      </c>
      <c r="D531" s="17" t="s">
        <v>1162</v>
      </c>
      <c r="E531" s="19" t="s">
        <v>848</v>
      </c>
      <c r="F531" s="20" t="s">
        <v>16</v>
      </c>
      <c r="G531" s="20" t="s">
        <v>17</v>
      </c>
      <c r="H531" s="20" t="s">
        <v>18</v>
      </c>
      <c r="I531" s="19" t="str">
        <f>IMAGE("https://upload.wikimedia.org/wikipedia/commons/2/2b/Colibr%C3%AD_Nuquiblanco_-_Florisuga_mellivora.jpg")</f>
        <v/>
      </c>
    </row>
    <row r="532" ht="36.0" customHeight="1">
      <c r="A532" s="10" t="str">
        <f>HYPERLINK("https://commons.wikimedia.org/wiki/User:" &amp; ENCODEURL("Sandramirezgiraldo"), "Sandramirezgiraldo")</f>
        <v>Sandramirezgiraldo</v>
      </c>
      <c r="B532" s="11" t="s">
        <v>1163</v>
      </c>
      <c r="C532" s="12">
        <v>46203.993472222224</v>
      </c>
      <c r="D532" s="11" t="s">
        <v>1164</v>
      </c>
      <c r="E532" s="14" t="s">
        <v>29</v>
      </c>
      <c r="F532" s="14" t="s">
        <v>30</v>
      </c>
      <c r="G532" s="15" t="s">
        <v>17</v>
      </c>
      <c r="H532" s="15" t="s">
        <v>18</v>
      </c>
      <c r="I532" s="14" t="str">
        <f>IMAGE("https://upload.wikimedia.org/wikipedia/commons/f/f8/Colibr%C3%AD_Orejivioleta_Menor_%28Colibri_cyanotus%29_Sandra_Ram%C3%ADrez_Giraldo.jpg")</f>
        <v/>
      </c>
    </row>
    <row r="533" ht="36.0" customHeight="1">
      <c r="A533" s="16" t="str">
        <f>HYPERLINK("https://commons.wikimedia.org/wiki/User:" &amp; ENCODEURL("NicolleTorresG"), "NicolleTorresG")</f>
        <v>NicolleTorresG</v>
      </c>
      <c r="B533" s="17" t="s">
        <v>1165</v>
      </c>
      <c r="C533" s="18">
        <v>46199.93890046296</v>
      </c>
      <c r="D533" s="17" t="s">
        <v>1166</v>
      </c>
      <c r="E533" s="19" t="s">
        <v>848</v>
      </c>
      <c r="F533" s="20" t="s">
        <v>16</v>
      </c>
      <c r="G533" s="20" t="s">
        <v>17</v>
      </c>
      <c r="H533" s="20" t="s">
        <v>18</v>
      </c>
      <c r="I533" s="19" t="str">
        <f>IMAGE("https://upload.wikimedia.org/wikipedia/commons/6/64/Colibr%C3%AD_Pardo_-_Colibri_delphinae.jpg")</f>
        <v/>
      </c>
    </row>
    <row r="534" ht="36.0" customHeight="1">
      <c r="A534" s="10" t="str">
        <f t="shared" ref="A534:A535" si="81">HYPERLINK("https://commons.wikimedia.org/wiki/User:" &amp; ENCODEURL("Supertita"), "Supertita")</f>
        <v>Supertita</v>
      </c>
      <c r="B534" s="11" t="s">
        <v>1167</v>
      </c>
      <c r="C534" s="12">
        <v>46192.754895833335</v>
      </c>
      <c r="D534" s="11" t="s">
        <v>1168</v>
      </c>
      <c r="E534" s="14" t="s">
        <v>446</v>
      </c>
      <c r="F534" s="15" t="s">
        <v>16</v>
      </c>
      <c r="G534" s="15" t="s">
        <v>17</v>
      </c>
      <c r="H534" s="15" t="s">
        <v>18</v>
      </c>
      <c r="I534" s="14" t="str">
        <f>IMAGE("https://upload.wikimedia.org/wikipedia/commons/9/95/Colibr%C3%AD_nuquiblanco-Florisuga_mellivora.jpg")</f>
        <v/>
      </c>
    </row>
    <row r="535" ht="36.0" customHeight="1">
      <c r="A535" s="16" t="str">
        <f t="shared" si="81"/>
        <v>Supertita</v>
      </c>
      <c r="B535" s="17" t="s">
        <v>1169</v>
      </c>
      <c r="C535" s="18">
        <v>46192.754895833335</v>
      </c>
      <c r="D535" s="17" t="s">
        <v>1168</v>
      </c>
      <c r="E535" s="19" t="s">
        <v>446</v>
      </c>
      <c r="F535" s="20" t="s">
        <v>16</v>
      </c>
      <c r="G535" s="20" t="s">
        <v>17</v>
      </c>
      <c r="H535" s="20" t="s">
        <v>18</v>
      </c>
      <c r="I535" s="19" t="str">
        <f>IMAGE("https://upload.wikimedia.org/wikipedia/commons/9/9d/Colibr%C3%AD_pardo.jpg")</f>
        <v/>
      </c>
    </row>
    <row r="536" ht="36.0" customHeight="1">
      <c r="A536" s="10" t="str">
        <f t="shared" ref="A536:A537" si="82">HYPERLINK("https://commons.wikimedia.org/wiki/User:" &amp; ENCODEURL("AmiGueko"), "AmiGueko")</f>
        <v>AmiGueko</v>
      </c>
      <c r="B536" s="11" t="s">
        <v>1170</v>
      </c>
      <c r="C536" s="12">
        <v>46166.54837962963</v>
      </c>
      <c r="D536" s="11" t="s">
        <v>1171</v>
      </c>
      <c r="E536" s="14" t="s">
        <v>1172</v>
      </c>
      <c r="F536" s="15" t="s">
        <v>16</v>
      </c>
      <c r="G536" s="15" t="s">
        <v>17</v>
      </c>
      <c r="H536" s="15" t="s">
        <v>18</v>
      </c>
      <c r="I536" s="14" t="str">
        <f>IMAGE("https://upload.wikimedia.org/wikipedia/commons/7/71/Colibr%C3%AD_rutilante_%2845487%29.jpg")</f>
        <v/>
      </c>
    </row>
    <row r="537" ht="36.0" customHeight="1">
      <c r="A537" s="16" t="str">
        <f t="shared" si="82"/>
        <v>AmiGueko</v>
      </c>
      <c r="B537" s="17" t="s">
        <v>1173</v>
      </c>
      <c r="C537" s="18">
        <v>46166.54829861111</v>
      </c>
      <c r="D537" s="17" t="s">
        <v>1171</v>
      </c>
      <c r="E537" s="19" t="s">
        <v>1174</v>
      </c>
      <c r="F537" s="20" t="s">
        <v>16</v>
      </c>
      <c r="G537" s="20" t="s">
        <v>17</v>
      </c>
      <c r="H537" s="20" t="s">
        <v>18</v>
      </c>
      <c r="I537" s="19" t="str">
        <f>IMAGE("https://upload.wikimedia.org/wikipedia/commons/0/0a/Colibr%C3%AD_rutilante_%2892699%29.jpg")</f>
        <v/>
      </c>
    </row>
    <row r="538" ht="36.0" customHeight="1">
      <c r="A538" s="10" t="str">
        <f>HYPERLINK("https://commons.wikimedia.org/wiki/User:" &amp; ENCODEURL("Pperafan"), "Pperafan")</f>
        <v>Pperafan</v>
      </c>
      <c r="B538" s="11" t="s">
        <v>1175</v>
      </c>
      <c r="C538" s="12">
        <v>46201.93571759259</v>
      </c>
      <c r="D538" s="11" t="s">
        <v>1176</v>
      </c>
      <c r="E538" s="14" t="s">
        <v>29</v>
      </c>
      <c r="F538" s="14" t="s">
        <v>30</v>
      </c>
      <c r="G538" s="15" t="s">
        <v>17</v>
      </c>
      <c r="H538" s="15" t="s">
        <v>18</v>
      </c>
      <c r="I538" s="14" t="str">
        <f>IMAGE("https://upload.wikimedia.org/wikipedia/commons/3/34/Colibr%C3%AD_urbano.jpg")</f>
        <v/>
      </c>
    </row>
    <row r="539" ht="36.0" customHeight="1">
      <c r="A539" s="16" t="str">
        <f>HYPERLINK("https://commons.wikimedia.org/wiki/User:" &amp; ENCODEURL("Charlesjsharp"), "Charlesjsharp")</f>
        <v>Charlesjsharp</v>
      </c>
      <c r="B539" s="17" t="s">
        <v>1177</v>
      </c>
      <c r="C539" s="18">
        <v>46171.64208333333</v>
      </c>
      <c r="D539" s="17" t="s">
        <v>1178</v>
      </c>
      <c r="E539" s="19" t="s">
        <v>554</v>
      </c>
      <c r="F539" s="20" t="s">
        <v>16</v>
      </c>
      <c r="G539" s="20" t="s">
        <v>17</v>
      </c>
      <c r="H539" s="20" t="s">
        <v>18</v>
      </c>
      <c r="I539" s="19" t="str">
        <f>IMAGE("https://upload.wikimedia.org/wikipedia/commons/9/9c/Collared_inca_%28Coeligena_torquata%29_male_in_flight_Caldas_2.jpg")</f>
        <v/>
      </c>
    </row>
    <row r="540" ht="36.0" customHeight="1">
      <c r="A540" s="10" t="str">
        <f>HYPERLINK("https://commons.wikimedia.org/wiki/User:" &amp; ENCODEURL("Supertita"), "Supertita")</f>
        <v>Supertita</v>
      </c>
      <c r="B540" s="11" t="s">
        <v>1179</v>
      </c>
      <c r="C540" s="12">
        <v>46192.65456018518</v>
      </c>
      <c r="D540" s="11" t="s">
        <v>1180</v>
      </c>
      <c r="E540" s="14" t="s">
        <v>249</v>
      </c>
      <c r="F540" s="15" t="s">
        <v>16</v>
      </c>
      <c r="G540" s="15" t="s">
        <v>17</v>
      </c>
      <c r="H540" s="15" t="s">
        <v>18</v>
      </c>
      <c r="I540" s="14" t="str">
        <f>IMAGE("https://upload.wikimedia.org/wikipedia/commons/4/49/Colocasia_or_Alocasia_planta.jpg")</f>
        <v/>
      </c>
    </row>
    <row r="541" ht="36.0" customHeight="1">
      <c r="A541" s="16" t="str">
        <f>HYPERLINK("https://commons.wikimedia.org/wiki/User:" &amp; ENCODEURL("Joseeem"), "Joseeem")</f>
        <v>Joseeem</v>
      </c>
      <c r="B541" s="17" t="s">
        <v>1181</v>
      </c>
      <c r="C541" s="18">
        <v>46156.945081018515</v>
      </c>
      <c r="D541" s="17" t="s">
        <v>1182</v>
      </c>
      <c r="E541" s="19" t="s">
        <v>29</v>
      </c>
      <c r="F541" s="19" t="s">
        <v>30</v>
      </c>
      <c r="G541" s="20" t="s">
        <v>17</v>
      </c>
      <c r="H541" s="20" t="s">
        <v>18</v>
      </c>
      <c r="I541" s="19" t="str">
        <f>IMAGE("https://upload.wikimedia.org/wikipedia/commons/6/65/Colombian_Beaches.jpg")</f>
        <v/>
      </c>
    </row>
    <row r="542" ht="36.0" customHeight="1">
      <c r="A542" s="10" t="str">
        <f>HYPERLINK("https://commons.wikimedia.org/wiki/User:" &amp; ENCODEURL("JJCL09"), "JJCL09")</f>
        <v>JJCL09</v>
      </c>
      <c r="B542" s="11" t="s">
        <v>1183</v>
      </c>
      <c r="C542" s="12">
        <v>46147.88138888889</v>
      </c>
      <c r="D542" s="11" t="s">
        <v>1184</v>
      </c>
      <c r="E542" s="14" t="s">
        <v>1185</v>
      </c>
      <c r="F542" s="15" t="s">
        <v>16</v>
      </c>
      <c r="G542" s="15" t="s">
        <v>17</v>
      </c>
      <c r="H542" s="15" t="s">
        <v>18</v>
      </c>
      <c r="I542" s="14" t="str">
        <f>IMAGE("https://upload.wikimedia.org/wikipedia/commons/7/73/Colombian_fog.jpg")</f>
        <v/>
      </c>
    </row>
    <row r="543" ht="36.0" customHeight="1">
      <c r="A543" s="16" t="str">
        <f>HYPERLINK("https://commons.wikimedia.org/wiki/User:" &amp; ENCODEURL("Dewinjj"), "Dewinjj")</f>
        <v>Dewinjj</v>
      </c>
      <c r="B543" s="17" t="s">
        <v>1186</v>
      </c>
      <c r="C543" s="18">
        <v>46158.63344907408</v>
      </c>
      <c r="D543" s="17" t="s">
        <v>576</v>
      </c>
      <c r="E543" s="19" t="s">
        <v>1187</v>
      </c>
      <c r="F543" s="20" t="s">
        <v>16</v>
      </c>
      <c r="G543" s="20" t="s">
        <v>17</v>
      </c>
      <c r="H543" s="20" t="s">
        <v>18</v>
      </c>
      <c r="I543" s="19" t="str">
        <f>IMAGE("https://upload.wikimedia.org/wikipedia/commons/1/14/Color_balling.jpg")</f>
        <v/>
      </c>
    </row>
    <row r="544" ht="36.0" customHeight="1">
      <c r="A544" s="10" t="str">
        <f t="shared" ref="A544:A545" si="83">HYPERLINK("https://commons.wikimedia.org/wiki/User:" &amp; ENCODEURL("Diferoch"), "Diferoch")</f>
        <v>Diferoch</v>
      </c>
      <c r="B544" s="11" t="s">
        <v>1188</v>
      </c>
      <c r="C544" s="12">
        <v>46202.935</v>
      </c>
      <c r="D544" s="11" t="s">
        <v>1189</v>
      </c>
      <c r="E544" s="14" t="s">
        <v>1190</v>
      </c>
      <c r="F544" s="15" t="s">
        <v>16</v>
      </c>
      <c r="G544" s="15" t="s">
        <v>17</v>
      </c>
      <c r="H544" s="15" t="s">
        <v>18</v>
      </c>
      <c r="I544" s="14" t="str">
        <f>IMAGE("https://upload.wikimedia.org/wikipedia/commons/d/d2/Columbina_talpacoti_rufipennis_-_Barrancabermeja%2C_Santander%2C_Colombia_-_31_Dec_2025_-_Diferoch_-_1.jpg")</f>
        <v/>
      </c>
    </row>
    <row r="545" ht="36.0" customHeight="1">
      <c r="A545" s="16" t="str">
        <f t="shared" si="83"/>
        <v>Diferoch</v>
      </c>
      <c r="B545" s="17" t="s">
        <v>1191</v>
      </c>
      <c r="C545" s="18">
        <v>46202.935011574074</v>
      </c>
      <c r="D545" s="17" t="s">
        <v>1189</v>
      </c>
      <c r="E545" s="19" t="s">
        <v>1192</v>
      </c>
      <c r="F545" s="20" t="s">
        <v>16</v>
      </c>
      <c r="G545" s="20" t="s">
        <v>17</v>
      </c>
      <c r="H545" s="20" t="s">
        <v>18</v>
      </c>
      <c r="I545" s="19" t="str">
        <f>IMAGE("https://upload.wikimedia.org/wikipedia/commons/a/aa/Columbina_talpacoti_rufipennis_-_Barrancabermeja%2C_Santander%2C_Colombia_-_31_Dec_2025_-_Diferoch_-_2.jpg")</f>
        <v/>
      </c>
    </row>
    <row r="546" ht="36.0" customHeight="1">
      <c r="A546" s="10" t="str">
        <f>HYPERLINK("https://commons.wikimedia.org/wiki/User:" &amp; ENCODEURL("Supertita"), "Supertita")</f>
        <v>Supertita</v>
      </c>
      <c r="B546" s="11" t="s">
        <v>1193</v>
      </c>
      <c r="C546" s="12">
        <v>46191.905381944445</v>
      </c>
      <c r="D546" s="11" t="s">
        <v>1194</v>
      </c>
      <c r="E546" s="14" t="s">
        <v>15</v>
      </c>
      <c r="F546" s="15" t="s">
        <v>16</v>
      </c>
      <c r="G546" s="15" t="s">
        <v>17</v>
      </c>
      <c r="H546" s="15" t="s">
        <v>18</v>
      </c>
      <c r="I546" s="14" t="str">
        <f>IMAGE("https://upload.wikimedia.org/wikipedia/commons/5/5d/Col%C3%ADn_Crestudo_%28Colinus_cristatus%29.jpg")</f>
        <v/>
      </c>
    </row>
    <row r="547" ht="36.0" customHeight="1">
      <c r="A547" s="16" t="str">
        <f>HYPERLINK("https://commons.wikimedia.org/wiki/User:" &amp; ENCODEURL("NunuAiyi"), "NunuAiyi")</f>
        <v>NunuAiyi</v>
      </c>
      <c r="B547" s="17" t="s">
        <v>1195</v>
      </c>
      <c r="C547" s="18">
        <v>46203.85869212963</v>
      </c>
      <c r="D547" s="17" t="s">
        <v>1196</v>
      </c>
      <c r="E547" s="19" t="s">
        <v>29</v>
      </c>
      <c r="F547" s="19" t="s">
        <v>30</v>
      </c>
      <c r="G547" s="20" t="s">
        <v>17</v>
      </c>
      <c r="H547" s="20" t="s">
        <v>18</v>
      </c>
      <c r="I547" s="19" t="str">
        <f>IMAGE("https://upload.wikimedia.org/wikipedia/commons/1/11/Comelina_difusa.jpg")</f>
        <v/>
      </c>
    </row>
    <row r="548" ht="36.0" customHeight="1">
      <c r="A548" s="10" t="str">
        <f>HYPERLINK("https://commons.wikimedia.org/wiki/User:" &amp; ENCODEURL("Lamoraleja"), "Lamoraleja")</f>
        <v>Lamoraleja</v>
      </c>
      <c r="B548" s="11" t="s">
        <v>1197</v>
      </c>
      <c r="C548" s="12">
        <v>46149.583645833336</v>
      </c>
      <c r="D548" s="11" t="s">
        <v>1198</v>
      </c>
      <c r="E548" s="14" t="s">
        <v>1199</v>
      </c>
      <c r="F548" s="15" t="s">
        <v>16</v>
      </c>
      <c r="G548" s="15" t="s">
        <v>17</v>
      </c>
      <c r="H548" s="15" t="s">
        <v>18</v>
      </c>
      <c r="I548" s="14" t="str">
        <f>IMAGE("https://upload.wikimedia.org/wikipedia/commons/3/3b/Como_es_arriba_es_abajo.jpg")</f>
        <v/>
      </c>
    </row>
    <row r="549" ht="36.0" customHeight="1">
      <c r="A549" s="16" t="str">
        <f t="shared" ref="A549:A550" si="84">HYPERLINK("https://commons.wikimedia.org/wiki/User:" &amp; ENCODEURL("Laupedrazaa"), "Laupedrazaa")</f>
        <v>Laupedrazaa</v>
      </c>
      <c r="B549" s="17" t="s">
        <v>1200</v>
      </c>
      <c r="C549" s="18">
        <v>46167.89686342593</v>
      </c>
      <c r="D549" s="17" t="s">
        <v>1201</v>
      </c>
      <c r="E549" s="19" t="s">
        <v>29</v>
      </c>
      <c r="F549" s="19" t="s">
        <v>30</v>
      </c>
      <c r="G549" s="20" t="s">
        <v>17</v>
      </c>
      <c r="H549" s="20" t="s">
        <v>18</v>
      </c>
      <c r="I549" s="19" t="str">
        <f>IMAGE("https://upload.wikimedia.org/wikipedia/commons/8/86/Compa%C3%B1era_de_piscina.jpg")</f>
        <v/>
      </c>
    </row>
    <row r="550" ht="36.0" customHeight="1">
      <c r="A550" s="10" t="str">
        <f t="shared" si="84"/>
        <v>Laupedrazaa</v>
      </c>
      <c r="B550" s="11" t="s">
        <v>1202</v>
      </c>
      <c r="C550" s="12">
        <v>46167.8591087963</v>
      </c>
      <c r="D550" s="11" t="s">
        <v>1203</v>
      </c>
      <c r="E550" s="14" t="s">
        <v>29</v>
      </c>
      <c r="F550" s="14" t="s">
        <v>30</v>
      </c>
      <c r="G550" s="15" t="s">
        <v>17</v>
      </c>
      <c r="H550" s="15" t="s">
        <v>18</v>
      </c>
      <c r="I550" s="14" t="str">
        <f>IMAGE("https://upload.wikimedia.org/wikipedia/commons/b/bc/Compa%C3%B1eras_de_r%C3%ADo.jpg")</f>
        <v/>
      </c>
    </row>
    <row r="551" ht="36.0" customHeight="1">
      <c r="A551" s="16" t="str">
        <f>HYPERLINK("https://commons.wikimedia.org/wiki/User:" &amp; ENCODEURL("XRkstudiox"), "XRkstudiox")</f>
        <v>XRkstudiox</v>
      </c>
      <c r="B551" s="17" t="s">
        <v>1204</v>
      </c>
      <c r="C551" s="18">
        <v>46203.71460648148</v>
      </c>
      <c r="D551" s="17" t="s">
        <v>415</v>
      </c>
      <c r="E551" s="19" t="s">
        <v>29</v>
      </c>
      <c r="F551" s="19" t="s">
        <v>30</v>
      </c>
      <c r="G551" s="20" t="s">
        <v>17</v>
      </c>
      <c r="H551" s="20" t="s">
        <v>18</v>
      </c>
      <c r="I551" s="19" t="str">
        <f>IMAGE("https://upload.wikimedia.org/wikipedia/commons/7/76/Compa%C3%B1ero_Fiel.jpg")</f>
        <v/>
      </c>
    </row>
    <row r="552" ht="36.0" customHeight="1">
      <c r="A552" s="10" t="str">
        <f>HYPERLINK("https://commons.wikimedia.org/wiki/User:" &amp; ENCODEURL("SebasWork"), "SebasWork")</f>
        <v>SebasWork</v>
      </c>
      <c r="B552" s="11" t="s">
        <v>1205</v>
      </c>
      <c r="C552" s="12">
        <v>46203.83568287037</v>
      </c>
      <c r="D552" s="11" t="s">
        <v>1206</v>
      </c>
      <c r="E552" s="14" t="s">
        <v>29</v>
      </c>
      <c r="F552" s="14" t="s">
        <v>30</v>
      </c>
      <c r="G552" s="15" t="s">
        <v>17</v>
      </c>
      <c r="H552" s="15" t="s">
        <v>18</v>
      </c>
      <c r="I552" s="14" t="str">
        <f>IMAGE("https://upload.wikimedia.org/wikipedia/commons/4/48/Complejo_camaronero_la_guajira.jpg")</f>
        <v/>
      </c>
    </row>
    <row r="553" ht="36.0" customHeight="1">
      <c r="A553" s="16" t="str">
        <f t="shared" ref="A553:A554" si="85">HYPERLINK("https://commons.wikimedia.org/wiki/User:" &amp; ENCODEURL("Diferoch"), "Diferoch")</f>
        <v>Diferoch</v>
      </c>
      <c r="B553" s="17" t="s">
        <v>1207</v>
      </c>
      <c r="C553" s="18">
        <v>46189.815520833334</v>
      </c>
      <c r="D553" s="17" t="s">
        <v>1208</v>
      </c>
      <c r="E553" s="19" t="s">
        <v>1209</v>
      </c>
      <c r="F553" s="20" t="s">
        <v>16</v>
      </c>
      <c r="G553" s="20" t="s">
        <v>17</v>
      </c>
      <c r="H553" s="20" t="s">
        <v>18</v>
      </c>
      <c r="I553" s="19" t="str">
        <f>IMAGE("https://upload.wikimedia.org/wikipedia/commons/b/bf/Compsus_-_Bogot%C3%A1_D._C.%2C_Colombia_-_23_Aug_2025_-_Diferoch_-_1.jpg")</f>
        <v/>
      </c>
    </row>
    <row r="554" ht="36.0" customHeight="1">
      <c r="A554" s="10" t="str">
        <f t="shared" si="85"/>
        <v>Diferoch</v>
      </c>
      <c r="B554" s="11" t="s">
        <v>1210</v>
      </c>
      <c r="C554" s="12">
        <v>46189.81560185185</v>
      </c>
      <c r="D554" s="11" t="s">
        <v>1208</v>
      </c>
      <c r="E554" s="14" t="s">
        <v>1211</v>
      </c>
      <c r="F554" s="15" t="s">
        <v>16</v>
      </c>
      <c r="G554" s="15" t="s">
        <v>17</v>
      </c>
      <c r="H554" s="15" t="s">
        <v>18</v>
      </c>
      <c r="I554" s="14" t="str">
        <f>IMAGE("https://upload.wikimedia.org/wikipedia/commons/d/d8/Compsus_-_Bogot%C3%A1_D._C.%2C_Colombia_-_23_Aug_2025_-_Diferoch_-_2.jpg")</f>
        <v/>
      </c>
    </row>
    <row r="555" ht="36.0" customHeight="1">
      <c r="A555" s="16" t="str">
        <f>HYPERLINK("https://commons.wikimedia.org/wiki/User:" &amp; ENCODEURL("JulianaaValenFrog28"), "JulianaaValenFrog28")</f>
        <v>JulianaaValenFrog28</v>
      </c>
      <c r="B555" s="17" t="s">
        <v>1212</v>
      </c>
      <c r="C555" s="18">
        <v>46203.93462962963</v>
      </c>
      <c r="D555" s="17" t="s">
        <v>1213</v>
      </c>
      <c r="E555" s="19" t="s">
        <v>1214</v>
      </c>
      <c r="F555" s="20" t="s">
        <v>16</v>
      </c>
      <c r="G555" s="20" t="s">
        <v>17</v>
      </c>
      <c r="H555" s="20" t="s">
        <v>18</v>
      </c>
      <c r="I555" s="19" t="str">
        <f>IMAGE("https://upload.wikimedia.org/wikipedia/commons/6/65/Conexi%C3%B3n_bajo_un_mismo_horizonte.jpg")</f>
        <v/>
      </c>
    </row>
    <row r="556" ht="36.0" customHeight="1">
      <c r="A556" s="10" t="str">
        <f>HYPERLINK("https://commons.wikimedia.org/wiki/User:" &amp; ENCODEURL("Antoniacorralosorio"), "Antoniacorralosorio")</f>
        <v>Antoniacorralosorio</v>
      </c>
      <c r="B556" s="11" t="s">
        <v>1215</v>
      </c>
      <c r="C556" s="12">
        <v>46167.45974537037</v>
      </c>
      <c r="D556" s="11" t="s">
        <v>1216</v>
      </c>
      <c r="E556" s="14" t="s">
        <v>1217</v>
      </c>
      <c r="F556" s="15" t="s">
        <v>16</v>
      </c>
      <c r="G556" s="15" t="s">
        <v>17</v>
      </c>
      <c r="H556" s="15" t="s">
        <v>18</v>
      </c>
      <c r="I556" s="14" t="str">
        <f>IMAGE("https://upload.wikimedia.org/wikipedia/commons/2/2b/Confusi%C3%B3n.jpg")</f>
        <v/>
      </c>
    </row>
    <row r="557" ht="36.0" customHeight="1">
      <c r="A557" s="16" t="str">
        <f>HYPERLINK("https://commons.wikimedia.org/wiki/User:" &amp; ENCODEURL("KingJo09"), "KingJo09")</f>
        <v>KingJo09</v>
      </c>
      <c r="B557" s="17" t="s">
        <v>1218</v>
      </c>
      <c r="C557" s="18">
        <v>46165.89076388889</v>
      </c>
      <c r="D557" s="17" t="s">
        <v>1219</v>
      </c>
      <c r="E557" s="19" t="s">
        <v>1220</v>
      </c>
      <c r="F557" s="20" t="s">
        <v>16</v>
      </c>
      <c r="G557" s="20" t="s">
        <v>17</v>
      </c>
      <c r="H557" s="20" t="s">
        <v>18</v>
      </c>
      <c r="I557" s="19" t="str">
        <f>IMAGE("https://upload.wikimedia.org/wikipedia/commons/5/5f/Constelaci%C3%B3n_P%C3%BArpura.jpg")</f>
        <v/>
      </c>
    </row>
    <row r="558" ht="36.0" customHeight="1">
      <c r="A558" s="10" t="str">
        <f>HYPERLINK("https://commons.wikimedia.org/wiki/User:" &amp; ENCODEURL("Daijiruu"), "Daijiruu")</f>
        <v>Daijiruu</v>
      </c>
      <c r="B558" s="11" t="s">
        <v>1221</v>
      </c>
      <c r="C558" s="12">
        <v>46163.51032407407</v>
      </c>
      <c r="D558" s="11" t="s">
        <v>1222</v>
      </c>
      <c r="E558" s="14" t="s">
        <v>29</v>
      </c>
      <c r="F558" s="14" t="s">
        <v>30</v>
      </c>
      <c r="G558" s="15" t="s">
        <v>17</v>
      </c>
      <c r="H558" s="15" t="s">
        <v>18</v>
      </c>
      <c r="I558" s="14" t="str">
        <f>IMAGE("https://upload.wikimedia.org/wikipedia/commons/5/59/Contacto_con_una_Planta.jpg")</f>
        <v/>
      </c>
    </row>
    <row r="559" ht="36.0" customHeight="1">
      <c r="A559" s="16" t="str">
        <f>HYPERLINK("https://commons.wikimedia.org/wiki/User:" &amp; ENCODEURL("Guiverfer"), "Guiverfer")</f>
        <v>Guiverfer</v>
      </c>
      <c r="B559" s="17" t="s">
        <v>1223</v>
      </c>
      <c r="C559" s="18">
        <v>46199.83789351852</v>
      </c>
      <c r="D559" s="17" t="s">
        <v>1224</v>
      </c>
      <c r="E559" s="19" t="s">
        <v>1225</v>
      </c>
      <c r="F559" s="20" t="s">
        <v>16</v>
      </c>
      <c r="G559" s="20" t="s">
        <v>17</v>
      </c>
      <c r="H559" s="20" t="s">
        <v>18</v>
      </c>
      <c r="I559" s="19" t="str">
        <f>IMAGE("https://upload.wikimedia.org/wikipedia/commons/0/04/Contaminaci%C3%B3n_acu%C3%A1tica.jpg")</f>
        <v/>
      </c>
    </row>
    <row r="560" ht="36.0" customHeight="1">
      <c r="A560" s="10" t="str">
        <f>HYPERLINK("https://commons.wikimedia.org/wiki/User:" &amp; ENCODEURL("Vvelashue21"), "Vvelashue21")</f>
        <v>Vvelashue21</v>
      </c>
      <c r="B560" s="11" t="s">
        <v>1226</v>
      </c>
      <c r="C560" s="12">
        <v>46163.54802083333</v>
      </c>
      <c r="D560" s="11" t="s">
        <v>1227</v>
      </c>
      <c r="E560" s="14" t="s">
        <v>29</v>
      </c>
      <c r="F560" s="14" t="s">
        <v>30</v>
      </c>
      <c r="G560" s="15" t="s">
        <v>17</v>
      </c>
      <c r="H560" s="15" t="s">
        <v>18</v>
      </c>
      <c r="I560" s="14" t="str">
        <f>IMAGE("https://upload.wikimedia.org/wikipedia/commons/c/c9/Contraste_habitado.jpg")</f>
        <v/>
      </c>
    </row>
    <row r="561" ht="36.0" customHeight="1">
      <c r="A561" s="16" t="str">
        <f>HYPERLINK("https://commons.wikimedia.org/wiki/User:" &amp; ENCODEURL("Sophy Martinez"), "Sophy Martinez")</f>
        <v>Sophy Martinez</v>
      </c>
      <c r="B561" s="17" t="s">
        <v>1228</v>
      </c>
      <c r="C561" s="18">
        <v>46202.069502314815</v>
      </c>
      <c r="D561" s="17" t="s">
        <v>1229</v>
      </c>
      <c r="E561" s="19" t="s">
        <v>1230</v>
      </c>
      <c r="F561" s="20" t="s">
        <v>16</v>
      </c>
      <c r="G561" s="20" t="s">
        <v>17</v>
      </c>
      <c r="H561" s="20" t="s">
        <v>18</v>
      </c>
      <c r="I561" s="19" t="str">
        <f>IMAGE("https://upload.wikimedia.org/wikipedia/commons/1/13/Copa_verde-azulada_%28Chlorociboria_aeruginascens%29.png")</f>
        <v/>
      </c>
    </row>
    <row r="562" ht="36.0" customHeight="1">
      <c r="A562" s="10" t="str">
        <f>HYPERLINK("https://commons.wikimedia.org/wiki/User:" &amp; ENCODEURL("Peperomia11"), "Peperomia11")</f>
        <v>Peperomia11</v>
      </c>
      <c r="B562" s="11" t="s">
        <v>1231</v>
      </c>
      <c r="C562" s="12">
        <v>46202.56005787037</v>
      </c>
      <c r="D562" s="11" t="s">
        <v>1232</v>
      </c>
      <c r="E562" s="14" t="s">
        <v>29</v>
      </c>
      <c r="F562" s="14" t="s">
        <v>30</v>
      </c>
      <c r="G562" s="15" t="s">
        <v>17</v>
      </c>
      <c r="H562" s="15" t="s">
        <v>18</v>
      </c>
      <c r="I562" s="14" t="str">
        <f>IMAGE("https://upload.wikimedia.org/wikipedia/commons/6/64/Copet%C3%B3n_20260529_103759.jpg")</f>
        <v/>
      </c>
    </row>
    <row r="563" ht="36.0" customHeight="1">
      <c r="A563" s="16" t="str">
        <f>HYPERLINK("https://commons.wikimedia.org/wiki/User:" &amp; ENCODEURL("Supertita"), "Supertita")</f>
        <v>Supertita</v>
      </c>
      <c r="B563" s="17" t="s">
        <v>1233</v>
      </c>
      <c r="C563" s="18">
        <v>46192.70738425926</v>
      </c>
      <c r="D563" s="17" t="s">
        <v>1234</v>
      </c>
      <c r="E563" s="19" t="s">
        <v>21</v>
      </c>
      <c r="F563" s="20" t="s">
        <v>16</v>
      </c>
      <c r="G563" s="20" t="s">
        <v>17</v>
      </c>
      <c r="H563" s="20" t="s">
        <v>18</v>
      </c>
      <c r="I563" s="19" t="str">
        <f>IMAGE("https://upload.wikimedia.org/wikipedia/commons/6/69/Cora_Pavonia-Hygrophoraceae.jpg")</f>
        <v/>
      </c>
    </row>
    <row r="564" ht="36.0" customHeight="1">
      <c r="A564" s="10" t="str">
        <f t="shared" ref="A564:A568" si="86">HYPERLINK("https://commons.wikimedia.org/wiki/User:" &amp; ENCODEURL("Diferoch"), "Diferoch")</f>
        <v>Diferoch</v>
      </c>
      <c r="B564" s="11" t="s">
        <v>1235</v>
      </c>
      <c r="C564" s="12">
        <v>46197.57917824074</v>
      </c>
      <c r="D564" s="11" t="s">
        <v>1236</v>
      </c>
      <c r="E564" s="14" t="s">
        <v>1237</v>
      </c>
      <c r="F564" s="15" t="s">
        <v>16</v>
      </c>
      <c r="G564" s="15" t="s">
        <v>17</v>
      </c>
      <c r="H564" s="15" t="s">
        <v>18</v>
      </c>
      <c r="I564" s="14" t="str">
        <f>IMAGE("https://upload.wikimedia.org/wikipedia/commons/9/92/Coragyps_atratus_brasiliensis_-_Nuqu%C3%AD%2C_Choc%C3%B3%2C_Colombia_-_21_Oct_2025_-_Diferoch_-_1.jpg")</f>
        <v/>
      </c>
    </row>
    <row r="565" ht="36.0" customHeight="1">
      <c r="A565" s="16" t="str">
        <f t="shared" si="86"/>
        <v>Diferoch</v>
      </c>
      <c r="B565" s="17" t="s">
        <v>1238</v>
      </c>
      <c r="C565" s="18">
        <v>46197.579247685186</v>
      </c>
      <c r="D565" s="17" t="s">
        <v>1236</v>
      </c>
      <c r="E565" s="19" t="s">
        <v>1239</v>
      </c>
      <c r="F565" s="20" t="s">
        <v>16</v>
      </c>
      <c r="G565" s="20" t="s">
        <v>17</v>
      </c>
      <c r="H565" s="20" t="s">
        <v>18</v>
      </c>
      <c r="I565" s="19" t="str">
        <f>IMAGE("https://upload.wikimedia.org/wikipedia/commons/f/f3/Coragyps_atratus_brasiliensis_-_Nuqu%C3%AD%2C_Choc%C3%B3%2C_Colombia_-_21_Oct_2025_-_Diferoch_-_2.jpg")</f>
        <v/>
      </c>
    </row>
    <row r="566" ht="36.0" customHeight="1">
      <c r="A566" s="10" t="str">
        <f t="shared" si="86"/>
        <v>Diferoch</v>
      </c>
      <c r="B566" s="11" t="s">
        <v>1240</v>
      </c>
      <c r="C566" s="12">
        <v>46198.742256944446</v>
      </c>
      <c r="D566" s="11" t="s">
        <v>1241</v>
      </c>
      <c r="E566" s="14" t="s">
        <v>1242</v>
      </c>
      <c r="F566" s="15" t="s">
        <v>16</v>
      </c>
      <c r="G566" s="15" t="s">
        <v>17</v>
      </c>
      <c r="H566" s="15" t="s">
        <v>18</v>
      </c>
      <c r="I566" s="14" t="str">
        <f>IMAGE("https://upload.wikimedia.org/wikipedia/commons/9/9f/Coragyps_atratus_brasiliensis_-_Nuqu%C3%AD%2C_Choc%C3%B3%2C_Colombia_-_23_Oct_2025_-_Diferoch_-_1.jpg")</f>
        <v/>
      </c>
    </row>
    <row r="567" ht="36.0" customHeight="1">
      <c r="A567" s="16" t="str">
        <f t="shared" si="86"/>
        <v>Diferoch</v>
      </c>
      <c r="B567" s="17" t="s">
        <v>1243</v>
      </c>
      <c r="C567" s="18">
        <v>46198.74238425926</v>
      </c>
      <c r="D567" s="17" t="s">
        <v>1241</v>
      </c>
      <c r="E567" s="19" t="s">
        <v>1239</v>
      </c>
      <c r="F567" s="20" t="s">
        <v>16</v>
      </c>
      <c r="G567" s="20" t="s">
        <v>17</v>
      </c>
      <c r="H567" s="20" t="s">
        <v>18</v>
      </c>
      <c r="I567" s="19" t="str">
        <f>IMAGE("https://upload.wikimedia.org/wikipedia/commons/c/cb/Coragyps_atratus_brasiliensis_-_Nuqu%C3%AD%2C_Choc%C3%B3%2C_Colombia_-_23_Oct_2025_-_Diferoch_-_2.jpg")</f>
        <v/>
      </c>
    </row>
    <row r="568" ht="36.0" customHeight="1">
      <c r="A568" s="10" t="str">
        <f t="shared" si="86"/>
        <v>Diferoch</v>
      </c>
      <c r="B568" s="11" t="s">
        <v>1244</v>
      </c>
      <c r="C568" s="12">
        <v>46198.74238425926</v>
      </c>
      <c r="D568" s="11" t="s">
        <v>1241</v>
      </c>
      <c r="E568" s="14" t="s">
        <v>1239</v>
      </c>
      <c r="F568" s="15" t="s">
        <v>16</v>
      </c>
      <c r="G568" s="15" t="s">
        <v>17</v>
      </c>
      <c r="H568" s="15" t="s">
        <v>18</v>
      </c>
      <c r="I568" s="14" t="str">
        <f>IMAGE("https://upload.wikimedia.org/wikipedia/commons/8/83/Coragyps_atratus_brasiliensis_-_Nuqu%C3%AD%2C_Choc%C3%B3%2C_Colombia_-_23_Oct_2025_-_Diferoch_-_3.jpg")</f>
        <v/>
      </c>
    </row>
    <row r="569" ht="36.0" customHeight="1">
      <c r="A569" s="16" t="str">
        <f>HYPERLINK("https://commons.wikimedia.org/wiki/User:" &amp; ENCODEURL("IvanVillacorte"), "IvanVillacorte")</f>
        <v>IvanVillacorte</v>
      </c>
      <c r="B569" s="17" t="s">
        <v>1245</v>
      </c>
      <c r="C569" s="18">
        <v>46162.81414351852</v>
      </c>
      <c r="D569" s="17" t="s">
        <v>1246</v>
      </c>
      <c r="E569" s="19" t="s">
        <v>29</v>
      </c>
      <c r="F569" s="19" t="s">
        <v>30</v>
      </c>
      <c r="G569" s="20" t="s">
        <v>17</v>
      </c>
      <c r="H569" s="20" t="s">
        <v>18</v>
      </c>
      <c r="I569" s="19" t="str">
        <f>IMAGE("https://upload.wikimedia.org/wikipedia/commons/d/d7/Coragyps_atratus_en_entorno_urbano_de_disposici%C3%B3n_de_residuos_en_Pasto%2C_Nari%C3%B1o.jpg")</f>
        <v/>
      </c>
    </row>
    <row r="570" ht="36.0" customHeight="1">
      <c r="A570" s="10" t="str">
        <f>HYPERLINK("https://commons.wikimedia.org/wiki/User:" &amp; ENCODEURL("Alejociclyng"), "Alejociclyng")</f>
        <v>Alejociclyng</v>
      </c>
      <c r="B570" s="11" t="s">
        <v>1247</v>
      </c>
      <c r="C570" s="12">
        <v>46174.45277777778</v>
      </c>
      <c r="D570" s="11" t="s">
        <v>1248</v>
      </c>
      <c r="E570" s="14" t="s">
        <v>29</v>
      </c>
      <c r="F570" s="14" t="s">
        <v>30</v>
      </c>
      <c r="G570" s="15" t="s">
        <v>17</v>
      </c>
      <c r="H570" s="15" t="s">
        <v>18</v>
      </c>
      <c r="I570" s="14" t="str">
        <f>IMAGE("https://upload.wikimedia.org/wikipedia/commons/3/39/Coraz%C3%B3n_de_Luz.png")</f>
        <v/>
      </c>
    </row>
    <row r="571" ht="36.0" customHeight="1">
      <c r="A571" s="16" t="str">
        <f>HYPERLINK("https://commons.wikimedia.org/wiki/User:" &amp; ENCODEURL("Torozuluaga"), "Torozuluaga")</f>
        <v>Torozuluaga</v>
      </c>
      <c r="B571" s="17" t="s">
        <v>1249</v>
      </c>
      <c r="C571" s="18">
        <v>46145.38185185185</v>
      </c>
      <c r="D571" s="17" t="s">
        <v>1250</v>
      </c>
      <c r="E571" s="19" t="s">
        <v>29</v>
      </c>
      <c r="F571" s="19" t="s">
        <v>30</v>
      </c>
      <c r="G571" s="20" t="s">
        <v>17</v>
      </c>
      <c r="H571" s="20" t="s">
        <v>18</v>
      </c>
      <c r="I571" s="19" t="str">
        <f>IMAGE("https://upload.wikimedia.org/wikipedia/commons/4/4e/Cordillera_Central_Quindio-Tolima.jpg")</f>
        <v/>
      </c>
    </row>
    <row r="572" ht="36.0" customHeight="1">
      <c r="A572" s="10" t="str">
        <f>HYPERLINK("https://commons.wikimedia.org/wiki/User:" &amp; ENCODEURL("Viv Fa"), "Viv Fa")</f>
        <v>Viv Fa</v>
      </c>
      <c r="B572" s="11" t="s">
        <v>1251</v>
      </c>
      <c r="C572" s="12">
        <v>46197.54158564815</v>
      </c>
      <c r="D572" s="11" t="s">
        <v>1252</v>
      </c>
      <c r="E572" s="14" t="s">
        <v>29</v>
      </c>
      <c r="F572" s="14" t="s">
        <v>30</v>
      </c>
      <c r="G572" s="15" t="s">
        <v>17</v>
      </c>
      <c r="H572" s="15" t="s">
        <v>18</v>
      </c>
      <c r="I572" s="14" t="str">
        <f>IMAGE("https://upload.wikimedia.org/wikipedia/commons/7/7e/Cordillera_de_sumapaz.jpg")</f>
        <v/>
      </c>
    </row>
    <row r="573" ht="36.0" customHeight="1">
      <c r="A573" s="16" t="str">
        <f>HYPERLINK("https://commons.wikimedia.org/wiki/User:" &amp; ENCODEURL("Supertita"), "Supertita")</f>
        <v>Supertita</v>
      </c>
      <c r="B573" s="17" t="s">
        <v>1253</v>
      </c>
      <c r="C573" s="18">
        <v>46192.76349537037</v>
      </c>
      <c r="D573" s="17" t="s">
        <v>1254</v>
      </c>
      <c r="E573" s="19" t="s">
        <v>1255</v>
      </c>
      <c r="F573" s="20" t="s">
        <v>16</v>
      </c>
      <c r="G573" s="20" t="s">
        <v>17</v>
      </c>
      <c r="H573" s="20" t="s">
        <v>18</v>
      </c>
      <c r="I573" s="19" t="str">
        <f>IMAGE("https://upload.wikimedia.org/wikipedia/commons/f/f3/Cormor%C3%A1n_Neotropical-_Nannopterum_brasilianum-Laguna_El_Tabacal_La_Vega.jpg")</f>
        <v/>
      </c>
    </row>
    <row r="574" ht="36.0" customHeight="1">
      <c r="A574" s="10" t="str">
        <f>HYPERLINK("https://commons.wikimedia.org/wiki/User:" &amp; ENCODEURL("Dsjkkms"), "Dsjkkms")</f>
        <v>Dsjkkms</v>
      </c>
      <c r="B574" s="11" t="s">
        <v>1256</v>
      </c>
      <c r="C574" s="12">
        <v>46163.521886574075</v>
      </c>
      <c r="D574" s="11" t="s">
        <v>1257</v>
      </c>
      <c r="E574" s="14" t="s">
        <v>29</v>
      </c>
      <c r="F574" s="14" t="s">
        <v>30</v>
      </c>
      <c r="G574" s="15" t="s">
        <v>17</v>
      </c>
      <c r="H574" s="15" t="s">
        <v>18</v>
      </c>
      <c r="I574" s="14" t="str">
        <f>IMAGE("https://upload.wikimedia.org/wikipedia/commons/9/97/Corona_de_Cristo._Euphorbia_milii.jpg")</f>
        <v/>
      </c>
    </row>
    <row r="575" ht="36.0" customHeight="1">
      <c r="A575" s="16" t="str">
        <f>HYPERLINK("https://commons.wikimedia.org/wiki/User:" &amp; ENCODEURL("KingJo09"), "KingJo09")</f>
        <v>KingJo09</v>
      </c>
      <c r="B575" s="17" t="s">
        <v>1258</v>
      </c>
      <c r="C575" s="18">
        <v>46165.890856481485</v>
      </c>
      <c r="D575" s="17" t="s">
        <v>1259</v>
      </c>
      <c r="E575" s="19" t="s">
        <v>1220</v>
      </c>
      <c r="F575" s="20" t="s">
        <v>16</v>
      </c>
      <c r="G575" s="20" t="s">
        <v>17</v>
      </c>
      <c r="H575" s="20" t="s">
        <v>18</v>
      </c>
      <c r="I575" s="19" t="str">
        <f>IMAGE("https://upload.wikimedia.org/wikipedia/commons/f/f4/Corona_de_Fuegos_Artificiales.jpg")</f>
        <v/>
      </c>
    </row>
    <row r="576" ht="36.0" customHeight="1">
      <c r="A576" s="10" t="str">
        <f t="shared" ref="A576:A577" si="87">HYPERLINK("https://commons.wikimedia.org/wiki/User:" &amp; ENCODEURL("Adrianvargasag"), "Adrianvargasag")</f>
        <v>Adrianvargasag</v>
      </c>
      <c r="B576" s="11" t="s">
        <v>1260</v>
      </c>
      <c r="C576" s="12">
        <v>46144.1271412037</v>
      </c>
      <c r="D576" s="11" t="s">
        <v>1261</v>
      </c>
      <c r="E576" s="14" t="s">
        <v>1262</v>
      </c>
      <c r="F576" s="15" t="s">
        <v>16</v>
      </c>
      <c r="G576" s="15" t="s">
        <v>17</v>
      </c>
      <c r="H576" s="15" t="s">
        <v>18</v>
      </c>
      <c r="I576" s="14" t="str">
        <f>IMAGE("https://upload.wikimedia.org/wikipedia/commons/5/5e/Corona_de_flores.jpg")</f>
        <v/>
      </c>
    </row>
    <row r="577" ht="36.0" customHeight="1">
      <c r="A577" s="16" t="str">
        <f t="shared" si="87"/>
        <v>Adrianvargasag</v>
      </c>
      <c r="B577" s="17" t="s">
        <v>1263</v>
      </c>
      <c r="C577" s="18">
        <v>46144.12715277778</v>
      </c>
      <c r="D577" s="17" t="s">
        <v>1264</v>
      </c>
      <c r="E577" s="19" t="s">
        <v>1265</v>
      </c>
      <c r="F577" s="20" t="s">
        <v>16</v>
      </c>
      <c r="G577" s="20" t="s">
        <v>17</v>
      </c>
      <c r="H577" s="20" t="s">
        <v>18</v>
      </c>
      <c r="I577" s="19" t="str">
        <f>IMAGE("https://upload.wikimedia.org/wikipedia/commons/2/25/Corona_de_nieblas.jpg")</f>
        <v/>
      </c>
    </row>
    <row r="578" ht="36.0" customHeight="1">
      <c r="A578" s="10" t="str">
        <f t="shared" ref="A578:A579" si="88">HYPERLINK("https://commons.wikimedia.org/wiki/User:" &amp; ENCODEURL("Nathaly 1106"), "Nathaly 1106")</f>
        <v>Nathaly 1106</v>
      </c>
      <c r="B578" s="11" t="s">
        <v>1266</v>
      </c>
      <c r="C578" s="12">
        <v>46147.671261574076</v>
      </c>
      <c r="D578" s="11" t="s">
        <v>1267</v>
      </c>
      <c r="E578" s="14" t="s">
        <v>29</v>
      </c>
      <c r="F578" s="14" t="s">
        <v>30</v>
      </c>
      <c r="G578" s="15" t="s">
        <v>17</v>
      </c>
      <c r="H578" s="15" t="s">
        <v>18</v>
      </c>
      <c r="I578" s="14" t="str">
        <f>IMAGE("https://upload.wikimedia.org/wikipedia/commons/b/b0/Corono_%28Salicaceae%29.jpg")</f>
        <v/>
      </c>
    </row>
    <row r="579" ht="36.0" customHeight="1">
      <c r="A579" s="16" t="str">
        <f t="shared" si="88"/>
        <v>Nathaly 1106</v>
      </c>
      <c r="B579" s="17" t="s">
        <v>1268</v>
      </c>
      <c r="C579" s="18">
        <v>46148.619155092594</v>
      </c>
      <c r="D579" s="17" t="s">
        <v>1269</v>
      </c>
      <c r="E579" s="19" t="s">
        <v>29</v>
      </c>
      <c r="F579" s="19" t="s">
        <v>30</v>
      </c>
      <c r="G579" s="20" t="s">
        <v>17</v>
      </c>
      <c r="H579" s="20" t="s">
        <v>18</v>
      </c>
      <c r="I579" s="19" t="str">
        <f>IMAGE("https://upload.wikimedia.org/wikipedia/commons/c/c6/Corono_%28Xylosma_spiculifera%29.jpg")</f>
        <v/>
      </c>
    </row>
    <row r="580" ht="36.0" customHeight="1">
      <c r="A580" s="10" t="str">
        <f t="shared" ref="A580:A581" si="89">HYPERLINK("https://commons.wikimedia.org/wiki/User:" &amp; ENCODEURL("JinM143"), "JinM143")</f>
        <v>JinM143</v>
      </c>
      <c r="B580" s="11" t="s">
        <v>1270</v>
      </c>
      <c r="C580" s="12">
        <v>46163.53940972222</v>
      </c>
      <c r="D580" s="11" t="s">
        <v>1271</v>
      </c>
      <c r="E580" s="14" t="s">
        <v>29</v>
      </c>
      <c r="F580" s="14" t="s">
        <v>30</v>
      </c>
      <c r="G580" s="15" t="s">
        <v>17</v>
      </c>
      <c r="H580" s="15" t="s">
        <v>18</v>
      </c>
      <c r="I580" s="14" t="str">
        <f>IMAGE("https://upload.wikimedia.org/wikipedia/commons/4/49/Corpinopsis_sp-_Julian_Barrera.jpg")</f>
        <v/>
      </c>
    </row>
    <row r="581" ht="36.0" customHeight="1">
      <c r="A581" s="16" t="str">
        <f t="shared" si="89"/>
        <v>JinM143</v>
      </c>
      <c r="B581" s="17" t="s">
        <v>1272</v>
      </c>
      <c r="C581" s="18">
        <v>46163.541863425926</v>
      </c>
      <c r="D581" s="17" t="s">
        <v>1273</v>
      </c>
      <c r="E581" s="19" t="s">
        <v>29</v>
      </c>
      <c r="F581" s="19" t="s">
        <v>30</v>
      </c>
      <c r="G581" s="20" t="s">
        <v>17</v>
      </c>
      <c r="H581" s="20" t="s">
        <v>18</v>
      </c>
      <c r="I581" s="19" t="str">
        <f>IMAGE("https://upload.wikimedia.org/wikipedia/commons/5/5e/Corpinopsis_spp_Julian_Barrera.jpg")</f>
        <v/>
      </c>
    </row>
    <row r="582" ht="36.0" customHeight="1">
      <c r="A582" s="10" t="str">
        <f t="shared" ref="A582:A583" si="90">HYPERLINK("https://commons.wikimedia.org/wiki/User:" &amp; ENCODEURL("Lualollipop"), "Lualollipop")</f>
        <v>Lualollipop</v>
      </c>
      <c r="B582" s="11" t="s">
        <v>1274</v>
      </c>
      <c r="C582" s="12">
        <v>46200.608622685184</v>
      </c>
      <c r="D582" s="11" t="s">
        <v>1275</v>
      </c>
      <c r="E582" s="14" t="s">
        <v>29</v>
      </c>
      <c r="F582" s="14" t="s">
        <v>30</v>
      </c>
      <c r="G582" s="15" t="s">
        <v>17</v>
      </c>
      <c r="H582" s="15" t="s">
        <v>18</v>
      </c>
      <c r="I582" s="14" t="str">
        <f>IMAGE("https://upload.wikimedia.org/wikipedia/commons/1/1c/Covarach%C3%ADa%2C_Boyac%C3%A1.jpg")</f>
        <v/>
      </c>
    </row>
    <row r="583" ht="36.0" customHeight="1">
      <c r="A583" s="16" t="str">
        <f t="shared" si="90"/>
        <v>Lualollipop</v>
      </c>
      <c r="B583" s="17" t="s">
        <v>1276</v>
      </c>
      <c r="C583" s="18">
        <v>46200.60865740741</v>
      </c>
      <c r="D583" s="17" t="s">
        <v>1277</v>
      </c>
      <c r="E583" s="19" t="s">
        <v>29</v>
      </c>
      <c r="F583" s="19" t="s">
        <v>30</v>
      </c>
      <c r="G583" s="20" t="s">
        <v>17</v>
      </c>
      <c r="H583" s="20" t="s">
        <v>18</v>
      </c>
      <c r="I583" s="19" t="str">
        <f>IMAGE("https://upload.wikimedia.org/wikipedia/commons/7/7c/Covarach%C3%ADa%2C_Boyac%C3%A1_%2C_2025.jpg")</f>
        <v/>
      </c>
    </row>
    <row r="584" ht="36.0" customHeight="1">
      <c r="A584" s="10" t="str">
        <f>HYPERLINK("https://commons.wikimedia.org/wiki/User:" &amp; ENCODEURL("Supertita"), "Supertita")</f>
        <v>Supertita</v>
      </c>
      <c r="B584" s="11" t="s">
        <v>1278</v>
      </c>
      <c r="C584" s="12">
        <v>46192.65467592593</v>
      </c>
      <c r="D584" s="11" t="s">
        <v>1279</v>
      </c>
      <c r="E584" s="14" t="s">
        <v>249</v>
      </c>
      <c r="F584" s="15" t="s">
        <v>16</v>
      </c>
      <c r="G584" s="15" t="s">
        <v>17</v>
      </c>
      <c r="H584" s="15" t="s">
        <v>18</v>
      </c>
      <c r="I584" s="14" t="str">
        <f>IMAGE("https://upload.wikimedia.org/wikipedia/commons/9/9f/Crab_claw%2C_hanging_lobster-claws%2C_hanging_parrot%E2%80%99s_beak%2C_lobster_claw%2C_parrot%E2%80%99s_beak_heliconia.jpg")</f>
        <v/>
      </c>
    </row>
    <row r="585" ht="36.0" customHeight="1">
      <c r="A585" s="16" t="str">
        <f t="shared" ref="A585:A586" si="91">HYPERLINK("https://commons.wikimedia.org/wiki/User:" &amp; ENCODEURL("Jukaper23"), "Jukaper23")</f>
        <v>Jukaper23</v>
      </c>
      <c r="B585" s="17" t="s">
        <v>1280</v>
      </c>
      <c r="C585" s="18">
        <v>46201.53685185185</v>
      </c>
      <c r="D585" s="17" t="s">
        <v>1281</v>
      </c>
      <c r="E585" s="19" t="s">
        <v>29</v>
      </c>
      <c r="F585" s="19" t="s">
        <v>30</v>
      </c>
      <c r="G585" s="20" t="s">
        <v>17</v>
      </c>
      <c r="H585" s="20" t="s">
        <v>18</v>
      </c>
      <c r="I585" s="19" t="str">
        <f>IMAGE("https://upload.wikimedia.org/wikipedia/commons/4/49/Cracker_butterfly_2026-05-23.jpg")</f>
        <v/>
      </c>
    </row>
    <row r="586" ht="36.0" customHeight="1">
      <c r="A586" s="10" t="str">
        <f t="shared" si="91"/>
        <v>Jukaper23</v>
      </c>
      <c r="B586" s="11" t="s">
        <v>1282</v>
      </c>
      <c r="C586" s="12">
        <v>46201.53695601852</v>
      </c>
      <c r="D586" s="11" t="s">
        <v>1283</v>
      </c>
      <c r="E586" s="14" t="s">
        <v>29</v>
      </c>
      <c r="F586" s="14" t="s">
        <v>30</v>
      </c>
      <c r="G586" s="15" t="s">
        <v>17</v>
      </c>
      <c r="H586" s="15" t="s">
        <v>18</v>
      </c>
      <c r="I586" s="14" t="str">
        <f>IMAGE("https://upload.wikimedia.org/wikipedia/commons/9/92/Crepuscular_rays_2026-06-26.jpg")</f>
        <v/>
      </c>
    </row>
    <row r="587" ht="36.0" customHeight="1">
      <c r="A587" s="16" t="str">
        <f>HYPERLINK("https://commons.wikimedia.org/wiki/User:" &amp; ENCODEURL("Halleyuncometafotografo"), "Halleyuncometafotografo")</f>
        <v>Halleyuncometafotografo</v>
      </c>
      <c r="B587" s="17" t="s">
        <v>1284</v>
      </c>
      <c r="C587" s="18">
        <v>46203.89854166667</v>
      </c>
      <c r="D587" s="17" t="s">
        <v>1285</v>
      </c>
      <c r="E587" s="19" t="s">
        <v>29</v>
      </c>
      <c r="F587" s="19" t="s">
        <v>30</v>
      </c>
      <c r="G587" s="20" t="s">
        <v>17</v>
      </c>
      <c r="H587" s="20" t="s">
        <v>18</v>
      </c>
      <c r="I587" s="19" t="str">
        <f>IMAGE("https://upload.wikimedia.org/wikipedia/commons/1/13/Crep%C3%BAsculo_entre_cordilleras.jpg")</f>
        <v/>
      </c>
    </row>
    <row r="588" ht="36.0" customHeight="1">
      <c r="A588" s="10" t="str">
        <f>HYPERLINK("https://commons.wikimedia.org/wiki/User:" &amp; ENCODEURL("Charlesjsharp"), "Charlesjsharp")</f>
        <v>Charlesjsharp</v>
      </c>
      <c r="B588" s="11" t="s">
        <v>1286</v>
      </c>
      <c r="C588" s="12">
        <v>46171.6169212963</v>
      </c>
      <c r="D588" s="11" t="s">
        <v>1287</v>
      </c>
      <c r="E588" s="14" t="s">
        <v>554</v>
      </c>
      <c r="F588" s="15" t="s">
        <v>16</v>
      </c>
      <c r="G588" s="15" t="s">
        <v>17</v>
      </c>
      <c r="H588" s="15" t="s">
        <v>18</v>
      </c>
      <c r="I588" s="14" t="str">
        <f>IMAGE("https://upload.wikimedia.org/wikipedia/commons/9/9a/Crescent-faced_antpitta_%28Grallaricula_lineifrons%29_Caldas_2.jpg")</f>
        <v/>
      </c>
    </row>
    <row r="589" ht="36.0" customHeight="1">
      <c r="A589" s="16" t="str">
        <f>HYPERLINK("https://commons.wikimedia.org/wiki/User:" &amp; ENCODEURL("Supertita"), "Supertita")</f>
        <v>Supertita</v>
      </c>
      <c r="B589" s="17" t="s">
        <v>1288</v>
      </c>
      <c r="C589" s="18">
        <v>46192.75493055556</v>
      </c>
      <c r="D589" s="17" t="s">
        <v>1168</v>
      </c>
      <c r="E589" s="19" t="s">
        <v>446</v>
      </c>
      <c r="F589" s="20" t="s">
        <v>16</v>
      </c>
      <c r="G589" s="20" t="s">
        <v>17</v>
      </c>
      <c r="H589" s="20" t="s">
        <v>18</v>
      </c>
      <c r="I589" s="19" t="str">
        <f>IMAGE("https://upload.wikimedia.org/wikipedia/commons/6/61/Crimson-backed_Tanager.jpg")</f>
        <v/>
      </c>
    </row>
    <row r="590" ht="36.0" customHeight="1">
      <c r="A590" s="10" t="str">
        <f>HYPERLINK("https://commons.wikimedia.org/wiki/User:" &amp; ENCODEURL("Rodrigomacrophoto"), "Rodrigomacrophoto")</f>
        <v>Rodrigomacrophoto</v>
      </c>
      <c r="B590" s="11" t="s">
        <v>1289</v>
      </c>
      <c r="C590" s="12">
        <v>46196.611863425926</v>
      </c>
      <c r="D590" s="11" t="s">
        <v>1290</v>
      </c>
      <c r="E590" s="14" t="s">
        <v>44</v>
      </c>
      <c r="F590" s="15" t="s">
        <v>16</v>
      </c>
      <c r="G590" s="15" t="s">
        <v>17</v>
      </c>
      <c r="H590" s="15" t="s">
        <v>18</v>
      </c>
      <c r="I590" s="14" t="str">
        <f>IMAGE("https://upload.wikimedia.org/wikipedia/commons/2/23/Crisopa_verde_reposando_en_una_rama.jpg")</f>
        <v/>
      </c>
    </row>
    <row r="591" ht="36.0" customHeight="1">
      <c r="A591" s="16" t="str">
        <f>HYPERLINK("https://commons.wikimedia.org/wiki/User:" &amp; ENCODEURL("Peperomia11"), "Peperomia11")</f>
        <v>Peperomia11</v>
      </c>
      <c r="B591" s="17" t="s">
        <v>1291</v>
      </c>
      <c r="C591" s="18">
        <v>46202.56010416667</v>
      </c>
      <c r="D591" s="17" t="s">
        <v>1292</v>
      </c>
      <c r="E591" s="19" t="s">
        <v>29</v>
      </c>
      <c r="F591" s="19" t="s">
        <v>30</v>
      </c>
      <c r="G591" s="20" t="s">
        <v>17</v>
      </c>
      <c r="H591" s="20" t="s">
        <v>18</v>
      </c>
      <c r="I591" s="19" t="str">
        <f>IMAGE("https://upload.wikimedia.org/wikipedia/commons/3/36/Crocosmia_20260529_091535.jpg")</f>
        <v/>
      </c>
    </row>
    <row r="592" ht="36.0" customHeight="1">
      <c r="A592" s="10" t="str">
        <f>HYPERLINK("https://commons.wikimedia.org/wiki/User:" &amp; ENCODEURL("JuanitoCISF"), "JuanitoCISF")</f>
        <v>JuanitoCISF</v>
      </c>
      <c r="B592" s="11" t="s">
        <v>1293</v>
      </c>
      <c r="C592" s="12">
        <v>46170.45263888889</v>
      </c>
      <c r="D592" s="11" t="s">
        <v>1294</v>
      </c>
      <c r="E592" s="14" t="s">
        <v>29</v>
      </c>
      <c r="F592" s="14" t="s">
        <v>30</v>
      </c>
      <c r="G592" s="15" t="s">
        <v>17</v>
      </c>
      <c r="H592" s="15" t="s">
        <v>18</v>
      </c>
      <c r="I592" s="14" t="str">
        <f>IMAGE("https://upload.wikimedia.org/wikipedia/commons/2/23/Cr%C3%A1ter_de_erupci%C3%B3n_de_Armero.jpg")</f>
        <v/>
      </c>
    </row>
    <row r="593" ht="36.0" customHeight="1">
      <c r="A593" s="16" t="str">
        <f>HYPERLINK("https://commons.wikimedia.org/wiki/User:" &amp; ENCODEURL("Willandre1194"), "Willandre1194")</f>
        <v>Willandre1194</v>
      </c>
      <c r="B593" s="17" t="s">
        <v>1295</v>
      </c>
      <c r="C593" s="18">
        <v>46155.66100694444</v>
      </c>
      <c r="D593" s="17" t="s">
        <v>1296</v>
      </c>
      <c r="E593" s="19" t="s">
        <v>29</v>
      </c>
      <c r="F593" s="19" t="s">
        <v>30</v>
      </c>
      <c r="G593" s="20" t="s">
        <v>17</v>
      </c>
      <c r="H593" s="20" t="s">
        <v>18</v>
      </c>
      <c r="I593" s="19" t="str">
        <f>IMAGE("https://upload.wikimedia.org/wikipedia/commons/b/b2/Cr%C3%A1ter_del_Volc%C3%A1n_Purac%C3%A9.jpg")</f>
        <v/>
      </c>
    </row>
    <row r="594" ht="36.0" customHeight="1">
      <c r="A594" s="10" t="str">
        <f>HYPERLINK("https://commons.wikimedia.org/wiki/User:" &amp; ENCODEURL("Juli 2000 her"), "Juli 2000 her")</f>
        <v>Juli 2000 her</v>
      </c>
      <c r="B594" s="11" t="s">
        <v>1297</v>
      </c>
      <c r="C594" s="12">
        <v>46189.05412037037</v>
      </c>
      <c r="D594" s="11" t="s">
        <v>1298</v>
      </c>
      <c r="E594" s="14" t="s">
        <v>29</v>
      </c>
      <c r="F594" s="14" t="s">
        <v>30</v>
      </c>
      <c r="G594" s="15" t="s">
        <v>17</v>
      </c>
      <c r="H594" s="15" t="s">
        <v>18</v>
      </c>
      <c r="I594" s="14" t="str">
        <f>IMAGE("https://upload.wikimedia.org/wikipedia/commons/8/84/Cr%C3%ADa_de_pato_paramuno_%28Anas_andium%29_en_el_Parque_Nacional_Natural_Chingaza%2C_Colombia.jpg")</f>
        <v/>
      </c>
    </row>
    <row r="595" ht="36.0" customHeight="1">
      <c r="A595" s="16" t="str">
        <f>HYPERLINK("https://commons.wikimedia.org/wiki/User:" &amp; ENCODEURL("Romauribe"), "Romauribe")</f>
        <v>Romauribe</v>
      </c>
      <c r="B595" s="17" t="s">
        <v>1299</v>
      </c>
      <c r="C595" s="18">
        <v>46181.48056712963</v>
      </c>
      <c r="D595" s="17" t="s">
        <v>1300</v>
      </c>
      <c r="E595" s="19" t="s">
        <v>1301</v>
      </c>
      <c r="F595" s="20" t="s">
        <v>16</v>
      </c>
      <c r="G595" s="20" t="s">
        <v>17</v>
      </c>
      <c r="H595" s="20" t="s">
        <v>18</v>
      </c>
      <c r="I595" s="19" t="str">
        <f>IMAGE("https://upload.wikimedia.org/wikipedia/commons/8/80/Cr%C3%ADas_de_Colibr%C3%AD_coruscans_-_Colibr%C3%AD_chill%C3%B3n%2C_Bogot%C3%A1%2C_Colombia.jpg")</f>
        <v/>
      </c>
    </row>
    <row r="596" ht="36.0" customHeight="1">
      <c r="A596" s="10" t="str">
        <f>HYPERLINK("https://commons.wikimedia.org/wiki/User:" &amp; ENCODEURL("LentedeBerilo"), "LentedeBerilo")</f>
        <v>LentedeBerilo</v>
      </c>
      <c r="B596" s="11" t="s">
        <v>1302</v>
      </c>
      <c r="C596" s="12">
        <v>46190.74186342592</v>
      </c>
      <c r="D596" s="11" t="s">
        <v>1303</v>
      </c>
      <c r="E596" s="14" t="s">
        <v>1304</v>
      </c>
      <c r="F596" s="15" t="s">
        <v>16</v>
      </c>
      <c r="G596" s="15" t="s">
        <v>17</v>
      </c>
      <c r="H596" s="15" t="s">
        <v>18</v>
      </c>
      <c r="I596" s="14" t="str">
        <f>IMAGE("https://upload.wikimedia.org/wikipedia/commons/9/97/Cuando_la_cordillera_se_une_con_el_azul_de_la_bandera.jpg")</f>
        <v/>
      </c>
    </row>
    <row r="597" ht="36.0" customHeight="1">
      <c r="A597" s="16" t="str">
        <f>HYPERLINK("https://commons.wikimedia.org/wiki/User:" &amp; ENCODEURL("Nathaly 1106"), "Nathaly 1106")</f>
        <v>Nathaly 1106</v>
      </c>
      <c r="B597" s="17" t="s">
        <v>1305</v>
      </c>
      <c r="C597" s="18">
        <v>46147.671111111114</v>
      </c>
      <c r="D597" s="17" t="s">
        <v>1306</v>
      </c>
      <c r="E597" s="19" t="s">
        <v>29</v>
      </c>
      <c r="F597" s="19" t="s">
        <v>30</v>
      </c>
      <c r="G597" s="20" t="s">
        <v>17</v>
      </c>
      <c r="H597" s="20" t="s">
        <v>18</v>
      </c>
      <c r="I597" s="19" t="str">
        <f>IMAGE("https://upload.wikimedia.org/wikipedia/commons/2/2e/Cucharo_%28Primulaceae%29.jpg")</f>
        <v/>
      </c>
    </row>
    <row r="598" ht="36.0" customHeight="1">
      <c r="A598" s="10" t="str">
        <f>HYPERLINK("https://commons.wikimedia.org/wiki/User:" &amp; ENCODEURL("Reduvida3"), "Reduvida3")</f>
        <v>Reduvida3</v>
      </c>
      <c r="B598" s="11" t="s">
        <v>1307</v>
      </c>
      <c r="C598" s="12">
        <v>46182.654016203705</v>
      </c>
      <c r="D598" s="11" t="s">
        <v>1308</v>
      </c>
      <c r="E598" s="14" t="s">
        <v>29</v>
      </c>
      <c r="F598" s="14" t="s">
        <v>30</v>
      </c>
      <c r="G598" s="15" t="s">
        <v>17</v>
      </c>
      <c r="H598" s="15" t="s">
        <v>18</v>
      </c>
      <c r="I598" s="14" t="str">
        <f>IMAGE("https://upload.wikimedia.org/wikipedia/commons/9/96/Cuchilla_de_San_Lorenzo%2C_Sierra_Nevada_de_Santa_Marta%2C_Magdalena%2C_Colombia.jpg")</f>
        <v/>
      </c>
    </row>
    <row r="599" ht="36.0" customHeight="1">
      <c r="A599" s="16" t="str">
        <f>HYPERLINK("https://commons.wikimedia.org/wiki/User:" &amp; ENCODEURL("Adrianava.yviene"), "Adrianava.yviene")</f>
        <v>Adrianava.yviene</v>
      </c>
      <c r="B599" s="17" t="s">
        <v>1309</v>
      </c>
      <c r="C599" s="18">
        <v>46198.55798611111</v>
      </c>
      <c r="D599" s="17" t="s">
        <v>1310</v>
      </c>
      <c r="E599" s="19" t="s">
        <v>29</v>
      </c>
      <c r="F599" s="19" t="s">
        <v>30</v>
      </c>
      <c r="G599" s="20" t="s">
        <v>17</v>
      </c>
      <c r="H599" s="20" t="s">
        <v>18</v>
      </c>
      <c r="I599" s="19" t="str">
        <f>IMAGE("https://upload.wikimedia.org/wikipedia/commons/d/d9/Cuchillas_de_la_Oriental.jpg")</f>
        <v/>
      </c>
    </row>
    <row r="600" ht="36.0" customHeight="1">
      <c r="A600" s="10" t="str">
        <f t="shared" ref="A600:A601" si="92">HYPERLINK("https://commons.wikimedia.org/wiki/User:" &amp; ENCODEURL("AmiGueko"), "AmiGueko")</f>
        <v>AmiGueko</v>
      </c>
      <c r="B600" s="11" t="s">
        <v>1311</v>
      </c>
      <c r="C600" s="12">
        <v>46201.704733796294</v>
      </c>
      <c r="D600" s="11" t="s">
        <v>1312</v>
      </c>
      <c r="E600" s="14" t="s">
        <v>1313</v>
      </c>
      <c r="F600" s="15" t="s">
        <v>16</v>
      </c>
      <c r="G600" s="15" t="s">
        <v>17</v>
      </c>
      <c r="H600" s="15" t="s">
        <v>18</v>
      </c>
      <c r="I600" s="14" t="str">
        <f>IMAGE("https://upload.wikimedia.org/wikipedia/commons/5/53/Cuc%C3%BA_ardilla.jpg")</f>
        <v/>
      </c>
    </row>
    <row r="601" ht="36.0" customHeight="1">
      <c r="A601" s="16" t="str">
        <f t="shared" si="92"/>
        <v>AmiGueko</v>
      </c>
      <c r="B601" s="17" t="s">
        <v>1314</v>
      </c>
      <c r="C601" s="18">
        <v>46201.70685185185</v>
      </c>
      <c r="D601" s="17" t="s">
        <v>1312</v>
      </c>
      <c r="E601" s="19" t="s">
        <v>1315</v>
      </c>
      <c r="F601" s="20" t="s">
        <v>16</v>
      </c>
      <c r="G601" s="20" t="s">
        <v>17</v>
      </c>
      <c r="H601" s="20" t="s">
        <v>18</v>
      </c>
      <c r="I601" s="19" t="str">
        <f>IMAGE("https://upload.wikimedia.org/wikipedia/commons/7/77/Cuc%C3%BA_ardilla_se_posa_en_un_%C3%A1rbol.jpg")</f>
        <v/>
      </c>
    </row>
    <row r="602" ht="36.0" customHeight="1">
      <c r="A602" s="10" t="str">
        <f t="shared" ref="A602:A644" si="93">HYPERLINK("https://commons.wikimedia.org/wiki/User:" &amp; ENCODEURL("Herme Cantero"), "Herme Cantero")</f>
        <v>Herme Cantero</v>
      </c>
      <c r="B602" s="11" t="s">
        <v>1316</v>
      </c>
      <c r="C602" s="12">
        <v>46149.9552662037</v>
      </c>
      <c r="D602" s="11" t="s">
        <v>1317</v>
      </c>
      <c r="E602" s="14" t="s">
        <v>1318</v>
      </c>
      <c r="F602" s="15" t="s">
        <v>16</v>
      </c>
      <c r="G602" s="15" t="s">
        <v>17</v>
      </c>
      <c r="H602" s="15" t="s">
        <v>18</v>
      </c>
      <c r="I602" s="14" t="str">
        <f>IMAGE("https://upload.wikimedia.org/wikipedia/commons/7/70/Cuenca_Alta_y_Media_del_R%C3%ADo_In%C3%ADrida%2C_Guain%C3%ADa.jpg_01.jpg")</f>
        <v/>
      </c>
    </row>
    <row r="603" ht="36.0" customHeight="1">
      <c r="A603" s="16" t="str">
        <f t="shared" si="93"/>
        <v>Herme Cantero</v>
      </c>
      <c r="B603" s="17" t="s">
        <v>1319</v>
      </c>
      <c r="C603" s="18">
        <v>46149.9552662037</v>
      </c>
      <c r="D603" s="17" t="s">
        <v>1317</v>
      </c>
      <c r="E603" s="19" t="s">
        <v>29</v>
      </c>
      <c r="F603" s="19" t="s">
        <v>30</v>
      </c>
      <c r="G603" s="20" t="s">
        <v>17</v>
      </c>
      <c r="H603" s="20" t="s">
        <v>18</v>
      </c>
      <c r="I603" s="19" t="str">
        <f>IMAGE("https://upload.wikimedia.org/wikipedia/commons/c/c0/Cuenca_Media_del_R%C3%ADo_In%C3%ADrida%2C_Guain%C3%ADa.jpg_02.jpg")</f>
        <v/>
      </c>
    </row>
    <row r="604" ht="36.0" customHeight="1">
      <c r="A604" s="10" t="str">
        <f t="shared" si="93"/>
        <v>Herme Cantero</v>
      </c>
      <c r="B604" s="11" t="s">
        <v>1320</v>
      </c>
      <c r="C604" s="12">
        <v>46149.9552662037</v>
      </c>
      <c r="D604" s="11" t="s">
        <v>1317</v>
      </c>
      <c r="E604" s="14" t="s">
        <v>29</v>
      </c>
      <c r="F604" s="14" t="s">
        <v>30</v>
      </c>
      <c r="G604" s="15" t="s">
        <v>17</v>
      </c>
      <c r="H604" s="15" t="s">
        <v>18</v>
      </c>
      <c r="I604" s="14" t="str">
        <f>IMAGE("https://upload.wikimedia.org/wikipedia/commons/5/58/Cuenca_Media_del_R%C3%ADo_In%C3%ADrida%2C_Guain%C3%ADa.jpg_03.jpg")</f>
        <v/>
      </c>
    </row>
    <row r="605" ht="36.0" customHeight="1">
      <c r="A605" s="16" t="str">
        <f t="shared" si="93"/>
        <v>Herme Cantero</v>
      </c>
      <c r="B605" s="17" t="s">
        <v>1321</v>
      </c>
      <c r="C605" s="18">
        <v>46149.955347222225</v>
      </c>
      <c r="D605" s="17" t="s">
        <v>1317</v>
      </c>
      <c r="E605" s="19" t="s">
        <v>29</v>
      </c>
      <c r="F605" s="19" t="s">
        <v>30</v>
      </c>
      <c r="G605" s="20" t="s">
        <v>17</v>
      </c>
      <c r="H605" s="20" t="s">
        <v>18</v>
      </c>
      <c r="I605" s="19" t="str">
        <f>IMAGE("https://upload.wikimedia.org/wikipedia/commons/5/51/Cuenca_Media_del_R%C3%ADo_In%C3%ADrida%2C_Guain%C3%ADa.jpg_04.jpg")</f>
        <v/>
      </c>
    </row>
    <row r="606" ht="36.0" customHeight="1">
      <c r="A606" s="10" t="str">
        <f t="shared" si="93"/>
        <v>Herme Cantero</v>
      </c>
      <c r="B606" s="11" t="s">
        <v>1322</v>
      </c>
      <c r="C606" s="12">
        <v>46149.9553125</v>
      </c>
      <c r="D606" s="11" t="s">
        <v>1317</v>
      </c>
      <c r="E606" s="14" t="s">
        <v>29</v>
      </c>
      <c r="F606" s="14" t="s">
        <v>30</v>
      </c>
      <c r="G606" s="15" t="s">
        <v>17</v>
      </c>
      <c r="H606" s="15" t="s">
        <v>18</v>
      </c>
      <c r="I606" s="14" t="str">
        <f>IMAGE("https://upload.wikimedia.org/wikipedia/commons/1/10/Cuenca_Media_del_R%C3%ADo_In%C3%ADrida%2C_Guain%C3%ADa.jpg_05.jpg")</f>
        <v/>
      </c>
    </row>
    <row r="607" ht="36.0" customHeight="1">
      <c r="A607" s="16" t="str">
        <f t="shared" si="93"/>
        <v>Herme Cantero</v>
      </c>
      <c r="B607" s="17" t="s">
        <v>1323</v>
      </c>
      <c r="C607" s="18">
        <v>46149.9553125</v>
      </c>
      <c r="D607" s="17" t="s">
        <v>1317</v>
      </c>
      <c r="E607" s="19" t="s">
        <v>29</v>
      </c>
      <c r="F607" s="19" t="s">
        <v>30</v>
      </c>
      <c r="G607" s="20" t="s">
        <v>17</v>
      </c>
      <c r="H607" s="20" t="s">
        <v>18</v>
      </c>
      <c r="I607" s="19" t="str">
        <f>IMAGE("https://upload.wikimedia.org/wikipedia/commons/a/ac/Cuenca_Media_del_R%C3%ADo_In%C3%ADrida%2C_Guain%C3%ADa.jpg_06.jpg")</f>
        <v/>
      </c>
    </row>
    <row r="608" ht="36.0" customHeight="1">
      <c r="A608" s="10" t="str">
        <f t="shared" si="93"/>
        <v>Herme Cantero</v>
      </c>
      <c r="B608" s="11" t="s">
        <v>1324</v>
      </c>
      <c r="C608" s="12">
        <v>46149.955347222225</v>
      </c>
      <c r="D608" s="11" t="s">
        <v>1317</v>
      </c>
      <c r="E608" s="14" t="s">
        <v>29</v>
      </c>
      <c r="F608" s="14" t="s">
        <v>30</v>
      </c>
      <c r="G608" s="15" t="s">
        <v>17</v>
      </c>
      <c r="H608" s="15" t="s">
        <v>18</v>
      </c>
      <c r="I608" s="14" t="str">
        <f>IMAGE("https://upload.wikimedia.org/wikipedia/commons/f/fa/Cuenca_Media_del_R%C3%ADo_In%C3%ADrida%2C_Guain%C3%ADa.jpg_07.jpg")</f>
        <v/>
      </c>
    </row>
    <row r="609" ht="36.0" customHeight="1">
      <c r="A609" s="16" t="str">
        <f t="shared" si="93"/>
        <v>Herme Cantero</v>
      </c>
      <c r="B609" s="17" t="s">
        <v>1325</v>
      </c>
      <c r="C609" s="18">
        <v>46149.955347222225</v>
      </c>
      <c r="D609" s="17" t="s">
        <v>1317</v>
      </c>
      <c r="E609" s="19" t="s">
        <v>29</v>
      </c>
      <c r="F609" s="19" t="s">
        <v>30</v>
      </c>
      <c r="G609" s="20" t="s">
        <v>17</v>
      </c>
      <c r="H609" s="20" t="s">
        <v>18</v>
      </c>
      <c r="I609" s="19" t="str">
        <f>IMAGE("https://upload.wikimedia.org/wikipedia/commons/c/c0/Cuenca_Media_del_R%C3%ADo_In%C3%ADrida%2C_Guain%C3%ADa.jpg_08.jpg")</f>
        <v/>
      </c>
    </row>
    <row r="610" ht="36.0" customHeight="1">
      <c r="A610" s="10" t="str">
        <f t="shared" si="93"/>
        <v>Herme Cantero</v>
      </c>
      <c r="B610" s="11" t="s">
        <v>1326</v>
      </c>
      <c r="C610" s="12">
        <v>46149.95538194444</v>
      </c>
      <c r="D610" s="11" t="s">
        <v>1317</v>
      </c>
      <c r="E610" s="14" t="s">
        <v>29</v>
      </c>
      <c r="F610" s="14" t="s">
        <v>30</v>
      </c>
      <c r="G610" s="15" t="s">
        <v>17</v>
      </c>
      <c r="H610" s="15" t="s">
        <v>18</v>
      </c>
      <c r="I610" s="14" t="str">
        <f>IMAGE("https://upload.wikimedia.org/wikipedia/commons/d/d8/Cuenca_Media_del_R%C3%ADo_In%C3%ADrida%2C_Guain%C3%ADa.jpg_09.jpg")</f>
        <v/>
      </c>
    </row>
    <row r="611" ht="36.0" customHeight="1">
      <c r="A611" s="16" t="str">
        <f t="shared" si="93"/>
        <v>Herme Cantero</v>
      </c>
      <c r="B611" s="17" t="s">
        <v>1327</v>
      </c>
      <c r="C611" s="18">
        <v>46149.95539351852</v>
      </c>
      <c r="D611" s="17" t="s">
        <v>1317</v>
      </c>
      <c r="E611" s="19" t="s">
        <v>29</v>
      </c>
      <c r="F611" s="19" t="s">
        <v>30</v>
      </c>
      <c r="G611" s="20" t="s">
        <v>17</v>
      </c>
      <c r="H611" s="20" t="s">
        <v>18</v>
      </c>
      <c r="I611" s="19" t="str">
        <f>IMAGE("https://upload.wikimedia.org/wikipedia/commons/f/f8/Cuenca_Media_del_R%C3%ADo_In%C3%ADrida%2C_Guain%C3%ADa.jpg_10.jpg")</f>
        <v/>
      </c>
    </row>
    <row r="612" ht="36.0" customHeight="1">
      <c r="A612" s="10" t="str">
        <f t="shared" si="93"/>
        <v>Herme Cantero</v>
      </c>
      <c r="B612" s="11" t="s">
        <v>1328</v>
      </c>
      <c r="C612" s="12">
        <v>46149.95539351852</v>
      </c>
      <c r="D612" s="11" t="s">
        <v>1317</v>
      </c>
      <c r="E612" s="14" t="s">
        <v>29</v>
      </c>
      <c r="F612" s="14" t="s">
        <v>30</v>
      </c>
      <c r="G612" s="15" t="s">
        <v>17</v>
      </c>
      <c r="H612" s="15" t="s">
        <v>18</v>
      </c>
      <c r="I612" s="14" t="str">
        <f>IMAGE("https://upload.wikimedia.org/wikipedia/commons/7/76/Cuenca_Media_del_R%C3%ADo_In%C3%ADrida%2C_Guain%C3%ADa.jpg_11.jpg")</f>
        <v/>
      </c>
    </row>
    <row r="613" ht="36.0" customHeight="1">
      <c r="A613" s="16" t="str">
        <f t="shared" si="93"/>
        <v>Herme Cantero</v>
      </c>
      <c r="B613" s="17" t="s">
        <v>1329</v>
      </c>
      <c r="C613" s="18">
        <v>46149.955416666664</v>
      </c>
      <c r="D613" s="17" t="s">
        <v>1317</v>
      </c>
      <c r="E613" s="19" t="s">
        <v>29</v>
      </c>
      <c r="F613" s="19" t="s">
        <v>30</v>
      </c>
      <c r="G613" s="20" t="s">
        <v>17</v>
      </c>
      <c r="H613" s="20" t="s">
        <v>18</v>
      </c>
      <c r="I613" s="19" t="str">
        <f>IMAGE("https://upload.wikimedia.org/wikipedia/commons/6/69/Cuenca_Media_del_R%C3%ADo_In%C3%ADrida%2C_Guain%C3%ADa.jpg_12.jpg")</f>
        <v/>
      </c>
    </row>
    <row r="614" ht="36.0" customHeight="1">
      <c r="A614" s="10" t="str">
        <f t="shared" si="93"/>
        <v>Herme Cantero</v>
      </c>
      <c r="B614" s="11" t="s">
        <v>1330</v>
      </c>
      <c r="C614" s="12">
        <v>46149.95542824074</v>
      </c>
      <c r="D614" s="11" t="s">
        <v>1317</v>
      </c>
      <c r="E614" s="14" t="s">
        <v>1331</v>
      </c>
      <c r="F614" s="15" t="s">
        <v>16</v>
      </c>
      <c r="G614" s="15" t="s">
        <v>17</v>
      </c>
      <c r="H614" s="15" t="s">
        <v>18</v>
      </c>
      <c r="I614" s="14" t="str">
        <f>IMAGE("https://upload.wikimedia.org/wikipedia/commons/c/ce/Cuenca_Media_del_R%C3%ADo_In%C3%ADrida%2C_Guain%C3%ADa.jpg_13.jpg")</f>
        <v/>
      </c>
    </row>
    <row r="615" ht="36.0" customHeight="1">
      <c r="A615" s="16" t="str">
        <f t="shared" si="93"/>
        <v>Herme Cantero</v>
      </c>
      <c r="B615" s="17" t="s">
        <v>1332</v>
      </c>
      <c r="C615" s="18">
        <v>46149.95543981482</v>
      </c>
      <c r="D615" s="17" t="s">
        <v>1317</v>
      </c>
      <c r="E615" s="19" t="s">
        <v>1333</v>
      </c>
      <c r="F615" s="20" t="s">
        <v>16</v>
      </c>
      <c r="G615" s="20" t="s">
        <v>17</v>
      </c>
      <c r="H615" s="20" t="s">
        <v>18</v>
      </c>
      <c r="I615" s="19" t="str">
        <f>IMAGE("https://upload.wikimedia.org/wikipedia/commons/2/28/Cuenca_Media_del_R%C3%ADo_In%C3%ADrida%2C_Guain%C3%ADa.jpg_14.jpg")</f>
        <v/>
      </c>
    </row>
    <row r="616" ht="36.0" customHeight="1">
      <c r="A616" s="10" t="str">
        <f t="shared" si="93"/>
        <v>Herme Cantero</v>
      </c>
      <c r="B616" s="11" t="s">
        <v>1334</v>
      </c>
      <c r="C616" s="12">
        <v>46149.95545138889</v>
      </c>
      <c r="D616" s="11" t="s">
        <v>1317</v>
      </c>
      <c r="E616" s="14" t="s">
        <v>1333</v>
      </c>
      <c r="F616" s="15" t="s">
        <v>16</v>
      </c>
      <c r="G616" s="15" t="s">
        <v>17</v>
      </c>
      <c r="H616" s="15" t="s">
        <v>18</v>
      </c>
      <c r="I616" s="14" t="str">
        <f>IMAGE("https://upload.wikimedia.org/wikipedia/commons/e/e0/Cuenca_Media_del_R%C3%ADo_In%C3%ADrida%2C_Guain%C3%ADa.jpg_15.jpg")</f>
        <v/>
      </c>
    </row>
    <row r="617" ht="36.0" customHeight="1">
      <c r="A617" s="16" t="str">
        <f t="shared" si="93"/>
        <v>Herme Cantero</v>
      </c>
      <c r="B617" s="17" t="s">
        <v>1335</v>
      </c>
      <c r="C617" s="18">
        <v>46149.955462962964</v>
      </c>
      <c r="D617" s="17" t="s">
        <v>1317</v>
      </c>
      <c r="E617" s="19" t="s">
        <v>1333</v>
      </c>
      <c r="F617" s="20" t="s">
        <v>16</v>
      </c>
      <c r="G617" s="20" t="s">
        <v>17</v>
      </c>
      <c r="H617" s="20" t="s">
        <v>18</v>
      </c>
      <c r="I617" s="19" t="str">
        <f>IMAGE("https://upload.wikimedia.org/wikipedia/commons/1/14/Cuenca_Media_del_R%C3%ADo_In%C3%ADrida%2C_Guain%C3%ADa.jpg_16.jpg")</f>
        <v/>
      </c>
    </row>
    <row r="618" ht="36.0" customHeight="1">
      <c r="A618" s="10" t="str">
        <f t="shared" si="93"/>
        <v>Herme Cantero</v>
      </c>
      <c r="B618" s="11" t="s">
        <v>1336</v>
      </c>
      <c r="C618" s="12">
        <v>46149.95547453704</v>
      </c>
      <c r="D618" s="11" t="s">
        <v>1317</v>
      </c>
      <c r="E618" s="14" t="s">
        <v>1333</v>
      </c>
      <c r="F618" s="15" t="s">
        <v>16</v>
      </c>
      <c r="G618" s="15" t="s">
        <v>17</v>
      </c>
      <c r="H618" s="15" t="s">
        <v>18</v>
      </c>
      <c r="I618" s="14" t="str">
        <f>IMAGE("https://upload.wikimedia.org/wikipedia/commons/6/69/Cuenca_Media_del_R%C3%ADo_In%C3%ADrida%2C_Guain%C3%ADa.jpg_17.jpg")</f>
        <v/>
      </c>
    </row>
    <row r="619" ht="36.0" customHeight="1">
      <c r="A619" s="16" t="str">
        <f t="shared" si="93"/>
        <v>Herme Cantero</v>
      </c>
      <c r="B619" s="17" t="s">
        <v>1337</v>
      </c>
      <c r="C619" s="18">
        <v>46149.955509259256</v>
      </c>
      <c r="D619" s="17" t="s">
        <v>1317</v>
      </c>
      <c r="E619" s="19" t="s">
        <v>1333</v>
      </c>
      <c r="F619" s="20" t="s">
        <v>16</v>
      </c>
      <c r="G619" s="20" t="s">
        <v>17</v>
      </c>
      <c r="H619" s="20" t="s">
        <v>18</v>
      </c>
      <c r="I619" s="19" t="str">
        <f>IMAGE("https://upload.wikimedia.org/wikipedia/commons/3/3a/Cuenca_Media_del_R%C3%ADo_In%C3%ADrida%2C_Guain%C3%ADa.jpg_18.jpg")</f>
        <v/>
      </c>
    </row>
    <row r="620" ht="36.0" customHeight="1">
      <c r="A620" s="10" t="str">
        <f t="shared" si="93"/>
        <v>Herme Cantero</v>
      </c>
      <c r="B620" s="11" t="s">
        <v>1338</v>
      </c>
      <c r="C620" s="12">
        <v>46149.955509259256</v>
      </c>
      <c r="D620" s="11" t="s">
        <v>1317</v>
      </c>
      <c r="E620" s="14" t="s">
        <v>1333</v>
      </c>
      <c r="F620" s="15" t="s">
        <v>16</v>
      </c>
      <c r="G620" s="15" t="s">
        <v>17</v>
      </c>
      <c r="H620" s="15" t="s">
        <v>18</v>
      </c>
      <c r="I620" s="14" t="str">
        <f>IMAGE("https://upload.wikimedia.org/wikipedia/commons/5/57/Cuenca_Media_del_R%C3%ADo_In%C3%ADrida%2C_Guain%C3%ADa.jpg_19.jpg")</f>
        <v/>
      </c>
    </row>
    <row r="621" ht="36.0" customHeight="1">
      <c r="A621" s="16" t="str">
        <f t="shared" si="93"/>
        <v>Herme Cantero</v>
      </c>
      <c r="B621" s="17" t="s">
        <v>1339</v>
      </c>
      <c r="C621" s="18">
        <v>46149.955509259256</v>
      </c>
      <c r="D621" s="17" t="s">
        <v>1317</v>
      </c>
      <c r="E621" s="19" t="s">
        <v>1333</v>
      </c>
      <c r="F621" s="20" t="s">
        <v>16</v>
      </c>
      <c r="G621" s="20" t="s">
        <v>17</v>
      </c>
      <c r="H621" s="20" t="s">
        <v>18</v>
      </c>
      <c r="I621" s="19" t="str">
        <f>IMAGE("https://upload.wikimedia.org/wikipedia/commons/8/87/Cuenca_Media_del_R%C3%ADo_In%C3%ADrida%2C_Guain%C3%ADa.jpg_20.jpg")</f>
        <v/>
      </c>
    </row>
    <row r="622" ht="36.0" customHeight="1">
      <c r="A622" s="10" t="str">
        <f t="shared" si="93"/>
        <v>Herme Cantero</v>
      </c>
      <c r="B622" s="11" t="s">
        <v>1340</v>
      </c>
      <c r="C622" s="12">
        <v>46149.955555555556</v>
      </c>
      <c r="D622" s="11" t="s">
        <v>1317</v>
      </c>
      <c r="E622" s="14" t="s">
        <v>1333</v>
      </c>
      <c r="F622" s="15" t="s">
        <v>16</v>
      </c>
      <c r="G622" s="15" t="s">
        <v>17</v>
      </c>
      <c r="H622" s="15" t="s">
        <v>18</v>
      </c>
      <c r="I622" s="14" t="str">
        <f>IMAGE("https://upload.wikimedia.org/wikipedia/commons/e/e6/Cuenca_Media_del_R%C3%ADo_In%C3%ADrida%2C_Guain%C3%ADa.jpg_21.jpg")</f>
        <v/>
      </c>
    </row>
    <row r="623" ht="36.0" customHeight="1">
      <c r="A623" s="16" t="str">
        <f t="shared" si="93"/>
        <v>Herme Cantero</v>
      </c>
      <c r="B623" s="17" t="s">
        <v>1341</v>
      </c>
      <c r="C623" s="18">
        <v>46149.955555555556</v>
      </c>
      <c r="D623" s="17" t="s">
        <v>1317</v>
      </c>
      <c r="E623" s="19" t="s">
        <v>1333</v>
      </c>
      <c r="F623" s="20" t="s">
        <v>16</v>
      </c>
      <c r="G623" s="20" t="s">
        <v>17</v>
      </c>
      <c r="H623" s="20" t="s">
        <v>18</v>
      </c>
      <c r="I623" s="19" t="str">
        <f>IMAGE("https://upload.wikimedia.org/wikipedia/commons/3/32/Cuenca_Media_del_R%C3%ADo_In%C3%ADrida%2C_Guain%C3%ADa.jpg_22.jpg")</f>
        <v/>
      </c>
    </row>
    <row r="624" ht="36.0" customHeight="1">
      <c r="A624" s="10" t="str">
        <f t="shared" si="93"/>
        <v>Herme Cantero</v>
      </c>
      <c r="B624" s="11" t="s">
        <v>1342</v>
      </c>
      <c r="C624" s="12">
        <v>46149.955555555556</v>
      </c>
      <c r="D624" s="11" t="s">
        <v>1317</v>
      </c>
      <c r="E624" s="14" t="s">
        <v>1333</v>
      </c>
      <c r="F624" s="15" t="s">
        <v>16</v>
      </c>
      <c r="G624" s="15" t="s">
        <v>17</v>
      </c>
      <c r="H624" s="15" t="s">
        <v>18</v>
      </c>
      <c r="I624" s="14" t="str">
        <f>IMAGE("https://upload.wikimedia.org/wikipedia/commons/f/fd/Cuenca_Media_del_R%C3%ADo_In%C3%ADrida%2C_Guain%C3%ADa.jpg_23.jpg")</f>
        <v/>
      </c>
    </row>
    <row r="625" ht="36.0" customHeight="1">
      <c r="A625" s="16" t="str">
        <f t="shared" si="93"/>
        <v>Herme Cantero</v>
      </c>
      <c r="B625" s="17" t="s">
        <v>1343</v>
      </c>
      <c r="C625" s="18">
        <v>46149.95559027778</v>
      </c>
      <c r="D625" s="17" t="s">
        <v>1317</v>
      </c>
      <c r="E625" s="19" t="s">
        <v>1333</v>
      </c>
      <c r="F625" s="20" t="s">
        <v>16</v>
      </c>
      <c r="G625" s="20" t="s">
        <v>17</v>
      </c>
      <c r="H625" s="20" t="s">
        <v>18</v>
      </c>
      <c r="I625" s="19" t="str">
        <f>IMAGE("https://upload.wikimedia.org/wikipedia/commons/1/15/Cuenca_Media_del_R%C3%ADo_In%C3%ADrida%2C_Guain%C3%ADa.jpg_24.jpg")</f>
        <v/>
      </c>
    </row>
    <row r="626" ht="36.0" customHeight="1">
      <c r="A626" s="10" t="str">
        <f t="shared" si="93"/>
        <v>Herme Cantero</v>
      </c>
      <c r="B626" s="11" t="s">
        <v>1344</v>
      </c>
      <c r="C626" s="12">
        <v>46149.95560185185</v>
      </c>
      <c r="D626" s="11" t="s">
        <v>1317</v>
      </c>
      <c r="E626" s="14" t="s">
        <v>1333</v>
      </c>
      <c r="F626" s="15" t="s">
        <v>16</v>
      </c>
      <c r="G626" s="15" t="s">
        <v>17</v>
      </c>
      <c r="H626" s="15" t="s">
        <v>18</v>
      </c>
      <c r="I626" s="14" t="str">
        <f>IMAGE("https://upload.wikimedia.org/wikipedia/commons/b/b1/Cuenca_Media_del_R%C3%ADo_In%C3%ADrida%2C_Guain%C3%ADa.jpg_25.jpg")</f>
        <v/>
      </c>
    </row>
    <row r="627" ht="36.0" customHeight="1">
      <c r="A627" s="16" t="str">
        <f t="shared" si="93"/>
        <v>Herme Cantero</v>
      </c>
      <c r="B627" s="17" t="s">
        <v>1345</v>
      </c>
      <c r="C627" s="18">
        <v>46149.955613425926</v>
      </c>
      <c r="D627" s="17" t="s">
        <v>1317</v>
      </c>
      <c r="E627" s="19" t="s">
        <v>1333</v>
      </c>
      <c r="F627" s="20" t="s">
        <v>16</v>
      </c>
      <c r="G627" s="20" t="s">
        <v>17</v>
      </c>
      <c r="H627" s="20" t="s">
        <v>18</v>
      </c>
      <c r="I627" s="19" t="str">
        <f>IMAGE("https://upload.wikimedia.org/wikipedia/commons/3/31/Cuenca_Media_del_R%C3%ADo_In%C3%ADrida%2C_Guain%C3%ADa.jpg_26.jpg")</f>
        <v/>
      </c>
    </row>
    <row r="628" ht="36.0" customHeight="1">
      <c r="A628" s="10" t="str">
        <f t="shared" si="93"/>
        <v>Herme Cantero</v>
      </c>
      <c r="B628" s="11" t="s">
        <v>1346</v>
      </c>
      <c r="C628" s="12">
        <v>46149.95563657407</v>
      </c>
      <c r="D628" s="11" t="s">
        <v>1317</v>
      </c>
      <c r="E628" s="14" t="s">
        <v>1333</v>
      </c>
      <c r="F628" s="15" t="s">
        <v>16</v>
      </c>
      <c r="G628" s="15" t="s">
        <v>17</v>
      </c>
      <c r="H628" s="15" t="s">
        <v>18</v>
      </c>
      <c r="I628" s="14" t="str">
        <f>IMAGE("https://upload.wikimedia.org/wikipedia/commons/e/e0/Cuenca_Media_del_R%C3%ADo_In%C3%ADrida%2C_Guain%C3%ADa.jpg_27.jpg")</f>
        <v/>
      </c>
    </row>
    <row r="629" ht="36.0" customHeight="1">
      <c r="A629" s="16" t="str">
        <f t="shared" si="93"/>
        <v>Herme Cantero</v>
      </c>
      <c r="B629" s="17" t="s">
        <v>1347</v>
      </c>
      <c r="C629" s="18">
        <v>46149.95563657407</v>
      </c>
      <c r="D629" s="17" t="s">
        <v>1317</v>
      </c>
      <c r="E629" s="19" t="s">
        <v>1333</v>
      </c>
      <c r="F629" s="20" t="s">
        <v>16</v>
      </c>
      <c r="G629" s="20" t="s">
        <v>17</v>
      </c>
      <c r="H629" s="20" t="s">
        <v>18</v>
      </c>
      <c r="I629" s="19" t="str">
        <f>IMAGE("https://upload.wikimedia.org/wikipedia/commons/6/61/Cuenca_Media_del_R%C3%ADo_In%C3%ADrida%2C_Guain%C3%ADa.jpg_28.jpg")</f>
        <v/>
      </c>
    </row>
    <row r="630" ht="36.0" customHeight="1">
      <c r="A630" s="10" t="str">
        <f t="shared" si="93"/>
        <v>Herme Cantero</v>
      </c>
      <c r="B630" s="11" t="s">
        <v>1348</v>
      </c>
      <c r="C630" s="12">
        <v>46149.95564814815</v>
      </c>
      <c r="D630" s="11" t="s">
        <v>1317</v>
      </c>
      <c r="E630" s="14" t="s">
        <v>1333</v>
      </c>
      <c r="F630" s="15" t="s">
        <v>16</v>
      </c>
      <c r="G630" s="15" t="s">
        <v>17</v>
      </c>
      <c r="H630" s="15" t="s">
        <v>18</v>
      </c>
      <c r="I630" s="14" t="str">
        <f>IMAGE("https://upload.wikimedia.org/wikipedia/commons/c/ce/Cuenca_Media_del_R%C3%ADo_In%C3%ADrida%2C_Guain%C3%ADa.jpg_29.jpg")</f>
        <v/>
      </c>
    </row>
    <row r="631" ht="36.0" customHeight="1">
      <c r="A631" s="16" t="str">
        <f t="shared" si="93"/>
        <v>Herme Cantero</v>
      </c>
      <c r="B631" s="17" t="s">
        <v>1349</v>
      </c>
      <c r="C631" s="18">
        <v>46149.955671296295</v>
      </c>
      <c r="D631" s="17" t="s">
        <v>1317</v>
      </c>
      <c r="E631" s="19" t="s">
        <v>1333</v>
      </c>
      <c r="F631" s="20" t="s">
        <v>16</v>
      </c>
      <c r="G631" s="20" t="s">
        <v>17</v>
      </c>
      <c r="H631" s="20" t="s">
        <v>18</v>
      </c>
      <c r="I631" s="19" t="str">
        <f>IMAGE("https://upload.wikimedia.org/wikipedia/commons/7/75/Cuenca_Media_del_R%C3%ADo_In%C3%ADrida%2C_Guain%C3%ADa.jpg_30.jpg")</f>
        <v/>
      </c>
    </row>
    <row r="632" ht="36.0" customHeight="1">
      <c r="A632" s="10" t="str">
        <f t="shared" si="93"/>
        <v>Herme Cantero</v>
      </c>
      <c r="B632" s="11" t="s">
        <v>1350</v>
      </c>
      <c r="C632" s="12">
        <v>46149.955671296295</v>
      </c>
      <c r="D632" s="11" t="s">
        <v>1317</v>
      </c>
      <c r="E632" s="14" t="s">
        <v>1333</v>
      </c>
      <c r="F632" s="15" t="s">
        <v>16</v>
      </c>
      <c r="G632" s="15" t="s">
        <v>17</v>
      </c>
      <c r="H632" s="15" t="s">
        <v>18</v>
      </c>
      <c r="I632" s="14" t="str">
        <f>IMAGE("https://upload.wikimedia.org/wikipedia/commons/7/7b/Cuenca_Media_del_R%C3%ADo_In%C3%ADrida%2C_Guain%C3%ADa.jpg_31.jpg")</f>
        <v/>
      </c>
    </row>
    <row r="633" ht="36.0" customHeight="1">
      <c r="A633" s="16" t="str">
        <f t="shared" si="93"/>
        <v>Herme Cantero</v>
      </c>
      <c r="B633" s="17" t="s">
        <v>1351</v>
      </c>
      <c r="C633" s="18">
        <v>46149.95569444444</v>
      </c>
      <c r="D633" s="17" t="s">
        <v>1317</v>
      </c>
      <c r="E633" s="19" t="s">
        <v>29</v>
      </c>
      <c r="F633" s="19" t="s">
        <v>30</v>
      </c>
      <c r="G633" s="20" t="s">
        <v>17</v>
      </c>
      <c r="H633" s="20" t="s">
        <v>18</v>
      </c>
      <c r="I633" s="19" t="str">
        <f>IMAGE("https://upload.wikimedia.org/wikipedia/commons/f/f5/Cuenca_Media_del_R%C3%ADo_In%C3%ADrida%2C_Guain%C3%ADa.jpg_32.jpg")</f>
        <v/>
      </c>
    </row>
    <row r="634" ht="36.0" customHeight="1">
      <c r="A634" s="10" t="str">
        <f t="shared" si="93"/>
        <v>Herme Cantero</v>
      </c>
      <c r="B634" s="11" t="s">
        <v>1352</v>
      </c>
      <c r="C634" s="12">
        <v>46149.955717592595</v>
      </c>
      <c r="D634" s="11" t="s">
        <v>1317</v>
      </c>
      <c r="E634" s="14" t="s">
        <v>1333</v>
      </c>
      <c r="F634" s="15" t="s">
        <v>16</v>
      </c>
      <c r="G634" s="15" t="s">
        <v>17</v>
      </c>
      <c r="H634" s="15" t="s">
        <v>18</v>
      </c>
      <c r="I634" s="14" t="str">
        <f>IMAGE("https://upload.wikimedia.org/wikipedia/commons/f/fa/Cuenca_Media_del_R%C3%ADo_In%C3%ADrida%2C_Guain%C3%ADa.jpg_33.jpg")</f>
        <v/>
      </c>
    </row>
    <row r="635" ht="36.0" customHeight="1">
      <c r="A635" s="16" t="str">
        <f t="shared" si="93"/>
        <v>Herme Cantero</v>
      </c>
      <c r="B635" s="17" t="s">
        <v>1353</v>
      </c>
      <c r="C635" s="18">
        <v>46149.955717592595</v>
      </c>
      <c r="D635" s="17" t="s">
        <v>1317</v>
      </c>
      <c r="E635" s="19" t="s">
        <v>1354</v>
      </c>
      <c r="F635" s="20" t="s">
        <v>16</v>
      </c>
      <c r="G635" s="20" t="s">
        <v>17</v>
      </c>
      <c r="H635" s="20" t="s">
        <v>18</v>
      </c>
      <c r="I635" s="19" t="str">
        <f>IMAGE("https://upload.wikimedia.org/wikipedia/commons/a/a7/Cuenca_Media_del_R%C3%ADo_In%C3%ADrida%2C_Guain%C3%ADa.jpg_34.jpg")</f>
        <v/>
      </c>
    </row>
    <row r="636" ht="36.0" customHeight="1">
      <c r="A636" s="10" t="str">
        <f t="shared" si="93"/>
        <v>Herme Cantero</v>
      </c>
      <c r="B636" s="11" t="s">
        <v>1355</v>
      </c>
      <c r="C636" s="12">
        <v>46149.955729166664</v>
      </c>
      <c r="D636" s="11" t="s">
        <v>1317</v>
      </c>
      <c r="E636" s="14" t="s">
        <v>1354</v>
      </c>
      <c r="F636" s="15" t="s">
        <v>16</v>
      </c>
      <c r="G636" s="15" t="s">
        <v>17</v>
      </c>
      <c r="H636" s="15" t="s">
        <v>18</v>
      </c>
      <c r="I636" s="14" t="str">
        <f>IMAGE("https://upload.wikimedia.org/wikipedia/commons/1/19/Cuenca_Media_del_R%C3%ADo_In%C3%ADrida%2C_Guain%C3%ADa.jpg_35.jpg")</f>
        <v/>
      </c>
    </row>
    <row r="637" ht="36.0" customHeight="1">
      <c r="A637" s="16" t="str">
        <f t="shared" si="93"/>
        <v>Herme Cantero</v>
      </c>
      <c r="B637" s="17" t="s">
        <v>1356</v>
      </c>
      <c r="C637" s="18">
        <v>46149.95575231482</v>
      </c>
      <c r="D637" s="17" t="s">
        <v>1317</v>
      </c>
      <c r="E637" s="19" t="s">
        <v>1354</v>
      </c>
      <c r="F637" s="20" t="s">
        <v>16</v>
      </c>
      <c r="G637" s="20" t="s">
        <v>17</v>
      </c>
      <c r="H637" s="20" t="s">
        <v>18</v>
      </c>
      <c r="I637" s="19" t="str">
        <f>IMAGE("https://upload.wikimedia.org/wikipedia/commons/a/a8/Cuenca_Media_del_R%C3%ADo_In%C3%ADrida%2C_Guain%C3%ADa.jpg_36.jpg")</f>
        <v/>
      </c>
    </row>
    <row r="638" ht="36.0" customHeight="1">
      <c r="A638" s="10" t="str">
        <f t="shared" si="93"/>
        <v>Herme Cantero</v>
      </c>
      <c r="B638" s="11" t="s">
        <v>1357</v>
      </c>
      <c r="C638" s="12">
        <v>46149.95576388889</v>
      </c>
      <c r="D638" s="11" t="s">
        <v>1317</v>
      </c>
      <c r="E638" s="14" t="s">
        <v>1354</v>
      </c>
      <c r="F638" s="15" t="s">
        <v>16</v>
      </c>
      <c r="G638" s="15" t="s">
        <v>17</v>
      </c>
      <c r="H638" s="15" t="s">
        <v>18</v>
      </c>
      <c r="I638" s="14" t="str">
        <f>IMAGE("https://upload.wikimedia.org/wikipedia/commons/9/9f/Cuenca_Media_del_R%C3%ADo_In%C3%ADrida%2C_Guain%C3%ADa.jpg_37.jpg")</f>
        <v/>
      </c>
    </row>
    <row r="639" ht="36.0" customHeight="1">
      <c r="A639" s="16" t="str">
        <f t="shared" si="93"/>
        <v>Herme Cantero</v>
      </c>
      <c r="B639" s="17" t="s">
        <v>1358</v>
      </c>
      <c r="C639" s="18">
        <v>46149.95578703703</v>
      </c>
      <c r="D639" s="17" t="s">
        <v>1317</v>
      </c>
      <c r="E639" s="19" t="s">
        <v>1354</v>
      </c>
      <c r="F639" s="20" t="s">
        <v>16</v>
      </c>
      <c r="G639" s="20" t="s">
        <v>17</v>
      </c>
      <c r="H639" s="20" t="s">
        <v>18</v>
      </c>
      <c r="I639" s="19" t="str">
        <f>IMAGE("https://upload.wikimedia.org/wikipedia/commons/8/8f/Cuenca_Media_del_R%C3%ADo_In%C3%ADrida%2C_Guain%C3%ADa.jpg_38.jpg")</f>
        <v/>
      </c>
    </row>
    <row r="640" ht="36.0" customHeight="1">
      <c r="A640" s="10" t="str">
        <f t="shared" si="93"/>
        <v>Herme Cantero</v>
      </c>
      <c r="B640" s="11" t="s">
        <v>1359</v>
      </c>
      <c r="C640" s="12">
        <v>46149.95578703703</v>
      </c>
      <c r="D640" s="11" t="s">
        <v>1317</v>
      </c>
      <c r="E640" s="14" t="s">
        <v>1360</v>
      </c>
      <c r="F640" s="15" t="s">
        <v>16</v>
      </c>
      <c r="G640" s="15" t="s">
        <v>17</v>
      </c>
      <c r="H640" s="15" t="s">
        <v>18</v>
      </c>
      <c r="I640" s="14" t="str">
        <f>IMAGE("https://upload.wikimedia.org/wikipedia/commons/f/f4/Cuenca_Media_del_R%C3%ADo_In%C3%ADrida%2C_Guain%C3%ADa.jpg_39.jpg")</f>
        <v/>
      </c>
    </row>
    <row r="641" ht="36.0" customHeight="1">
      <c r="A641" s="16" t="str">
        <f t="shared" si="93"/>
        <v>Herme Cantero</v>
      </c>
      <c r="B641" s="17" t="s">
        <v>1361</v>
      </c>
      <c r="C641" s="18">
        <v>46149.95579861111</v>
      </c>
      <c r="D641" s="17" t="s">
        <v>1317</v>
      </c>
      <c r="E641" s="19" t="s">
        <v>29</v>
      </c>
      <c r="F641" s="19" t="s">
        <v>30</v>
      </c>
      <c r="G641" s="20" t="s">
        <v>17</v>
      </c>
      <c r="H641" s="20" t="s">
        <v>18</v>
      </c>
      <c r="I641" s="19" t="str">
        <f>IMAGE("https://upload.wikimedia.org/wikipedia/commons/8/80/Cuenca_Media_del_R%C3%ADo_In%C3%ADrida%2C_Guain%C3%ADa.jpg_40.jpg")</f>
        <v/>
      </c>
    </row>
    <row r="642" ht="36.0" customHeight="1">
      <c r="A642" s="10" t="str">
        <f t="shared" si="93"/>
        <v>Herme Cantero</v>
      </c>
      <c r="B642" s="11" t="s">
        <v>1362</v>
      </c>
      <c r="C642" s="12">
        <v>46149.95583333333</v>
      </c>
      <c r="D642" s="11" t="s">
        <v>1317</v>
      </c>
      <c r="E642" s="14" t="s">
        <v>1363</v>
      </c>
      <c r="F642" s="15" t="s">
        <v>16</v>
      </c>
      <c r="G642" s="15" t="s">
        <v>17</v>
      </c>
      <c r="H642" s="15" t="s">
        <v>18</v>
      </c>
      <c r="I642" s="14" t="str">
        <f>IMAGE("https://upload.wikimedia.org/wikipedia/commons/0/0f/Cuenca_Media_del_R%C3%ADo_In%C3%ADrida%2C_Guain%C3%ADa.jpg_41.jpg")</f>
        <v/>
      </c>
    </row>
    <row r="643" ht="36.0" customHeight="1">
      <c r="A643" s="16" t="str">
        <f t="shared" si="93"/>
        <v>Herme Cantero</v>
      </c>
      <c r="B643" s="17" t="s">
        <v>1364</v>
      </c>
      <c r="C643" s="18">
        <v>46149.95582175926</v>
      </c>
      <c r="D643" s="17" t="s">
        <v>1317</v>
      </c>
      <c r="E643" s="19" t="s">
        <v>1363</v>
      </c>
      <c r="F643" s="20" t="s">
        <v>16</v>
      </c>
      <c r="G643" s="20" t="s">
        <v>17</v>
      </c>
      <c r="H643" s="20" t="s">
        <v>18</v>
      </c>
      <c r="I643" s="19" t="str">
        <f>IMAGE("https://upload.wikimedia.org/wikipedia/commons/c/c3/Cuenca_Media_del_R%C3%ADo_In%C3%ADrida%2C_Guain%C3%ADa.jpg_42.jpg")</f>
        <v/>
      </c>
    </row>
    <row r="644" ht="36.0" customHeight="1">
      <c r="A644" s="10" t="str">
        <f t="shared" si="93"/>
        <v>Herme Cantero</v>
      </c>
      <c r="B644" s="11" t="s">
        <v>1365</v>
      </c>
      <c r="C644" s="12">
        <v>46149.95583333333</v>
      </c>
      <c r="D644" s="11" t="s">
        <v>1317</v>
      </c>
      <c r="E644" s="14" t="s">
        <v>29</v>
      </c>
      <c r="F644" s="14" t="s">
        <v>30</v>
      </c>
      <c r="G644" s="15" t="s">
        <v>17</v>
      </c>
      <c r="H644" s="15" t="s">
        <v>18</v>
      </c>
      <c r="I644" s="14" t="str">
        <f>IMAGE("https://upload.wikimedia.org/wikipedia/commons/4/45/Cuenca_Media_del_R%C3%ADo_In%C3%ADrida%2C_Guain%C3%ADa.jpg_43.jpg")</f>
        <v/>
      </c>
    </row>
    <row r="645" ht="36.0" customHeight="1">
      <c r="A645" s="16" t="str">
        <f>HYPERLINK("https://commons.wikimedia.org/wiki/User:" &amp; ENCODEURL("Torozuluaga"), "Torozuluaga")</f>
        <v>Torozuluaga</v>
      </c>
      <c r="B645" s="17" t="s">
        <v>1366</v>
      </c>
      <c r="C645" s="18">
        <v>46145.381898148145</v>
      </c>
      <c r="D645" s="17" t="s">
        <v>1367</v>
      </c>
      <c r="E645" s="19" t="s">
        <v>29</v>
      </c>
      <c r="F645" s="19" t="s">
        <v>30</v>
      </c>
      <c r="G645" s="20" t="s">
        <v>17</v>
      </c>
      <c r="H645" s="20" t="s">
        <v>18</v>
      </c>
      <c r="I645" s="19" t="str">
        <f>IMAGE("https://upload.wikimedia.org/wikipedia/commons/a/a3/Cuenca_del_rio_Quindio.jpg")</f>
        <v/>
      </c>
    </row>
    <row r="646" ht="36.0" customHeight="1">
      <c r="A646" s="10" t="str">
        <f>HYPERLINK("https://commons.wikimedia.org/wiki/User:" &amp; ENCODEURL("NMontoya (WMCO)"), "NMontoya (WMCO)")</f>
        <v>NMontoya (WMCO)</v>
      </c>
      <c r="B646" s="11" t="s">
        <v>1368</v>
      </c>
      <c r="C646" s="12">
        <v>46191.807800925926</v>
      </c>
      <c r="D646" s="11" t="s">
        <v>1369</v>
      </c>
      <c r="E646" s="14" t="s">
        <v>683</v>
      </c>
      <c r="F646" s="15" t="s">
        <v>16</v>
      </c>
      <c r="G646" s="15" t="s">
        <v>17</v>
      </c>
      <c r="H646" s="15" t="s">
        <v>18</v>
      </c>
      <c r="I646" s="14" t="str">
        <f>IMAGE("https://upload.wikimedia.org/wikipedia/commons/3/31/Cuerno_de_venado_%E2%80%93_Familia_Polypodiaceae.jpg")</f>
        <v/>
      </c>
    </row>
    <row r="647" ht="36.0" customHeight="1">
      <c r="A647" s="16" t="str">
        <f>HYPERLINK("https://commons.wikimedia.org/wiki/User:" &amp; ENCODEURL("Nathaly 1106"), "Nathaly 1106")</f>
        <v>Nathaly 1106</v>
      </c>
      <c r="B647" s="17" t="s">
        <v>1370</v>
      </c>
      <c r="C647" s="18">
        <v>46148.957291666666</v>
      </c>
      <c r="D647" s="17" t="s">
        <v>1371</v>
      </c>
      <c r="E647" s="19" t="s">
        <v>29</v>
      </c>
      <c r="F647" s="19" t="s">
        <v>30</v>
      </c>
      <c r="G647" s="20" t="s">
        <v>17</v>
      </c>
      <c r="H647" s="20" t="s">
        <v>18</v>
      </c>
      <c r="I647" s="19" t="str">
        <f>IMAGE("https://upload.wikimedia.org/wikipedia/commons/f/fd/Cuerpo_de_agua_El_Pe%C3%B1ol_-_Guatap%C3%A9.jpg")</f>
        <v/>
      </c>
    </row>
    <row r="648" ht="36.0" customHeight="1">
      <c r="A648" s="10" t="str">
        <f>HYPERLINK("https://commons.wikimedia.org/wiki/User:" &amp; ENCODEURL("Y.eduardo"), "Y.eduardo")</f>
        <v>Y.eduardo</v>
      </c>
      <c r="B648" s="11" t="s">
        <v>1372</v>
      </c>
      <c r="C648" s="12">
        <v>46163.83420138889</v>
      </c>
      <c r="D648" s="11" t="s">
        <v>1373</v>
      </c>
      <c r="E648" s="14" t="s">
        <v>1374</v>
      </c>
      <c r="F648" s="15" t="s">
        <v>16</v>
      </c>
      <c r="G648" s="15" t="s">
        <v>17</v>
      </c>
      <c r="H648" s="15" t="s">
        <v>18</v>
      </c>
      <c r="I648" s="14" t="str">
        <f>IMAGE("https://upload.wikimedia.org/wikipedia/commons/9/97/Cueva_de_los_Guacharos.jpg")</f>
        <v/>
      </c>
    </row>
    <row r="649" ht="36.0" customHeight="1">
      <c r="A649" s="16" t="str">
        <f>HYPERLINK("https://commons.wikimedia.org/wiki/User:" &amp; ENCODEURL("CHAVESJUAN19"), "CHAVESJUAN19")</f>
        <v>CHAVESJUAN19</v>
      </c>
      <c r="B649" s="17" t="s">
        <v>1375</v>
      </c>
      <c r="C649" s="18">
        <v>46203.78623842593</v>
      </c>
      <c r="D649" s="17" t="s">
        <v>1376</v>
      </c>
      <c r="E649" s="19" t="s">
        <v>29</v>
      </c>
      <c r="F649" s="19" t="s">
        <v>30</v>
      </c>
      <c r="G649" s="20" t="s">
        <v>17</v>
      </c>
      <c r="H649" s="20" t="s">
        <v>18</v>
      </c>
      <c r="I649" s="19" t="str">
        <f>IMAGE("https://upload.wikimedia.org/wikipedia/commons/0/0e/Cueva_de_los_Guacharos_-_PNN_Cueva_de_los_Guacharos.jpg")</f>
        <v/>
      </c>
    </row>
    <row r="650" ht="36.0" customHeight="1">
      <c r="A650" s="10" t="str">
        <f>HYPERLINK("https://commons.wikimedia.org/wiki/User:" &amp; ENCODEURL("Leo123qwerty"), "Leo123qwerty")</f>
        <v>Leo123qwerty</v>
      </c>
      <c r="B650" s="11" t="s">
        <v>1377</v>
      </c>
      <c r="C650" s="12">
        <v>46203.57225694445</v>
      </c>
      <c r="D650" s="11" t="s">
        <v>1378</v>
      </c>
      <c r="E650" s="14" t="s">
        <v>29</v>
      </c>
      <c r="F650" s="14" t="s">
        <v>30</v>
      </c>
      <c r="G650" s="15" t="s">
        <v>17</v>
      </c>
      <c r="H650" s="15" t="s">
        <v>18</v>
      </c>
      <c r="I650" s="14" t="str">
        <f>IMAGE("https://upload.wikimedia.org/wikipedia/commons/2/23/Cultivo_de_arroz_cucuta%2C_norte_de_santander.jpg")</f>
        <v/>
      </c>
    </row>
    <row r="651" ht="36.0" customHeight="1">
      <c r="A651" s="16" t="str">
        <f>HYPERLINK("https://commons.wikimedia.org/wiki/User:" &amp; ENCODEURL("Mfrancoavellaneda"), "Mfrancoavellaneda")</f>
        <v>Mfrancoavellaneda</v>
      </c>
      <c r="B651" s="17" t="s">
        <v>1379</v>
      </c>
      <c r="C651" s="18">
        <v>46203.838055555556</v>
      </c>
      <c r="D651" s="17" t="s">
        <v>1380</v>
      </c>
      <c r="E651" s="19" t="s">
        <v>29</v>
      </c>
      <c r="F651" s="19" t="s">
        <v>30</v>
      </c>
      <c r="G651" s="20" t="s">
        <v>17</v>
      </c>
      <c r="H651" s="20" t="s">
        <v>18</v>
      </c>
      <c r="I651" s="19" t="str">
        <f>IMAGE("https://upload.wikimedia.org/wikipedia/commons/4/4f/Cultivo_de_caf%C3%A9_San_Agustin_%28Huila%29.jpg")</f>
        <v/>
      </c>
    </row>
    <row r="652" ht="36.0" customHeight="1">
      <c r="A652" s="10" t="str">
        <f>HYPERLINK("https://commons.wikimedia.org/wiki/User:" &amp; ENCODEURL("Alexpanther"), "Alexpanther")</f>
        <v>Alexpanther</v>
      </c>
      <c r="B652" s="11" t="s">
        <v>1381</v>
      </c>
      <c r="C652" s="12">
        <v>46203.500752314816</v>
      </c>
      <c r="D652" s="11" t="s">
        <v>1382</v>
      </c>
      <c r="E652" s="14" t="s">
        <v>582</v>
      </c>
      <c r="F652" s="15" t="s">
        <v>16</v>
      </c>
      <c r="G652" s="15" t="s">
        <v>17</v>
      </c>
      <c r="H652" s="15" t="s">
        <v>18</v>
      </c>
      <c r="I652" s="14" t="str">
        <f>IMAGE("https://upload.wikimedia.org/wikipedia/commons/0/00/Curiosidad_en_el_Dosel%2C_Mono_Maicero_de_la_Orinoqu%C3%ADa.png")</f>
        <v/>
      </c>
    </row>
    <row r="653" ht="36.0" customHeight="1">
      <c r="A653" s="16" t="str">
        <f t="shared" ref="A653:A673" si="94">HYPERLINK("https://commons.wikimedia.org/wiki/User:" &amp; ENCODEURL("Herme Cantero"), "Herme Cantero")</f>
        <v>Herme Cantero</v>
      </c>
      <c r="B653" s="17" t="s">
        <v>1383</v>
      </c>
      <c r="C653" s="18">
        <v>46149.97</v>
      </c>
      <c r="D653" s="17" t="s">
        <v>1384</v>
      </c>
      <c r="E653" s="19" t="s">
        <v>29</v>
      </c>
      <c r="F653" s="19" t="s">
        <v>30</v>
      </c>
      <c r="G653" s="20" t="s">
        <v>17</v>
      </c>
      <c r="H653" s="20" t="s">
        <v>18</v>
      </c>
      <c r="I653" s="19" t="str">
        <f>IMAGE("https://upload.wikimedia.org/wikipedia/commons/b/bc/Curso_del_R%C3%ADo_In%C3%ADrida_en_la_Reserva_Nacional_Natural_Puinawai%2C_Guain%C3%ADa_01.jpg")</f>
        <v/>
      </c>
    </row>
    <row r="654" ht="36.0" customHeight="1">
      <c r="A654" s="10" t="str">
        <f t="shared" si="94"/>
        <v>Herme Cantero</v>
      </c>
      <c r="B654" s="11" t="s">
        <v>1385</v>
      </c>
      <c r="C654" s="12">
        <v>46149.97001157407</v>
      </c>
      <c r="D654" s="11" t="s">
        <v>1384</v>
      </c>
      <c r="E654" s="14" t="s">
        <v>29</v>
      </c>
      <c r="F654" s="14" t="s">
        <v>30</v>
      </c>
      <c r="G654" s="15" t="s">
        <v>17</v>
      </c>
      <c r="H654" s="15" t="s">
        <v>18</v>
      </c>
      <c r="I654" s="14" t="str">
        <f>IMAGE("https://upload.wikimedia.org/wikipedia/commons/d/da/Curso_del_R%C3%ADo_In%C3%ADrida_en_la_Reserva_Nacional_Natural_Puinawai%2C_Guain%C3%ADa_02.jpg")</f>
        <v/>
      </c>
    </row>
    <row r="655" ht="36.0" customHeight="1">
      <c r="A655" s="16" t="str">
        <f t="shared" si="94"/>
        <v>Herme Cantero</v>
      </c>
      <c r="B655" s="17" t="s">
        <v>1386</v>
      </c>
      <c r="C655" s="18">
        <v>46149.97001157407</v>
      </c>
      <c r="D655" s="17" t="s">
        <v>1384</v>
      </c>
      <c r="E655" s="19" t="s">
        <v>29</v>
      </c>
      <c r="F655" s="19" t="s">
        <v>30</v>
      </c>
      <c r="G655" s="20" t="s">
        <v>17</v>
      </c>
      <c r="H655" s="20" t="s">
        <v>18</v>
      </c>
      <c r="I655" s="19" t="str">
        <f>IMAGE("https://upload.wikimedia.org/wikipedia/commons/e/e8/Curso_del_R%C3%ADo_In%C3%ADrida_en_la_Reserva_Nacional_Natural_Puinawai%2C_Guain%C3%ADa_03.jpg")</f>
        <v/>
      </c>
    </row>
    <row r="656" ht="36.0" customHeight="1">
      <c r="A656" s="10" t="str">
        <f t="shared" si="94"/>
        <v>Herme Cantero</v>
      </c>
      <c r="B656" s="11" t="s">
        <v>1387</v>
      </c>
      <c r="C656" s="12">
        <v>46149.970034722224</v>
      </c>
      <c r="D656" s="11" t="s">
        <v>1384</v>
      </c>
      <c r="E656" s="14" t="s">
        <v>29</v>
      </c>
      <c r="F656" s="14" t="s">
        <v>30</v>
      </c>
      <c r="G656" s="15" t="s">
        <v>17</v>
      </c>
      <c r="H656" s="15" t="s">
        <v>18</v>
      </c>
      <c r="I656" s="14" t="str">
        <f>IMAGE("https://upload.wikimedia.org/wikipedia/commons/3/33/Curso_del_R%C3%ADo_In%C3%ADrida_en_la_Reserva_Nacional_Natural_Puinawai%2C_Guain%C3%ADa_04.jpg")</f>
        <v/>
      </c>
    </row>
    <row r="657" ht="36.0" customHeight="1">
      <c r="A657" s="16" t="str">
        <f t="shared" si="94"/>
        <v>Herme Cantero</v>
      </c>
      <c r="B657" s="17" t="s">
        <v>1388</v>
      </c>
      <c r="C657" s="18">
        <v>46149.970046296294</v>
      </c>
      <c r="D657" s="17" t="s">
        <v>1384</v>
      </c>
      <c r="E657" s="19" t="s">
        <v>29</v>
      </c>
      <c r="F657" s="19" t="s">
        <v>30</v>
      </c>
      <c r="G657" s="20" t="s">
        <v>17</v>
      </c>
      <c r="H657" s="20" t="s">
        <v>18</v>
      </c>
      <c r="I657" s="19" t="str">
        <f>IMAGE("https://upload.wikimedia.org/wikipedia/commons/1/1b/Curso_del_R%C3%ADo_In%C3%ADrida_en_la_Reserva_Nacional_Natural_Puinawai%2C_Guain%C3%ADa_05.jpg")</f>
        <v/>
      </c>
    </row>
    <row r="658" ht="36.0" customHeight="1">
      <c r="A658" s="10" t="str">
        <f t="shared" si="94"/>
        <v>Herme Cantero</v>
      </c>
      <c r="B658" s="11" t="s">
        <v>1389</v>
      </c>
      <c r="C658" s="12">
        <v>46149.970046296294</v>
      </c>
      <c r="D658" s="11" t="s">
        <v>1384</v>
      </c>
      <c r="E658" s="14" t="s">
        <v>29</v>
      </c>
      <c r="F658" s="14" t="s">
        <v>30</v>
      </c>
      <c r="G658" s="15" t="s">
        <v>17</v>
      </c>
      <c r="H658" s="15" t="s">
        <v>18</v>
      </c>
      <c r="I658" s="14" t="str">
        <f>IMAGE("https://upload.wikimedia.org/wikipedia/commons/8/87/Curso_del_R%C3%ADo_In%C3%ADrida_en_la_Reserva_Nacional_Natural_Puinawai%2C_Guain%C3%ADa_06.jpg")</f>
        <v/>
      </c>
    </row>
    <row r="659" ht="36.0" customHeight="1">
      <c r="A659" s="16" t="str">
        <f t="shared" si="94"/>
        <v>Herme Cantero</v>
      </c>
      <c r="B659" s="17" t="s">
        <v>1390</v>
      </c>
      <c r="C659" s="18">
        <v>46149.97006944445</v>
      </c>
      <c r="D659" s="17" t="s">
        <v>1384</v>
      </c>
      <c r="E659" s="19" t="s">
        <v>29</v>
      </c>
      <c r="F659" s="19" t="s">
        <v>30</v>
      </c>
      <c r="G659" s="20" t="s">
        <v>17</v>
      </c>
      <c r="H659" s="20" t="s">
        <v>18</v>
      </c>
      <c r="I659" s="19" t="str">
        <f>IMAGE("https://upload.wikimedia.org/wikipedia/commons/8/8a/Curso_del_R%C3%ADo_In%C3%ADrida_en_la_Reserva_Nacional_Natural_Puinawai%2C_Guain%C3%ADa_07.jpg")</f>
        <v/>
      </c>
    </row>
    <row r="660" ht="36.0" customHeight="1">
      <c r="A660" s="10" t="str">
        <f t="shared" si="94"/>
        <v>Herme Cantero</v>
      </c>
      <c r="B660" s="11" t="s">
        <v>1391</v>
      </c>
      <c r="C660" s="12">
        <v>46149.97008101852</v>
      </c>
      <c r="D660" s="11" t="s">
        <v>1384</v>
      </c>
      <c r="E660" s="14" t="s">
        <v>29</v>
      </c>
      <c r="F660" s="14" t="s">
        <v>30</v>
      </c>
      <c r="G660" s="15" t="s">
        <v>17</v>
      </c>
      <c r="H660" s="15" t="s">
        <v>18</v>
      </c>
      <c r="I660" s="14" t="str">
        <f>IMAGE("https://upload.wikimedia.org/wikipedia/commons/6/68/Curso_del_R%C3%ADo_In%C3%ADrida_en_la_Reserva_Nacional_Natural_Puinawai%2C_Guain%C3%ADa_08.jpg")</f>
        <v/>
      </c>
    </row>
    <row r="661" ht="36.0" customHeight="1">
      <c r="A661" s="16" t="str">
        <f t="shared" si="94"/>
        <v>Herme Cantero</v>
      </c>
      <c r="B661" s="17" t="s">
        <v>1392</v>
      </c>
      <c r="C661" s="18">
        <v>46149.97008101852</v>
      </c>
      <c r="D661" s="17" t="s">
        <v>1384</v>
      </c>
      <c r="E661" s="19" t="s">
        <v>29</v>
      </c>
      <c r="F661" s="19" t="s">
        <v>30</v>
      </c>
      <c r="G661" s="20" t="s">
        <v>17</v>
      </c>
      <c r="H661" s="20" t="s">
        <v>18</v>
      </c>
      <c r="I661" s="19" t="str">
        <f>IMAGE("https://upload.wikimedia.org/wikipedia/commons/f/f3/Curso_del_R%C3%ADo_In%C3%ADrida_en_la_Reserva_Nacional_Natural_Puinawai%2C_Guain%C3%ADa_09.jpg")</f>
        <v/>
      </c>
    </row>
    <row r="662" ht="36.0" customHeight="1">
      <c r="A662" s="10" t="str">
        <f t="shared" si="94"/>
        <v>Herme Cantero</v>
      </c>
      <c r="B662" s="11" t="s">
        <v>1393</v>
      </c>
      <c r="C662" s="12">
        <v>46149.97010416666</v>
      </c>
      <c r="D662" s="11" t="s">
        <v>1384</v>
      </c>
      <c r="E662" s="14" t="s">
        <v>29</v>
      </c>
      <c r="F662" s="14" t="s">
        <v>30</v>
      </c>
      <c r="G662" s="15" t="s">
        <v>17</v>
      </c>
      <c r="H662" s="15" t="s">
        <v>18</v>
      </c>
      <c r="I662" s="14" t="str">
        <f>IMAGE("https://upload.wikimedia.org/wikipedia/commons/d/d0/Curso_del_R%C3%ADo_In%C3%ADrida_en_la_Reserva_Nacional_Natural_Puinawai%2C_Guain%C3%ADa_10.jpg")</f>
        <v/>
      </c>
    </row>
    <row r="663" ht="36.0" customHeight="1">
      <c r="A663" s="16" t="str">
        <f t="shared" si="94"/>
        <v>Herme Cantero</v>
      </c>
      <c r="B663" s="17" t="s">
        <v>1394</v>
      </c>
      <c r="C663" s="18">
        <v>46149.97011574074</v>
      </c>
      <c r="D663" s="17" t="s">
        <v>1384</v>
      </c>
      <c r="E663" s="19" t="s">
        <v>29</v>
      </c>
      <c r="F663" s="19" t="s">
        <v>30</v>
      </c>
      <c r="G663" s="20" t="s">
        <v>17</v>
      </c>
      <c r="H663" s="20" t="s">
        <v>18</v>
      </c>
      <c r="I663" s="19" t="str">
        <f>IMAGE("https://upload.wikimedia.org/wikipedia/commons/3/3b/Curso_del_R%C3%ADo_In%C3%ADrida_en_la_Reserva_Nacional_Natural_Puinawai%2C_Guain%C3%ADa_11.jpg")</f>
        <v/>
      </c>
    </row>
    <row r="664" ht="36.0" customHeight="1">
      <c r="A664" s="10" t="str">
        <f t="shared" si="94"/>
        <v>Herme Cantero</v>
      </c>
      <c r="B664" s="11" t="s">
        <v>1395</v>
      </c>
      <c r="C664" s="12">
        <v>46149.97012731482</v>
      </c>
      <c r="D664" s="11" t="s">
        <v>1384</v>
      </c>
      <c r="E664" s="14" t="s">
        <v>29</v>
      </c>
      <c r="F664" s="14" t="s">
        <v>30</v>
      </c>
      <c r="G664" s="15" t="s">
        <v>17</v>
      </c>
      <c r="H664" s="15" t="s">
        <v>18</v>
      </c>
      <c r="I664" s="14" t="str">
        <f>IMAGE("https://upload.wikimedia.org/wikipedia/commons/7/7d/Curso_del_R%C3%ADo_In%C3%ADrida_en_la_Reserva_Nacional_Natural_Puinawai%2C_Guain%C3%ADa_12.jpg")</f>
        <v/>
      </c>
    </row>
    <row r="665" ht="36.0" customHeight="1">
      <c r="A665" s="16" t="str">
        <f t="shared" si="94"/>
        <v>Herme Cantero</v>
      </c>
      <c r="B665" s="17" t="s">
        <v>1396</v>
      </c>
      <c r="C665" s="18">
        <v>46149.97012731482</v>
      </c>
      <c r="D665" s="17" t="s">
        <v>1384</v>
      </c>
      <c r="E665" s="19" t="s">
        <v>29</v>
      </c>
      <c r="F665" s="19" t="s">
        <v>30</v>
      </c>
      <c r="G665" s="20" t="s">
        <v>17</v>
      </c>
      <c r="H665" s="20" t="s">
        <v>18</v>
      </c>
      <c r="I665" s="19" t="str">
        <f>IMAGE("https://upload.wikimedia.org/wikipedia/commons/c/c9/Curso_del_R%C3%ADo_In%C3%ADrida_en_la_Reserva_Nacional_Natural_Puinawai%2C_Guain%C3%ADa_13.jpg")</f>
        <v/>
      </c>
    </row>
    <row r="666" ht="36.0" customHeight="1">
      <c r="A666" s="10" t="str">
        <f t="shared" si="94"/>
        <v>Herme Cantero</v>
      </c>
      <c r="B666" s="11" t="s">
        <v>1397</v>
      </c>
      <c r="C666" s="12">
        <v>46149.970138888886</v>
      </c>
      <c r="D666" s="11" t="s">
        <v>1384</v>
      </c>
      <c r="E666" s="14" t="s">
        <v>29</v>
      </c>
      <c r="F666" s="14" t="s">
        <v>30</v>
      </c>
      <c r="G666" s="15" t="s">
        <v>17</v>
      </c>
      <c r="H666" s="15" t="s">
        <v>18</v>
      </c>
      <c r="I666" s="14" t="str">
        <f>IMAGE("https://upload.wikimedia.org/wikipedia/commons/4/47/Curso_del_R%C3%ADo_In%C3%ADrida_en_la_Reserva_Nacional_Natural_Puinawai%2C_Guain%C3%ADa_14.jpg")</f>
        <v/>
      </c>
    </row>
    <row r="667" ht="36.0" customHeight="1">
      <c r="A667" s="16" t="str">
        <f t="shared" si="94"/>
        <v>Herme Cantero</v>
      </c>
      <c r="B667" s="17" t="s">
        <v>1398</v>
      </c>
      <c r="C667" s="18">
        <v>46149.97016203704</v>
      </c>
      <c r="D667" s="17" t="s">
        <v>1384</v>
      </c>
      <c r="E667" s="19" t="s">
        <v>29</v>
      </c>
      <c r="F667" s="19" t="s">
        <v>30</v>
      </c>
      <c r="G667" s="20" t="s">
        <v>17</v>
      </c>
      <c r="H667" s="20" t="s">
        <v>18</v>
      </c>
      <c r="I667" s="19" t="str">
        <f>IMAGE("https://upload.wikimedia.org/wikipedia/commons/a/ab/Curso_del_R%C3%ADo_In%C3%ADrida_en_la_Reserva_Nacional_Natural_Puinawai%2C_Guain%C3%ADa_15.jpg")</f>
        <v/>
      </c>
    </row>
    <row r="668" ht="36.0" customHeight="1">
      <c r="A668" s="10" t="str">
        <f t="shared" si="94"/>
        <v>Herme Cantero</v>
      </c>
      <c r="B668" s="11" t="s">
        <v>1399</v>
      </c>
      <c r="C668" s="12">
        <v>46149.97016203704</v>
      </c>
      <c r="D668" s="11" t="s">
        <v>1384</v>
      </c>
      <c r="E668" s="14" t="s">
        <v>29</v>
      </c>
      <c r="F668" s="14" t="s">
        <v>30</v>
      </c>
      <c r="G668" s="15" t="s">
        <v>17</v>
      </c>
      <c r="H668" s="15" t="s">
        <v>18</v>
      </c>
      <c r="I668" s="14" t="str">
        <f>IMAGE("https://upload.wikimedia.org/wikipedia/commons/a/ac/Curso_del_R%C3%ADo_In%C3%ADrida_en_la_Reserva_Nacional_Natural_Puinawai%2C_Guain%C3%ADa_16.jpg")</f>
        <v/>
      </c>
    </row>
    <row r="669" ht="36.0" customHeight="1">
      <c r="A669" s="16" t="str">
        <f t="shared" si="94"/>
        <v>Herme Cantero</v>
      </c>
      <c r="B669" s="17" t="s">
        <v>1400</v>
      </c>
      <c r="C669" s="18">
        <v>46149.97017361111</v>
      </c>
      <c r="D669" s="17" t="s">
        <v>1384</v>
      </c>
      <c r="E669" s="19" t="s">
        <v>29</v>
      </c>
      <c r="F669" s="19" t="s">
        <v>30</v>
      </c>
      <c r="G669" s="20" t="s">
        <v>17</v>
      </c>
      <c r="H669" s="20" t="s">
        <v>18</v>
      </c>
      <c r="I669" s="19" t="str">
        <f>IMAGE("https://upload.wikimedia.org/wikipedia/commons/b/bf/Curso_del_R%C3%ADo_In%C3%ADrida_en_la_Reserva_Nacional_Natural_Puinawai%2C_Guain%C3%ADa_17.jpg")</f>
        <v/>
      </c>
    </row>
    <row r="670" ht="36.0" customHeight="1">
      <c r="A670" s="10" t="str">
        <f t="shared" si="94"/>
        <v>Herme Cantero</v>
      </c>
      <c r="B670" s="11" t="s">
        <v>1401</v>
      </c>
      <c r="C670" s="12">
        <v>46149.970185185186</v>
      </c>
      <c r="D670" s="11" t="s">
        <v>1384</v>
      </c>
      <c r="E670" s="14" t="s">
        <v>29</v>
      </c>
      <c r="F670" s="14" t="s">
        <v>30</v>
      </c>
      <c r="G670" s="15" t="s">
        <v>17</v>
      </c>
      <c r="H670" s="15" t="s">
        <v>18</v>
      </c>
      <c r="I670" s="14" t="str">
        <f>IMAGE("https://upload.wikimedia.org/wikipedia/commons/f/f6/Curso_del_R%C3%ADo_In%C3%ADrida_en_la_Reserva_Nacional_Natural_Puinawai%2C_Guain%C3%ADa_18.jpg")</f>
        <v/>
      </c>
    </row>
    <row r="671" ht="36.0" customHeight="1">
      <c r="A671" s="16" t="str">
        <f t="shared" si="94"/>
        <v>Herme Cantero</v>
      </c>
      <c r="B671" s="17" t="s">
        <v>1402</v>
      </c>
      <c r="C671" s="18">
        <v>46149.97019675926</v>
      </c>
      <c r="D671" s="17" t="s">
        <v>1384</v>
      </c>
      <c r="E671" s="19" t="s">
        <v>29</v>
      </c>
      <c r="F671" s="19" t="s">
        <v>30</v>
      </c>
      <c r="G671" s="20" t="s">
        <v>17</v>
      </c>
      <c r="H671" s="20" t="s">
        <v>18</v>
      </c>
      <c r="I671" s="19" t="str">
        <f>IMAGE("https://upload.wikimedia.org/wikipedia/commons/5/55/Curso_del_R%C3%ADo_In%C3%ADrida_en_la_Reserva_Nacional_Natural_Puinawai%2C_Guain%C3%ADa_19.jpg")</f>
        <v/>
      </c>
    </row>
    <row r="672" ht="36.0" customHeight="1">
      <c r="A672" s="10" t="str">
        <f t="shared" si="94"/>
        <v>Herme Cantero</v>
      </c>
      <c r="B672" s="11" t="s">
        <v>1403</v>
      </c>
      <c r="C672" s="12">
        <v>46149.97020833333</v>
      </c>
      <c r="D672" s="11" t="s">
        <v>1384</v>
      </c>
      <c r="E672" s="14" t="s">
        <v>1404</v>
      </c>
      <c r="F672" s="15" t="s">
        <v>16</v>
      </c>
      <c r="G672" s="15" t="s">
        <v>17</v>
      </c>
      <c r="H672" s="15" t="s">
        <v>18</v>
      </c>
      <c r="I672" s="14" t="str">
        <f>IMAGE("https://upload.wikimedia.org/wikipedia/commons/1/1c/Curso_del_R%C3%ADo_In%C3%ADrida_en_la_Reserva_Nacional_Natural_Puinawai%2C_Guain%C3%ADa_20.jpg")</f>
        <v/>
      </c>
    </row>
    <row r="673" ht="36.0" customHeight="1">
      <c r="A673" s="16" t="str">
        <f t="shared" si="94"/>
        <v>Herme Cantero</v>
      </c>
      <c r="B673" s="17" t="s">
        <v>1405</v>
      </c>
      <c r="C673" s="18">
        <v>46149.97021990741</v>
      </c>
      <c r="D673" s="17" t="s">
        <v>1384</v>
      </c>
      <c r="E673" s="19" t="s">
        <v>29</v>
      </c>
      <c r="F673" s="19" t="s">
        <v>30</v>
      </c>
      <c r="G673" s="20" t="s">
        <v>17</v>
      </c>
      <c r="H673" s="20" t="s">
        <v>18</v>
      </c>
      <c r="I673" s="19" t="str">
        <f>IMAGE("https://upload.wikimedia.org/wikipedia/commons/7/7b/Curso_del_R%C3%ADo_In%C3%ADrida_en_la_Reserva_Nacional_Natural_Puinawai%2C_Guain%C3%ADa_21.jpg")</f>
        <v/>
      </c>
    </row>
    <row r="674" ht="36.0" customHeight="1">
      <c r="A674" s="10" t="str">
        <f>HYPERLINK("https://commons.wikimedia.org/wiki/User:" &amp; ENCODEURL("Johan Andrés Toro"), "Johan Andrés Toro")</f>
        <v>Johan Andrés Toro</v>
      </c>
      <c r="B674" s="11" t="s">
        <v>1406</v>
      </c>
      <c r="C674" s="12">
        <v>46171.55546296296</v>
      </c>
      <c r="D674" s="11" t="s">
        <v>1407</v>
      </c>
      <c r="E674" s="14" t="s">
        <v>29</v>
      </c>
      <c r="F674" s="14" t="s">
        <v>30</v>
      </c>
      <c r="G674" s="15" t="s">
        <v>17</v>
      </c>
      <c r="H674" s="15" t="s">
        <v>18</v>
      </c>
      <c r="I674" s="14" t="str">
        <f>IMAGE("https://upload.wikimedia.org/wikipedia/commons/f/fb/Curso_del_R%C3%ADo_Magdalena_entre_sistemas_monta%C3%B1osos.jpg")</f>
        <v/>
      </c>
    </row>
    <row r="675" ht="36.0" customHeight="1">
      <c r="A675" s="16" t="str">
        <f>HYPERLINK("https://commons.wikimedia.org/wiki/User:" &amp; ENCODEURL("AlbruMar"), "AlbruMar")</f>
        <v>AlbruMar</v>
      </c>
      <c r="B675" s="17" t="s">
        <v>1408</v>
      </c>
      <c r="C675" s="18">
        <v>46149.97576388889</v>
      </c>
      <c r="D675" s="17" t="s">
        <v>1409</v>
      </c>
      <c r="E675" s="19" t="s">
        <v>29</v>
      </c>
      <c r="F675" s="19" t="s">
        <v>30</v>
      </c>
      <c r="G675" s="20" t="s">
        <v>17</v>
      </c>
      <c r="H675" s="20" t="s">
        <v>18</v>
      </c>
      <c r="I675" s="19" t="str">
        <f>IMAGE("https://upload.wikimedia.org/wikipedia/commons/f/fd/C%C3%A1scara_papir%C3%A1cea_de_uchuva_seco_e_intacto.jpg")</f>
        <v/>
      </c>
    </row>
    <row r="676" ht="36.0" customHeight="1">
      <c r="A676" s="10" t="str">
        <f t="shared" ref="A676:A677" si="95">HYPERLINK("https://commons.wikimedia.org/wiki/User:" &amp; ENCODEURL("Nathaly 1106"), "Nathaly 1106")</f>
        <v>Nathaly 1106</v>
      </c>
      <c r="B676" s="11" t="s">
        <v>1410</v>
      </c>
      <c r="C676" s="12">
        <v>46148.95719907407</v>
      </c>
      <c r="D676" s="11" t="s">
        <v>1411</v>
      </c>
      <c r="E676" s="14" t="s">
        <v>29</v>
      </c>
      <c r="F676" s="14" t="s">
        <v>30</v>
      </c>
      <c r="G676" s="15" t="s">
        <v>17</v>
      </c>
      <c r="H676" s="15" t="s">
        <v>18</v>
      </c>
      <c r="I676" s="14" t="str">
        <f>IMAGE("https://upload.wikimedia.org/wikipedia/commons/6/63/C%C3%A1%C3%B1amo_de_Mauricio_%28Furcraea_foetida%29.jpg")</f>
        <v/>
      </c>
    </row>
    <row r="677" ht="36.0" customHeight="1">
      <c r="A677" s="16" t="str">
        <f t="shared" si="95"/>
        <v>Nathaly 1106</v>
      </c>
      <c r="B677" s="17" t="s">
        <v>1412</v>
      </c>
      <c r="C677" s="18">
        <v>46163.80709490741</v>
      </c>
      <c r="D677" s="17" t="s">
        <v>1413</v>
      </c>
      <c r="E677" s="19" t="s">
        <v>29</v>
      </c>
      <c r="F677" s="19" t="s">
        <v>30</v>
      </c>
      <c r="G677" s="20" t="s">
        <v>17</v>
      </c>
      <c r="H677" s="20" t="s">
        <v>18</v>
      </c>
      <c r="I677" s="19" t="str">
        <f>IMAGE("https://upload.wikimedia.org/wikipedia/commons/8/8c/C%C3%B3ndor_andino_%28Vultur_gryphus%29_en_el_Parque_Nacional_Natural_Chingaza.jpg")</f>
        <v/>
      </c>
    </row>
    <row r="678" ht="36.0" customHeight="1">
      <c r="A678" s="10" t="str">
        <f t="shared" ref="A678:A679" si="96">HYPERLINK("https://commons.wikimedia.org/wiki/User:" &amp; ENCODEURL("Glofrida"), "Glofrida")</f>
        <v>Glofrida</v>
      </c>
      <c r="B678" s="11" t="s">
        <v>1414</v>
      </c>
      <c r="C678" s="12">
        <v>46203.88988425926</v>
      </c>
      <c r="D678" s="11" t="s">
        <v>1415</v>
      </c>
      <c r="E678" s="14" t="s">
        <v>29</v>
      </c>
      <c r="F678" s="14" t="s">
        <v>30</v>
      </c>
      <c r="G678" s="15" t="s">
        <v>17</v>
      </c>
      <c r="H678" s="15" t="s">
        <v>18</v>
      </c>
      <c r="I678" s="14" t="str">
        <f>IMAGE("https://upload.wikimedia.org/wikipedia/commons/b/b6/Dalia_20026.jpg")</f>
        <v/>
      </c>
    </row>
    <row r="679" ht="36.0" customHeight="1">
      <c r="A679" s="16" t="str">
        <f t="shared" si="96"/>
        <v>Glofrida</v>
      </c>
      <c r="B679" s="17" t="s">
        <v>1416</v>
      </c>
      <c r="C679" s="18">
        <v>46203.88983796296</v>
      </c>
      <c r="D679" s="17" t="s">
        <v>1417</v>
      </c>
      <c r="E679" s="19" t="s">
        <v>29</v>
      </c>
      <c r="F679" s="19" t="s">
        <v>30</v>
      </c>
      <c r="G679" s="20" t="s">
        <v>17</v>
      </c>
      <c r="H679" s="20" t="s">
        <v>18</v>
      </c>
      <c r="I679" s="19" t="str">
        <f>IMAGE("https://upload.wikimedia.org/wikipedia/commons/8/80/Dalia_2026.jpg")</f>
        <v/>
      </c>
    </row>
    <row r="680" ht="36.0" customHeight="1">
      <c r="A680" s="10" t="str">
        <f>HYPERLINK("https://commons.wikimedia.org/wiki/User:" &amp; ENCODEURL("Nathaly 1106"), "Nathaly 1106")</f>
        <v>Nathaly 1106</v>
      </c>
      <c r="B680" s="11" t="s">
        <v>1418</v>
      </c>
      <c r="C680" s="12">
        <v>46148.63138888889</v>
      </c>
      <c r="D680" s="11" t="s">
        <v>1419</v>
      </c>
      <c r="E680" s="14" t="s">
        <v>29</v>
      </c>
      <c r="F680" s="14" t="s">
        <v>30</v>
      </c>
      <c r="G680" s="15" t="s">
        <v>17</v>
      </c>
      <c r="H680" s="15" t="s">
        <v>18</v>
      </c>
      <c r="I680" s="14" t="str">
        <f>IMAGE("https://upload.wikimedia.org/wikipedia/commons/c/cf/Dalia_de_gallo_%28Dahlia_tenuicaulis%29.jpg")</f>
        <v/>
      </c>
    </row>
    <row r="681" ht="36.0" customHeight="1">
      <c r="A681" s="16" t="str">
        <f>HYPERLINK("https://commons.wikimedia.org/wiki/User:" &amp; ENCODEURL("Glofrida"), "Glofrida")</f>
        <v>Glofrida</v>
      </c>
      <c r="B681" s="17" t="s">
        <v>1420</v>
      </c>
      <c r="C681" s="18">
        <v>46203.88988425926</v>
      </c>
      <c r="D681" s="17" t="s">
        <v>1421</v>
      </c>
      <c r="E681" s="19" t="s">
        <v>29</v>
      </c>
      <c r="F681" s="19" t="s">
        <v>30</v>
      </c>
      <c r="G681" s="20" t="s">
        <v>17</v>
      </c>
      <c r="H681" s="20" t="s">
        <v>18</v>
      </c>
      <c r="I681" s="19" t="str">
        <f>IMAGE("https://upload.wikimedia.org/wikipedia/commons/3/3c/Dalia_doble.jpg")</f>
        <v/>
      </c>
    </row>
    <row r="682" ht="36.0" customHeight="1">
      <c r="A682" s="10" t="str">
        <f t="shared" ref="A682:A683" si="97">HYPERLINK("https://commons.wikimedia.org/wiki/User:" &amp; ENCODEURL("AmiGueko"), "AmiGueko")</f>
        <v>AmiGueko</v>
      </c>
      <c r="B682" s="11" t="s">
        <v>1422</v>
      </c>
      <c r="C682" s="12">
        <v>46151.33194444444</v>
      </c>
      <c r="D682" s="11" t="s">
        <v>1423</v>
      </c>
      <c r="E682" s="14" t="s">
        <v>1424</v>
      </c>
      <c r="F682" s="15" t="s">
        <v>16</v>
      </c>
      <c r="G682" s="15" t="s">
        <v>17</v>
      </c>
      <c r="H682" s="15" t="s">
        <v>18</v>
      </c>
      <c r="I682" s="14" t="str">
        <f>IMAGE("https://upload.wikimedia.org/wikipedia/commons/d/d4/Dalia_silvestre.jpg")</f>
        <v/>
      </c>
    </row>
    <row r="683" ht="36.0" customHeight="1">
      <c r="A683" s="16" t="str">
        <f t="shared" si="97"/>
        <v>AmiGueko</v>
      </c>
      <c r="B683" s="17" t="s">
        <v>1425</v>
      </c>
      <c r="C683" s="18">
        <v>46151.33206018519</v>
      </c>
      <c r="D683" s="17" t="s">
        <v>1423</v>
      </c>
      <c r="E683" s="19" t="s">
        <v>29</v>
      </c>
      <c r="F683" s="19" t="s">
        <v>30</v>
      </c>
      <c r="G683" s="20" t="s">
        <v>17</v>
      </c>
      <c r="H683" s="20" t="s">
        <v>18</v>
      </c>
      <c r="I683" s="19" t="str">
        <f>IMAGE("https://upload.wikimedia.org/wikipedia/commons/6/61/Dalia_silvestre_%2835311%29.jpg")</f>
        <v/>
      </c>
    </row>
    <row r="684" ht="36.0" customHeight="1">
      <c r="A684" s="10" t="str">
        <f>HYPERLINK("https://commons.wikimedia.org/wiki/User:" &amp; ENCODEURL("Juan Carlos Sáenz Rodríguez"), "Juan Carlos Sáenz Rodríguez")</f>
        <v>Juan Carlos Sáenz Rodríguez</v>
      </c>
      <c r="B684" s="11" t="s">
        <v>1426</v>
      </c>
      <c r="C684" s="12">
        <v>46194.583136574074</v>
      </c>
      <c r="D684" s="11" t="s">
        <v>1427</v>
      </c>
      <c r="E684" s="14" t="s">
        <v>29</v>
      </c>
      <c r="F684" s="14" t="s">
        <v>30</v>
      </c>
      <c r="G684" s="15" t="s">
        <v>17</v>
      </c>
      <c r="H684" s="15" t="s">
        <v>18</v>
      </c>
      <c r="I684" s="14" t="str">
        <f>IMAGE("https://upload.wikimedia.org/wikipedia/commons/a/a8/Dalia_y_abeja.jpg")</f>
        <v/>
      </c>
    </row>
    <row r="685" ht="36.0" customHeight="1">
      <c r="A685" s="16" t="str">
        <f>HYPERLINK("https://commons.wikimedia.org/wiki/User:" &amp; ENCODEURL("Zolsemiya"), "Zolsemiya")</f>
        <v>Zolsemiya</v>
      </c>
      <c r="B685" s="17" t="s">
        <v>1428</v>
      </c>
      <c r="C685" s="18">
        <v>46203.74920138889</v>
      </c>
      <c r="D685" s="17" t="s">
        <v>1429</v>
      </c>
      <c r="E685" s="19" t="s">
        <v>1430</v>
      </c>
      <c r="F685" s="20" t="s">
        <v>16</v>
      </c>
      <c r="G685" s="20" t="s">
        <v>17</v>
      </c>
      <c r="H685" s="20" t="s">
        <v>18</v>
      </c>
      <c r="I685" s="19" t="str">
        <f>IMAGE("https://upload.wikimedia.org/wikipedia/commons/b/be/Dalia_y_abeja_2.jpg")</f>
        <v/>
      </c>
    </row>
    <row r="686" ht="36.0" customHeight="1">
      <c r="A686" s="10" t="str">
        <f>HYPERLINK("https://commons.wikimedia.org/wiki/User:" &amp; ENCODEURL("Jhas24.09"), "Jhas24.09")</f>
        <v>Jhas24.09</v>
      </c>
      <c r="B686" s="11" t="s">
        <v>1431</v>
      </c>
      <c r="C686" s="12">
        <v>46160.101006944446</v>
      </c>
      <c r="D686" s="11" t="s">
        <v>1432</v>
      </c>
      <c r="E686" s="14" t="s">
        <v>29</v>
      </c>
      <c r="F686" s="14" t="s">
        <v>30</v>
      </c>
      <c r="G686" s="15" t="s">
        <v>17</v>
      </c>
      <c r="H686" s="15" t="s">
        <v>18</v>
      </c>
      <c r="I686" s="14" t="str">
        <f>IMAGE("https://upload.wikimedia.org/wikipedia/commons/9/98/Danaus_erippus_-_Mariposa_monarca.jpg")</f>
        <v/>
      </c>
    </row>
    <row r="687" ht="36.0" customHeight="1">
      <c r="A687" s="16" t="str">
        <f>HYPERLINK("https://commons.wikimedia.org/wiki/User:" &amp; ENCODEURL("KingJo09"), "KingJo09")</f>
        <v>KingJo09</v>
      </c>
      <c r="B687" s="17" t="s">
        <v>1433</v>
      </c>
      <c r="C687" s="18">
        <v>46165.89079861111</v>
      </c>
      <c r="D687" s="17" t="s">
        <v>1434</v>
      </c>
      <c r="E687" s="19" t="s">
        <v>1220</v>
      </c>
      <c r="F687" s="20" t="s">
        <v>16</v>
      </c>
      <c r="G687" s="20" t="s">
        <v>17</v>
      </c>
      <c r="H687" s="20" t="s">
        <v>18</v>
      </c>
      <c r="I687" s="19" t="str">
        <f>IMAGE("https://upload.wikimedia.org/wikipedia/commons/8/89/Danza_Colgante.jpg")</f>
        <v/>
      </c>
    </row>
    <row r="688" ht="36.0" customHeight="1">
      <c r="A688" s="10" t="str">
        <f>HYPERLINK("https://commons.wikimedia.org/wiki/User:" &amp; ENCODEURL("Diferoch"), "Diferoch")</f>
        <v>Diferoch</v>
      </c>
      <c r="B688" s="11" t="s">
        <v>1435</v>
      </c>
      <c r="C688" s="12">
        <v>46182.59402777778</v>
      </c>
      <c r="D688" s="11" t="s">
        <v>1436</v>
      </c>
      <c r="E688" s="14" t="s">
        <v>1437</v>
      </c>
      <c r="F688" s="15" t="s">
        <v>16</v>
      </c>
      <c r="G688" s="15" t="s">
        <v>17</v>
      </c>
      <c r="H688" s="15" t="s">
        <v>18</v>
      </c>
      <c r="I688" s="14" t="str">
        <f>IMAGE("https://upload.wikimedia.org/wikipedia/commons/a/a8/Daptrius_chimachima_cordatus_-_Barrancabermeja%2C_Santander%2C_Colombia_-_01_Jul_2026_-_Diferoch.jpg")</f>
        <v/>
      </c>
    </row>
    <row r="689" ht="36.0" customHeight="1">
      <c r="A689" s="16" t="str">
        <f>HYPERLINK("https://commons.wikimedia.org/wiki/User:" &amp; ENCODEURL("Dayrana Daniela Celedon Gamez"), "Dayrana Daniela Celedon Gamez")</f>
        <v>Dayrana Daniela Celedon Gamez</v>
      </c>
      <c r="B689" s="17" t="s">
        <v>1438</v>
      </c>
      <c r="C689" s="18">
        <v>46167.65568287037</v>
      </c>
      <c r="D689" s="17" t="s">
        <v>1439</v>
      </c>
      <c r="E689" s="19" t="s">
        <v>29</v>
      </c>
      <c r="F689" s="19" t="s">
        <v>30</v>
      </c>
      <c r="G689" s="20" t="s">
        <v>17</v>
      </c>
      <c r="H689" s="20" t="s">
        <v>18</v>
      </c>
      <c r="I689" s="19" t="str">
        <f>IMAGE("https://upload.wikimedia.org/wikipedia/commons/c/c6/Daptrius_chimachima_juvenil.jpg")</f>
        <v/>
      </c>
    </row>
    <row r="690" ht="36.0" customHeight="1">
      <c r="A690" s="10" t="str">
        <f>HYPERLINK("https://commons.wikimedia.org/wiki/User:" &amp; ENCODEURL("Zolsemiya"), "Zolsemiya")</f>
        <v>Zolsemiya</v>
      </c>
      <c r="B690" s="11" t="s">
        <v>1440</v>
      </c>
      <c r="C690" s="12">
        <v>46203.74916666667</v>
      </c>
      <c r="D690" s="11" t="s">
        <v>1441</v>
      </c>
      <c r="E690" s="14" t="s">
        <v>29</v>
      </c>
      <c r="F690" s="14" t="s">
        <v>30</v>
      </c>
      <c r="G690" s="15" t="s">
        <v>17</v>
      </c>
      <c r="H690" s="15" t="s">
        <v>18</v>
      </c>
      <c r="I690" s="14" t="str">
        <f>IMAGE("https://upload.wikimedia.org/wikipedia/commons/4/49/Darse_en_la_cabeza.jpg")</f>
        <v/>
      </c>
    </row>
    <row r="691" ht="36.0" customHeight="1">
      <c r="A691" s="16" t="str">
        <f>HYPERLINK("https://commons.wikimedia.org/wiki/User:" &amp; ENCODEURL("Reduvida3"), "Reduvida3")</f>
        <v>Reduvida3</v>
      </c>
      <c r="B691" s="17" t="s">
        <v>1442</v>
      </c>
      <c r="C691" s="18">
        <v>46182.65422453704</v>
      </c>
      <c r="D691" s="17" t="s">
        <v>1443</v>
      </c>
      <c r="E691" s="19" t="s">
        <v>29</v>
      </c>
      <c r="F691" s="19" t="s">
        <v>30</v>
      </c>
      <c r="G691" s="20" t="s">
        <v>17</v>
      </c>
      <c r="H691" s="20" t="s">
        <v>18</v>
      </c>
      <c r="I691" s="19" t="str">
        <f>IMAGE("https://upload.wikimedia.org/wikipedia/commons/e/e6/Dawn_at_the_commercial_port_of_Cartagena_de_Indias%2C_Bol%C3%ADvar%2C_Colombia.jpg")</f>
        <v/>
      </c>
    </row>
    <row r="692" ht="36.0" customHeight="1">
      <c r="A692" s="10" t="str">
        <f>HYPERLINK("https://commons.wikimedia.org/wiki/User:" &amp; ENCODEURL("Joseeem"), "Joseeem")</f>
        <v>Joseeem</v>
      </c>
      <c r="B692" s="11" t="s">
        <v>1444</v>
      </c>
      <c r="C692" s="12">
        <v>46156.94480324074</v>
      </c>
      <c r="D692" s="11" t="s">
        <v>1445</v>
      </c>
      <c r="E692" s="14" t="s">
        <v>29</v>
      </c>
      <c r="F692" s="14" t="s">
        <v>30</v>
      </c>
      <c r="G692" s="15" t="s">
        <v>17</v>
      </c>
      <c r="H692" s="15" t="s">
        <v>18</v>
      </c>
      <c r="I692" s="14" t="str">
        <f>IMAGE("https://upload.wikimedia.org/wikipedia/commons/1/13/Day_In_Playa_Blanca.jpg")</f>
        <v/>
      </c>
    </row>
    <row r="693" ht="36.0" customHeight="1">
      <c r="A693" s="16" t="str">
        <f>HYPERLINK("https://commons.wikimedia.org/wiki/User:" &amp; ENCODEURL("Laupedrazaa"), "Laupedrazaa")</f>
        <v>Laupedrazaa</v>
      </c>
      <c r="B693" s="17" t="s">
        <v>1446</v>
      </c>
      <c r="C693" s="18">
        <v>46167.88475694445</v>
      </c>
      <c r="D693" s="17" t="s">
        <v>1447</v>
      </c>
      <c r="E693" s="19" t="s">
        <v>29</v>
      </c>
      <c r="F693" s="19" t="s">
        <v>30</v>
      </c>
      <c r="G693" s="20" t="s">
        <v>17</v>
      </c>
      <c r="H693" s="20" t="s">
        <v>18</v>
      </c>
      <c r="I693" s="19" t="str">
        <f>IMAGE("https://upload.wikimedia.org/wikipedia/commons/1/15/De_Monserrate_a_Guadalupe.jpg")</f>
        <v/>
      </c>
    </row>
    <row r="694" ht="36.0" customHeight="1">
      <c r="A694" s="10" t="str">
        <f>HYPERLINK("https://commons.wikimedia.org/wiki/User:" &amp; ENCODEURL("Lamoraleja"), "Lamoraleja")</f>
        <v>Lamoraleja</v>
      </c>
      <c r="B694" s="11" t="s">
        <v>1448</v>
      </c>
      <c r="C694" s="12">
        <v>46149.583657407406</v>
      </c>
      <c r="D694" s="11" t="s">
        <v>1449</v>
      </c>
      <c r="E694" s="14" t="s">
        <v>1450</v>
      </c>
      <c r="F694" s="15" t="s">
        <v>16</v>
      </c>
      <c r="G694" s="15" t="s">
        <v>17</v>
      </c>
      <c r="H694" s="15" t="s">
        <v>18</v>
      </c>
      <c r="I694" s="14" t="str">
        <f>IMAGE("https://upload.wikimedia.org/wikipedia/commons/1/1c/De_la_civilizaci%C3%B3n_a_los_cerros.jpg")</f>
        <v/>
      </c>
    </row>
    <row r="695" ht="36.0" customHeight="1">
      <c r="A695" s="16" t="str">
        <f>HYPERLINK("https://commons.wikimedia.org/wiki/User:" &amp; ENCODEURL("Supertita"), "Supertita")</f>
        <v>Supertita</v>
      </c>
      <c r="B695" s="17" t="s">
        <v>1451</v>
      </c>
      <c r="C695" s="18">
        <v>46192.68440972222</v>
      </c>
      <c r="D695" s="17" t="s">
        <v>1452</v>
      </c>
      <c r="E695" s="19" t="s">
        <v>1453</v>
      </c>
      <c r="F695" s="20" t="s">
        <v>16</v>
      </c>
      <c r="G695" s="20" t="s">
        <v>17</v>
      </c>
      <c r="H695" s="20" t="s">
        <v>18</v>
      </c>
      <c r="I695" s="19" t="str">
        <f>IMAGE("https://upload.wikimedia.org/wikipedia/commons/3/35/Dead_brain_coral_colony_Leptoria.jpg")</f>
        <v/>
      </c>
    </row>
    <row r="696" ht="36.0" customHeight="1">
      <c r="A696" s="10" t="str">
        <f>HYPERLINK("https://commons.wikimedia.org/wiki/User:" &amp; ENCODEURL("Camell32"), "Camell32")</f>
        <v>Camell32</v>
      </c>
      <c r="B696" s="11" t="s">
        <v>1454</v>
      </c>
      <c r="C696" s="12">
        <v>46163.5468287037</v>
      </c>
      <c r="D696" s="11" t="s">
        <v>1455</v>
      </c>
      <c r="E696" s="14" t="s">
        <v>29</v>
      </c>
      <c r="F696" s="14" t="s">
        <v>30</v>
      </c>
      <c r="G696" s="15" t="s">
        <v>17</v>
      </c>
      <c r="H696" s="15" t="s">
        <v>18</v>
      </c>
      <c r="I696" s="14" t="str">
        <f>IMAGE("https://upload.wikimedia.org/wikipedia/commons/3/36/Delosperma_Cooperi_28_de_marzo_2025.jpg")</f>
        <v/>
      </c>
    </row>
    <row r="697" ht="36.0" customHeight="1">
      <c r="A697" s="16" t="str">
        <f t="shared" ref="A697:A698" si="98">HYPERLINK("https://commons.wikimedia.org/wiki/User:" &amp; ENCODEURL("XimmoY"), "XimmoY")</f>
        <v>XimmoY</v>
      </c>
      <c r="B697" s="17" t="s">
        <v>1456</v>
      </c>
      <c r="C697" s="18">
        <v>46203.79180555556</v>
      </c>
      <c r="D697" s="17" t="s">
        <v>1457</v>
      </c>
      <c r="E697" s="19" t="s">
        <v>184</v>
      </c>
      <c r="F697" s="20" t="s">
        <v>16</v>
      </c>
      <c r="G697" s="20" t="s">
        <v>17</v>
      </c>
      <c r="H697" s="20" t="s">
        <v>18</v>
      </c>
      <c r="I697" s="19" t="str">
        <f>IMAGE("https://upload.wikimedia.org/wikipedia/commons/6/6a/Dendrobates_truncatus_2026-2.jpg")</f>
        <v/>
      </c>
    </row>
    <row r="698" ht="36.0" customHeight="1">
      <c r="A698" s="10" t="str">
        <f t="shared" si="98"/>
        <v>XimmoY</v>
      </c>
      <c r="B698" s="11" t="s">
        <v>1458</v>
      </c>
      <c r="C698" s="12">
        <v>46203.79180555556</v>
      </c>
      <c r="D698" s="11" t="s">
        <v>1457</v>
      </c>
      <c r="E698" s="14" t="s">
        <v>184</v>
      </c>
      <c r="F698" s="15" t="s">
        <v>16</v>
      </c>
      <c r="G698" s="15" t="s">
        <v>17</v>
      </c>
      <c r="H698" s="15" t="s">
        <v>18</v>
      </c>
      <c r="I698" s="14" t="str">
        <f>IMAGE("https://upload.wikimedia.org/wikipedia/commons/9/9f/Dendrobates_truncatus_2026.jpg")</f>
        <v/>
      </c>
    </row>
    <row r="699" ht="36.0" customHeight="1">
      <c r="A699" s="16" t="str">
        <f>HYPERLINK("https://commons.wikimedia.org/wiki/User:" &amp; ENCODEURL("PioVet"), "PioVet")</f>
        <v>PioVet</v>
      </c>
      <c r="B699" s="17" t="s">
        <v>1459</v>
      </c>
      <c r="C699" s="18">
        <v>46169.59657407407</v>
      </c>
      <c r="D699" s="17" t="s">
        <v>1460</v>
      </c>
      <c r="E699" s="19" t="s">
        <v>29</v>
      </c>
      <c r="F699" s="19" t="s">
        <v>30</v>
      </c>
      <c r="G699" s="20" t="s">
        <v>17</v>
      </c>
      <c r="H699" s="20" t="s">
        <v>18</v>
      </c>
      <c r="I699" s="19" t="str">
        <f>IMAGE("https://upload.wikimedia.org/wikipedia/commons/6/62/Dendrobates_truncatus_27-05-2026.jpg")</f>
        <v/>
      </c>
    </row>
    <row r="700" ht="36.0" customHeight="1">
      <c r="A700" s="10" t="str">
        <f t="shared" ref="A700:A701" si="99">HYPERLINK("https://commons.wikimedia.org/wiki/User:" &amp; ENCODEURL("AmiGueko"), "AmiGueko")</f>
        <v>AmiGueko</v>
      </c>
      <c r="B700" s="11" t="s">
        <v>1461</v>
      </c>
      <c r="C700" s="12">
        <v>46165.923101851855</v>
      </c>
      <c r="D700" s="11" t="s">
        <v>1462</v>
      </c>
      <c r="E700" s="14" t="s">
        <v>1463</v>
      </c>
      <c r="F700" s="15" t="s">
        <v>16</v>
      </c>
      <c r="G700" s="15" t="s">
        <v>17</v>
      </c>
      <c r="H700" s="15" t="s">
        <v>18</v>
      </c>
      <c r="I700" s="14" t="str">
        <f>IMAGE("https://upload.wikimedia.org/wikipedia/commons/c/c2/Dendrochilum_orchid.jpg")</f>
        <v/>
      </c>
    </row>
    <row r="701" ht="36.0" customHeight="1">
      <c r="A701" s="16" t="str">
        <f t="shared" si="99"/>
        <v>AmiGueko</v>
      </c>
      <c r="B701" s="17" t="s">
        <v>1464</v>
      </c>
      <c r="C701" s="18">
        <v>46165.92324074074</v>
      </c>
      <c r="D701" s="17" t="s">
        <v>1465</v>
      </c>
      <c r="E701" s="19" t="s">
        <v>1466</v>
      </c>
      <c r="F701" s="20" t="s">
        <v>16</v>
      </c>
      <c r="G701" s="20" t="s">
        <v>17</v>
      </c>
      <c r="H701" s="20" t="s">
        <v>18</v>
      </c>
      <c r="I701" s="19" t="str">
        <f>IMAGE("https://upload.wikimedia.org/wikipedia/commons/3/33/Dendrochilum_orchid_se.jpg")</f>
        <v/>
      </c>
    </row>
    <row r="702" ht="36.0" customHeight="1">
      <c r="A702" s="10" t="str">
        <f>HYPERLINK("https://commons.wikimedia.org/wiki/User:" &amp; ENCODEURL("Supertita"), "Supertita")</f>
        <v>Supertita</v>
      </c>
      <c r="B702" s="11" t="s">
        <v>1467</v>
      </c>
      <c r="C702" s="12">
        <v>46192.75494212963</v>
      </c>
      <c r="D702" s="11" t="s">
        <v>1468</v>
      </c>
      <c r="E702" s="14" t="s">
        <v>446</v>
      </c>
      <c r="F702" s="15" t="s">
        <v>16</v>
      </c>
      <c r="G702" s="15" t="s">
        <v>17</v>
      </c>
      <c r="H702" s="15" t="s">
        <v>18</v>
      </c>
      <c r="I702" s="14" t="str">
        <f>IMAGE("https://upload.wikimedia.org/wikipedia/commons/d/dd/DETALLE_HOJAS_DE_BANANO.jpg")</f>
        <v/>
      </c>
    </row>
    <row r="703" ht="36.0" customHeight="1">
      <c r="A703" s="16" t="str">
        <f t="shared" ref="A703:A706" si="100">HYPERLINK("https://commons.wikimedia.org/wiki/User:" &amp; ENCODEURL("Jdcamacho12"), "Jdcamacho12")</f>
        <v>Jdcamacho12</v>
      </c>
      <c r="B703" s="17" t="s">
        <v>1469</v>
      </c>
      <c r="C703" s="18">
        <v>46191.5990625</v>
      </c>
      <c r="D703" s="17" t="s">
        <v>1470</v>
      </c>
      <c r="E703" s="19" t="s">
        <v>29</v>
      </c>
      <c r="F703" s="19" t="s">
        <v>30</v>
      </c>
      <c r="G703" s="20" t="s">
        <v>17</v>
      </c>
      <c r="H703" s="20" t="s">
        <v>18</v>
      </c>
      <c r="I703" s="19" t="str">
        <f>IMAGE("https://upload.wikimedia.org/wikipedia/commons/e/e1/DSC00245-Mejorado-NR.png")</f>
        <v/>
      </c>
    </row>
    <row r="704" ht="36.0" customHeight="1">
      <c r="A704" s="10" t="str">
        <f t="shared" si="100"/>
        <v>Jdcamacho12</v>
      </c>
      <c r="B704" s="11" t="s">
        <v>1471</v>
      </c>
      <c r="C704" s="12">
        <v>46191.5990625</v>
      </c>
      <c r="D704" s="11" t="s">
        <v>1472</v>
      </c>
      <c r="E704" s="14" t="s">
        <v>29</v>
      </c>
      <c r="F704" s="14" t="s">
        <v>30</v>
      </c>
      <c r="G704" s="15" t="s">
        <v>17</v>
      </c>
      <c r="H704" s="15" t="s">
        <v>18</v>
      </c>
      <c r="I704" s="14" t="str">
        <f>IMAGE("https://upload.wikimedia.org/wikipedia/commons/3/3b/DSC03062-Mejorado-NR.png")</f>
        <v/>
      </c>
    </row>
    <row r="705" ht="36.0" customHeight="1">
      <c r="A705" s="16" t="str">
        <f t="shared" si="100"/>
        <v>Jdcamacho12</v>
      </c>
      <c r="B705" s="17" t="s">
        <v>1473</v>
      </c>
      <c r="C705" s="18">
        <v>46191.599016203705</v>
      </c>
      <c r="D705" s="17" t="s">
        <v>1474</v>
      </c>
      <c r="E705" s="19" t="s">
        <v>29</v>
      </c>
      <c r="F705" s="19" t="s">
        <v>30</v>
      </c>
      <c r="G705" s="20" t="s">
        <v>17</v>
      </c>
      <c r="H705" s="20" t="s">
        <v>18</v>
      </c>
      <c r="I705" s="19" t="str">
        <f>IMAGE("https://upload.wikimedia.org/wikipedia/commons/e/e0/DSC08020-Mejorado-NR-2.jpg")</f>
        <v/>
      </c>
    </row>
    <row r="706" ht="36.0" customHeight="1">
      <c r="A706" s="10" t="str">
        <f t="shared" si="100"/>
        <v>Jdcamacho12</v>
      </c>
      <c r="B706" s="11" t="s">
        <v>1475</v>
      </c>
      <c r="C706" s="12">
        <v>46191.60013888889</v>
      </c>
      <c r="D706" s="11" t="s">
        <v>1476</v>
      </c>
      <c r="E706" s="14" t="s">
        <v>29</v>
      </c>
      <c r="F706" s="14" t="s">
        <v>30</v>
      </c>
      <c r="G706" s="15" t="s">
        <v>17</v>
      </c>
      <c r="H706" s="15" t="s">
        <v>18</v>
      </c>
      <c r="I706" s="14" t="str">
        <f>IMAGE("https://upload.wikimedia.org/wikipedia/commons/1/1a/DSCN6658-Mejorado-NR.jpg")</f>
        <v/>
      </c>
    </row>
    <row r="707" ht="36.0" customHeight="1">
      <c r="A707" s="16" t="str">
        <f>HYPERLINK("https://commons.wikimedia.org/wiki/User:" &amp; ENCODEURL("Johan Andrés Toro"), "Johan Andrés Toro")</f>
        <v>Johan Andrés Toro</v>
      </c>
      <c r="B707" s="17" t="s">
        <v>1477</v>
      </c>
      <c r="C707" s="18">
        <v>46171.49077546296</v>
      </c>
      <c r="D707" s="17" t="s">
        <v>1478</v>
      </c>
      <c r="E707" s="19" t="s">
        <v>29</v>
      </c>
      <c r="F707" s="19" t="s">
        <v>30</v>
      </c>
      <c r="G707" s="20" t="s">
        <v>17</v>
      </c>
      <c r="H707" s="20" t="s">
        <v>18</v>
      </c>
      <c r="I707" s="19" t="str">
        <f>IMAGE("https://upload.wikimedia.org/wikipedia/commons/6/6e/Densidad_del_bosque_en_las_laderas_de_Sutatausa.jpg")</f>
        <v/>
      </c>
    </row>
    <row r="708" ht="36.0" customHeight="1">
      <c r="A708" s="10" t="str">
        <f t="shared" ref="A708:A709" si="101">HYPERLINK("https://commons.wikimedia.org/wiki/User:" &amp; ENCODEURL("CHAVESJUAN19"), "CHAVESJUAN19")</f>
        <v>CHAVESJUAN19</v>
      </c>
      <c r="B708" s="11" t="s">
        <v>1479</v>
      </c>
      <c r="C708" s="12">
        <v>46203.9621412037</v>
      </c>
      <c r="D708" s="11" t="s">
        <v>1480</v>
      </c>
      <c r="E708" s="14" t="s">
        <v>179</v>
      </c>
      <c r="F708" s="15" t="s">
        <v>16</v>
      </c>
      <c r="G708" s="15" t="s">
        <v>17</v>
      </c>
      <c r="H708" s="15" t="s">
        <v>18</v>
      </c>
      <c r="I708" s="14" t="str">
        <f>IMAGE("https://upload.wikimedia.org/wikipedia/commons/d/da/Desayunando_de_cabeza_-_PNN_Cueva_de_los_Guacharos_%28PRIMER_PLANO%29.jpg")</f>
        <v/>
      </c>
    </row>
    <row r="709" ht="36.0" customHeight="1">
      <c r="A709" s="16" t="str">
        <f t="shared" si="101"/>
        <v>CHAVESJUAN19</v>
      </c>
      <c r="B709" s="17" t="s">
        <v>1481</v>
      </c>
      <c r="C709" s="18">
        <v>46203.96225694445</v>
      </c>
      <c r="D709" s="17" t="s">
        <v>1482</v>
      </c>
      <c r="E709" s="19" t="s">
        <v>29</v>
      </c>
      <c r="F709" s="19" t="s">
        <v>30</v>
      </c>
      <c r="G709" s="20" t="s">
        <v>17</v>
      </c>
      <c r="H709" s="20" t="s">
        <v>18</v>
      </c>
      <c r="I709" s="19" t="str">
        <f>IMAGE("https://upload.wikimedia.org/wikipedia/commons/c/c9/Desayunando_tarde_-_PNN_Chingaza.jpg")</f>
        <v/>
      </c>
    </row>
    <row r="710" ht="36.0" customHeight="1">
      <c r="A710" s="10" t="str">
        <f>HYPERLINK("https://commons.wikimedia.org/wiki/User:" &amp; ENCODEURL("ZulayMR"), "ZulayMR")</f>
        <v>ZulayMR</v>
      </c>
      <c r="B710" s="11" t="s">
        <v>1483</v>
      </c>
      <c r="C710" s="12">
        <v>46201.70371527778</v>
      </c>
      <c r="D710" s="11" t="s">
        <v>1484</v>
      </c>
      <c r="E710" s="14" t="s">
        <v>851</v>
      </c>
      <c r="F710" s="15" t="s">
        <v>16</v>
      </c>
      <c r="G710" s="15" t="s">
        <v>17</v>
      </c>
      <c r="H710" s="15" t="s">
        <v>18</v>
      </c>
      <c r="I710" s="14" t="str">
        <f>IMAGE("https://upload.wikimedia.org/wikipedia/commons/1/13/Descanso_en_compa%C3%B1%C3%ADa.jpg")</f>
        <v/>
      </c>
    </row>
    <row r="711" ht="36.0" customHeight="1">
      <c r="A711" s="16" t="str">
        <f>HYPERLINK("https://commons.wikimedia.org/wiki/User:" &amp; ENCODEURL("SebasWork"), "SebasWork")</f>
        <v>SebasWork</v>
      </c>
      <c r="B711" s="17" t="s">
        <v>1485</v>
      </c>
      <c r="C711" s="18">
        <v>46203.83560185185</v>
      </c>
      <c r="D711" s="17" t="s">
        <v>1486</v>
      </c>
      <c r="E711" s="19" t="s">
        <v>29</v>
      </c>
      <c r="F711" s="19" t="s">
        <v>30</v>
      </c>
      <c r="G711" s="20" t="s">
        <v>17</v>
      </c>
      <c r="H711" s="20" t="s">
        <v>18</v>
      </c>
      <c r="I711" s="19" t="str">
        <f>IMAGE("https://upload.wikimedia.org/wikipedia/commons/7/78/Descenso_salino_-_El_infierno_frio.jpg")</f>
        <v/>
      </c>
    </row>
    <row r="712" ht="36.0" customHeight="1">
      <c r="A712" s="10" t="str">
        <f>HYPERLINK("https://commons.wikimedia.org/wiki/User:" &amp; ENCODEURL("Halleyuncometafotografo"), "Halleyuncometafotografo")</f>
        <v>Halleyuncometafotografo</v>
      </c>
      <c r="B712" s="11" t="s">
        <v>1487</v>
      </c>
      <c r="C712" s="12">
        <v>46203.898564814815</v>
      </c>
      <c r="D712" s="11" t="s">
        <v>1488</v>
      </c>
      <c r="E712" s="14" t="s">
        <v>29</v>
      </c>
      <c r="F712" s="14" t="s">
        <v>30</v>
      </c>
      <c r="G712" s="15" t="s">
        <v>17</v>
      </c>
      <c r="H712" s="15" t="s">
        <v>18</v>
      </c>
      <c r="I712" s="14" t="str">
        <f>IMAGE("https://upload.wikimedia.org/wikipedia/commons/b/bb/Desierto_Estrellado.jpg")</f>
        <v/>
      </c>
    </row>
    <row r="713" ht="36.0" customHeight="1">
      <c r="A713" s="16" t="str">
        <f>HYPERLINK("https://commons.wikimedia.org/wiki/User:" &amp; ENCODEURL("SergiXCX"), "SergiXCX")</f>
        <v>SergiXCX</v>
      </c>
      <c r="B713" s="17" t="s">
        <v>1489</v>
      </c>
      <c r="C713" s="18">
        <v>46203.980891203704</v>
      </c>
      <c r="D713" s="17" t="s">
        <v>1490</v>
      </c>
      <c r="E713" s="19" t="s">
        <v>29</v>
      </c>
      <c r="F713" s="19" t="s">
        <v>30</v>
      </c>
      <c r="G713" s="20" t="s">
        <v>17</v>
      </c>
      <c r="H713" s="20" t="s">
        <v>18</v>
      </c>
      <c r="I713" s="19" t="str">
        <f>IMAGE("https://upload.wikimedia.org/wikipedia/commons/6/6b/Desierto_de_La_Tatacoa_%28Tatacoa_Desert%29.jpg")</f>
        <v/>
      </c>
    </row>
    <row r="714" ht="36.0" customHeight="1">
      <c r="A714" s="10" t="str">
        <f>HYPERLINK("https://commons.wikimedia.org/wiki/User:" &amp; ENCODEURL("Allysami2215"), "Allysami2215")</f>
        <v>Allysami2215</v>
      </c>
      <c r="B714" s="11" t="s">
        <v>1491</v>
      </c>
      <c r="C714" s="12">
        <v>46147.85193287037</v>
      </c>
      <c r="D714" s="11" t="s">
        <v>1492</v>
      </c>
      <c r="E714" s="14" t="s">
        <v>29</v>
      </c>
      <c r="F714" s="14" t="s">
        <v>30</v>
      </c>
      <c r="G714" s="15" t="s">
        <v>17</v>
      </c>
      <c r="H714" s="15" t="s">
        <v>18</v>
      </c>
      <c r="I714" s="14" t="str">
        <f>IMAGE("https://upload.wikimedia.org/wikipedia/commons/c/cf/Desierto_de_la_tatacoa_rojo.jpg")</f>
        <v/>
      </c>
    </row>
    <row r="715" ht="36.0" customHeight="1">
      <c r="A715" s="16" t="str">
        <f t="shared" ref="A715:A717" si="102">HYPERLINK("https://commons.wikimedia.org/wiki/User:" &amp; ENCODEURL("Oscarvelascomora"), "Oscarvelascomora")</f>
        <v>Oscarvelascomora</v>
      </c>
      <c r="B715" s="17" t="s">
        <v>1493</v>
      </c>
      <c r="C715" s="18">
        <v>46151.68309027778</v>
      </c>
      <c r="D715" s="17" t="s">
        <v>1494</v>
      </c>
      <c r="E715" s="19" t="s">
        <v>29</v>
      </c>
      <c r="F715" s="19" t="s">
        <v>30</v>
      </c>
      <c r="G715" s="20" t="s">
        <v>17</v>
      </c>
      <c r="H715" s="20" t="s">
        <v>18</v>
      </c>
      <c r="I715" s="19" t="str">
        <f>IMAGE("https://upload.wikimedia.org/wikipedia/commons/e/ea/Desierto_la_Tatacoa.jpg")</f>
        <v/>
      </c>
    </row>
    <row r="716" ht="36.0" customHeight="1">
      <c r="A716" s="10" t="str">
        <f t="shared" si="102"/>
        <v>Oscarvelascomora</v>
      </c>
      <c r="B716" s="11" t="s">
        <v>1495</v>
      </c>
      <c r="C716" s="12">
        <v>46151.68311342593</v>
      </c>
      <c r="D716" s="11" t="s">
        <v>1496</v>
      </c>
      <c r="E716" s="14" t="s">
        <v>29</v>
      </c>
      <c r="F716" s="14" t="s">
        <v>30</v>
      </c>
      <c r="G716" s="15" t="s">
        <v>17</v>
      </c>
      <c r="H716" s="15" t="s">
        <v>18</v>
      </c>
      <c r="I716" s="14" t="str">
        <f>IMAGE("https://upload.wikimedia.org/wikipedia/commons/e/e8/Desierto_la_Tatacoa_%282%29.jpg")</f>
        <v/>
      </c>
    </row>
    <row r="717" ht="36.0" customHeight="1">
      <c r="A717" s="16" t="str">
        <f t="shared" si="102"/>
        <v>Oscarvelascomora</v>
      </c>
      <c r="B717" s="17" t="s">
        <v>1497</v>
      </c>
      <c r="C717" s="18">
        <v>46151.683125</v>
      </c>
      <c r="D717" s="17" t="s">
        <v>1498</v>
      </c>
      <c r="E717" s="19" t="s">
        <v>29</v>
      </c>
      <c r="F717" s="19" t="s">
        <v>30</v>
      </c>
      <c r="G717" s="20" t="s">
        <v>17</v>
      </c>
      <c r="H717" s="20" t="s">
        <v>18</v>
      </c>
      <c r="I717" s="19" t="str">
        <f>IMAGE("https://upload.wikimedia.org/wikipedia/commons/f/fe/Desierto_la_Tatacoa_%283%29.jpg")</f>
        <v/>
      </c>
    </row>
    <row r="718" ht="36.0" customHeight="1">
      <c r="A718" s="10" t="str">
        <f>HYPERLINK("https://commons.wikimedia.org/wiki/User:" &amp; ENCODEURL("Johan Andrés Toro"), "Johan Andrés Toro")</f>
        <v>Johan Andrés Toro</v>
      </c>
      <c r="B718" s="11" t="s">
        <v>1499</v>
      </c>
      <c r="C718" s="12">
        <v>46171.555601851855</v>
      </c>
      <c r="D718" s="11" t="s">
        <v>1500</v>
      </c>
      <c r="E718" s="14" t="s">
        <v>29</v>
      </c>
      <c r="F718" s="14" t="s">
        <v>30</v>
      </c>
      <c r="G718" s="15" t="s">
        <v>17</v>
      </c>
      <c r="H718" s="15" t="s">
        <v>18</v>
      </c>
      <c r="I718" s="14" t="str">
        <f>IMAGE("https://upload.wikimedia.org/wikipedia/commons/b/b6/Desplazamiento_de_garza_real_sobre_el_espejo_de_agua_del_r%C3%ADo.jpg")</f>
        <v/>
      </c>
    </row>
    <row r="719" ht="36.0" customHeight="1">
      <c r="A719" s="16" t="str">
        <f>HYPERLINK("https://commons.wikimedia.org/wiki/User:" &amp; ENCODEURL("Diego Fernando Delgado Castro"), "Diego Fernando Delgado Castro")</f>
        <v>Diego Fernando Delgado Castro</v>
      </c>
      <c r="B719" s="17" t="s">
        <v>1501</v>
      </c>
      <c r="C719" s="18">
        <v>46179.716458333336</v>
      </c>
      <c r="D719" s="17" t="s">
        <v>1502</v>
      </c>
      <c r="E719" s="19" t="s">
        <v>29</v>
      </c>
      <c r="F719" s="19" t="s">
        <v>30</v>
      </c>
      <c r="G719" s="20" t="s">
        <v>17</v>
      </c>
      <c r="H719" s="20" t="s">
        <v>18</v>
      </c>
      <c r="I719" s="19" t="str">
        <f>IMAGE("https://upload.wikimedia.org/wikipedia/commons/e/e2/Destello_Dorado_entre_las_Ramas.jpg")</f>
        <v/>
      </c>
    </row>
    <row r="720" ht="36.0" customHeight="1">
      <c r="A720" s="10" t="str">
        <f>HYPERLINK("https://commons.wikimedia.org/wiki/User:" &amp; ENCODEURL("Maarianacruzm"), "Maarianacruzm")</f>
        <v>Maarianacruzm</v>
      </c>
      <c r="B720" s="11" t="s">
        <v>1503</v>
      </c>
      <c r="C720" s="12">
        <v>46203.980162037034</v>
      </c>
      <c r="D720" s="11" t="s">
        <v>1504</v>
      </c>
      <c r="E720" s="14" t="s">
        <v>29</v>
      </c>
      <c r="F720" s="14" t="s">
        <v>30</v>
      </c>
      <c r="G720" s="15" t="s">
        <v>17</v>
      </c>
      <c r="H720" s="15" t="s">
        <v>18</v>
      </c>
      <c r="I720" s="14" t="str">
        <f>IMAGE("https://upload.wikimedia.org/wikipedia/commons/e/e4/Destello_de_esmeralda.jpg")</f>
        <v/>
      </c>
    </row>
    <row r="721" ht="36.0" customHeight="1">
      <c r="A721" s="16" t="str">
        <f t="shared" ref="A721:A723" si="103">HYPERLINK("https://commons.wikimedia.org/wiki/User:" &amp; ENCODEURL("Johan Andrés Toro"), "Johan Andrés Toro")</f>
        <v>Johan Andrés Toro</v>
      </c>
      <c r="B721" s="17" t="s">
        <v>1505</v>
      </c>
      <c r="C721" s="18">
        <v>46176.94578703704</v>
      </c>
      <c r="D721" s="17" t="s">
        <v>1506</v>
      </c>
      <c r="E721" s="19" t="s">
        <v>29</v>
      </c>
      <c r="F721" s="19" t="s">
        <v>30</v>
      </c>
      <c r="G721" s="20" t="s">
        <v>17</v>
      </c>
      <c r="H721" s="20" t="s">
        <v>18</v>
      </c>
      <c r="I721" s="19" t="str">
        <f>IMAGE("https://upload.wikimedia.org/wikipedia/commons/7/76/Detalle_abstracto_de_c%C3%A1rcavas_grises_en_la_Tatacoa.jpg")</f>
        <v/>
      </c>
    </row>
    <row r="722" ht="36.0" customHeight="1">
      <c r="A722" s="10" t="str">
        <f t="shared" si="103"/>
        <v>Johan Andrés Toro</v>
      </c>
      <c r="B722" s="11" t="s">
        <v>1507</v>
      </c>
      <c r="C722" s="12">
        <v>46171.49084490741</v>
      </c>
      <c r="D722" s="11" t="s">
        <v>1508</v>
      </c>
      <c r="E722" s="14" t="s">
        <v>29</v>
      </c>
      <c r="F722" s="14" t="s">
        <v>30</v>
      </c>
      <c r="G722" s="15" t="s">
        <v>17</v>
      </c>
      <c r="H722" s="15" t="s">
        <v>18</v>
      </c>
      <c r="I722" s="14" t="str">
        <f>IMAGE("https://upload.wikimedia.org/wikipedia/commons/5/51/Detalle_de_hoja_seca_sobre_la_superficie_de_la_roca_en_Sutatausa.jpg")</f>
        <v/>
      </c>
    </row>
    <row r="723" ht="36.0" customHeight="1">
      <c r="A723" s="16" t="str">
        <f t="shared" si="103"/>
        <v>Johan Andrés Toro</v>
      </c>
      <c r="B723" s="17" t="s">
        <v>1509</v>
      </c>
      <c r="C723" s="18">
        <v>46171.626967592594</v>
      </c>
      <c r="D723" s="17" t="s">
        <v>1510</v>
      </c>
      <c r="E723" s="19" t="s">
        <v>1511</v>
      </c>
      <c r="F723" s="20" t="s">
        <v>16</v>
      </c>
      <c r="G723" s="20" t="s">
        <v>17</v>
      </c>
      <c r="H723" s="20" t="s">
        <v>18</v>
      </c>
      <c r="I723" s="19" t="str">
        <f>IMAGE("https://upload.wikimedia.org/wikipedia/commons/c/cb/Detalle_de_la_cresta_y_ca%C3%ADda_del_Salto_del_Tequendama.jpg")</f>
        <v/>
      </c>
    </row>
    <row r="724" ht="36.0" customHeight="1">
      <c r="A724" s="10" t="str">
        <f>HYPERLINK("https://commons.wikimedia.org/wiki/User:" &amp; ENCODEURL("Daijiruu"), "Daijiruu")</f>
        <v>Daijiruu</v>
      </c>
      <c r="B724" s="11" t="s">
        <v>1512</v>
      </c>
      <c r="C724" s="12">
        <v>46163.52810185185</v>
      </c>
      <c r="D724" s="11" t="s">
        <v>1513</v>
      </c>
      <c r="E724" s="14" t="s">
        <v>29</v>
      </c>
      <c r="F724" s="14" t="s">
        <v>30</v>
      </c>
      <c r="G724" s="15" t="s">
        <v>17</v>
      </c>
      <c r="H724" s="15" t="s">
        <v>18</v>
      </c>
      <c r="I724" s="14" t="str">
        <f>IMAGE("https://upload.wikimedia.org/wikipedia/commons/e/e4/Detalle_del_Agua_y_sus_Plantas.jpg")</f>
        <v/>
      </c>
    </row>
    <row r="725" ht="36.0" customHeight="1">
      <c r="A725" s="16" t="str">
        <f>HYPERLINK("https://commons.wikimedia.org/wiki/User:" &amp; ENCODEURL("Elprofeta91"), "Elprofeta91")</f>
        <v>Elprofeta91</v>
      </c>
      <c r="B725" s="17" t="s">
        <v>1514</v>
      </c>
      <c r="C725" s="18">
        <v>46147.791180555556</v>
      </c>
      <c r="D725" s="17" t="s">
        <v>32</v>
      </c>
      <c r="E725" s="19" t="s">
        <v>1515</v>
      </c>
      <c r="F725" s="20" t="s">
        <v>16</v>
      </c>
      <c r="G725" s="20" t="s">
        <v>17</v>
      </c>
      <c r="H725" s="20" t="s">
        <v>18</v>
      </c>
      <c r="I725" s="19" t="str">
        <f>IMAGE("https://upload.wikimedia.org/wikipedia/commons/f/f1/Detr%C3%A1s_de_los_%C3%A1rboles.jpg")</f>
        <v/>
      </c>
    </row>
    <row r="726" ht="36.0" customHeight="1">
      <c r="A726" s="10" t="str">
        <f>HYPERLINK("https://commons.wikimedia.org/wiki/User:" &amp; ENCODEURL("Andres Cagua castro"), "Andres Cagua castro")</f>
        <v>Andres Cagua castro</v>
      </c>
      <c r="B726" s="11" t="s">
        <v>1516</v>
      </c>
      <c r="C726" s="12">
        <v>46156.46042824074</v>
      </c>
      <c r="D726" s="11" t="s">
        <v>1517</v>
      </c>
      <c r="E726" s="14" t="s">
        <v>29</v>
      </c>
      <c r="F726" s="14" t="s">
        <v>30</v>
      </c>
      <c r="G726" s="15" t="s">
        <v>17</v>
      </c>
      <c r="H726" s="15" t="s">
        <v>18</v>
      </c>
      <c r="I726" s="14" t="str">
        <f>IMAGE("https://upload.wikimedia.org/wikipedia/commons/b/be/Dia_hermoso_en_el_Salto_del_Tequendama.jpg")</f>
        <v/>
      </c>
    </row>
    <row r="727" ht="36.0" customHeight="1">
      <c r="A727" s="16" t="str">
        <f>HYPERLINK("https://commons.wikimedia.org/wiki/User:" &amp; ENCODEURL("NicolleTorresG"), "NicolleTorresG")</f>
        <v>NicolleTorresG</v>
      </c>
      <c r="B727" s="17" t="s">
        <v>1518</v>
      </c>
      <c r="C727" s="18">
        <v>46199.938935185186</v>
      </c>
      <c r="D727" s="17" t="s">
        <v>1519</v>
      </c>
      <c r="E727" s="19" t="s">
        <v>848</v>
      </c>
      <c r="F727" s="20" t="s">
        <v>16</v>
      </c>
      <c r="G727" s="20" t="s">
        <v>17</v>
      </c>
      <c r="H727" s="20" t="s">
        <v>18</v>
      </c>
      <c r="I727" s="19" t="str">
        <f>IMAGE("https://upload.wikimedia.org/wikipedia/commons/2/2a/Diamante_pechigamuza_-_Heliodoxa_rubinoides.jpg")</f>
        <v/>
      </c>
    </row>
    <row r="728" ht="36.0" customHeight="1">
      <c r="A728" s="10" t="str">
        <f t="shared" ref="A728:A730" si="104">HYPERLINK("https://commons.wikimedia.org/wiki/User:" &amp; ENCODEURL("Diferoch"), "Diferoch")</f>
        <v>Diferoch</v>
      </c>
      <c r="B728" s="11" t="s">
        <v>1520</v>
      </c>
      <c r="C728" s="12">
        <v>46161.877534722225</v>
      </c>
      <c r="D728" s="11" t="s">
        <v>1521</v>
      </c>
      <c r="E728" s="14" t="s">
        <v>1522</v>
      </c>
      <c r="F728" s="15" t="s">
        <v>16</v>
      </c>
      <c r="G728" s="15" t="s">
        <v>17</v>
      </c>
      <c r="H728" s="15" t="s">
        <v>18</v>
      </c>
      <c r="I728" s="14" t="str">
        <f>IMAGE("https://upload.wikimedia.org/wikipedia/commons/5/59/Didelphis_marsupialis_-_Barrancabermeja%2C_Santander%2C_Colombia_-_2_Jun_2025_-_1.jpg")</f>
        <v/>
      </c>
    </row>
    <row r="729" ht="36.0" customHeight="1">
      <c r="A729" s="16" t="str">
        <f t="shared" si="104"/>
        <v>Diferoch</v>
      </c>
      <c r="B729" s="17" t="s">
        <v>1523</v>
      </c>
      <c r="C729" s="18">
        <v>46161.877534722225</v>
      </c>
      <c r="D729" s="17" t="s">
        <v>1521</v>
      </c>
      <c r="E729" s="19" t="s">
        <v>1524</v>
      </c>
      <c r="F729" s="20" t="s">
        <v>16</v>
      </c>
      <c r="G729" s="20" t="s">
        <v>17</v>
      </c>
      <c r="H729" s="20" t="s">
        <v>18</v>
      </c>
      <c r="I729" s="19" t="str">
        <f>IMAGE("https://upload.wikimedia.org/wikipedia/commons/6/68/Didelphis_marsupialis_-_Barrancabermeja%2C_Santander%2C_Colombia_-_2_Jun_2025_-_2.jpg")</f>
        <v/>
      </c>
    </row>
    <row r="730" ht="36.0" customHeight="1">
      <c r="A730" s="10" t="str">
        <f t="shared" si="104"/>
        <v>Diferoch</v>
      </c>
      <c r="B730" s="11" t="s">
        <v>1525</v>
      </c>
      <c r="C730" s="12">
        <v>46161.877546296295</v>
      </c>
      <c r="D730" s="11" t="s">
        <v>1526</v>
      </c>
      <c r="E730" s="14" t="s">
        <v>1527</v>
      </c>
      <c r="F730" s="15" t="s">
        <v>16</v>
      </c>
      <c r="G730" s="15" t="s">
        <v>17</v>
      </c>
      <c r="H730" s="15" t="s">
        <v>18</v>
      </c>
      <c r="I730" s="14" t="str">
        <f>IMAGE("https://upload.wikimedia.org/wikipedia/commons/d/d5/Didelphis_marsupialis_-_Barrancabermeja%2C_Santander%2C_Colombia_-_2_Jun_2025_-_3.jpg")</f>
        <v/>
      </c>
    </row>
    <row r="731" ht="36.0" customHeight="1">
      <c r="A731" s="16" t="str">
        <f>HYPERLINK("https://commons.wikimedia.org/wiki/User:" &amp; ENCODEURL("IvanVillacorte"), "IvanVillacorte")</f>
        <v>IvanVillacorte</v>
      </c>
      <c r="B731" s="17" t="s">
        <v>1528</v>
      </c>
      <c r="C731" s="18">
        <v>46162.83497685185</v>
      </c>
      <c r="D731" s="17" t="s">
        <v>1529</v>
      </c>
      <c r="E731" s="19" t="s">
        <v>29</v>
      </c>
      <c r="F731" s="19" t="s">
        <v>30</v>
      </c>
      <c r="G731" s="20" t="s">
        <v>17</v>
      </c>
      <c r="H731" s="20" t="s">
        <v>18</v>
      </c>
      <c r="I731" s="19" t="str">
        <f>IMAGE("https://upload.wikimedia.org/wikipedia/commons/8/85/Dimorfismo_sexual_en_Sporophila_luctuosa_en_vegetaci%C3%B3n_natural.jpg")</f>
        <v/>
      </c>
    </row>
    <row r="732" ht="36.0" customHeight="1">
      <c r="A732" s="10" t="str">
        <f t="shared" ref="A732:A734" si="105">HYPERLINK("https://commons.wikimedia.org/wiki/User:" &amp; ENCODEURL("Diferoch"), "Diferoch")</f>
        <v>Diferoch</v>
      </c>
      <c r="B732" s="11" t="s">
        <v>1530</v>
      </c>
      <c r="C732" s="12">
        <v>46189.815520833334</v>
      </c>
      <c r="D732" s="11" t="s">
        <v>1531</v>
      </c>
      <c r="E732" s="14" t="s">
        <v>1532</v>
      </c>
      <c r="F732" s="15" t="s">
        <v>16</v>
      </c>
      <c r="G732" s="15" t="s">
        <v>17</v>
      </c>
      <c r="H732" s="15" t="s">
        <v>18</v>
      </c>
      <c r="I732" s="14" t="str">
        <f>IMAGE("https://upload.wikimedia.org/wikipedia/commons/c/c4/Diptera_-_Bogot%C3%A1_D._C.%2C_Colombia_-_23_Aug_2025_-_Diferoch_-_1.jpg")</f>
        <v/>
      </c>
    </row>
    <row r="733" ht="36.0" customHeight="1">
      <c r="A733" s="16" t="str">
        <f t="shared" si="105"/>
        <v>Diferoch</v>
      </c>
      <c r="B733" s="17" t="s">
        <v>1533</v>
      </c>
      <c r="C733" s="18">
        <v>46189.81555555556</v>
      </c>
      <c r="D733" s="17" t="s">
        <v>1531</v>
      </c>
      <c r="E733" s="19" t="s">
        <v>1534</v>
      </c>
      <c r="F733" s="20" t="s">
        <v>16</v>
      </c>
      <c r="G733" s="20" t="s">
        <v>17</v>
      </c>
      <c r="H733" s="20" t="s">
        <v>18</v>
      </c>
      <c r="I733" s="19" t="str">
        <f>IMAGE("https://upload.wikimedia.org/wikipedia/commons/a/ae/Diptera_-_Bogot%C3%A1_D._C.%2C_Colombia_-_23_Aug_2025_-_Diferoch_-_2.jpg")</f>
        <v/>
      </c>
    </row>
    <row r="734" ht="36.0" customHeight="1">
      <c r="A734" s="10" t="str">
        <f t="shared" si="105"/>
        <v>Diferoch</v>
      </c>
      <c r="B734" s="11" t="s">
        <v>1535</v>
      </c>
      <c r="C734" s="12">
        <v>46189.81560185185</v>
      </c>
      <c r="D734" s="11" t="s">
        <v>1531</v>
      </c>
      <c r="E734" s="14" t="s">
        <v>1536</v>
      </c>
      <c r="F734" s="15" t="s">
        <v>16</v>
      </c>
      <c r="G734" s="15" t="s">
        <v>17</v>
      </c>
      <c r="H734" s="15" t="s">
        <v>18</v>
      </c>
      <c r="I734" s="14" t="str">
        <f>IMAGE("https://upload.wikimedia.org/wikipedia/commons/7/74/Diptera_-_Bogot%C3%A1_D._C.%2C_Colombia_-_23_Aug_2025_-_Diferoch_-_3.jpg")</f>
        <v/>
      </c>
    </row>
    <row r="735" ht="36.0" customHeight="1">
      <c r="A735" s="16" t="str">
        <f t="shared" ref="A735:A736" si="106">HYPERLINK("https://commons.wikimedia.org/wiki/User:" &amp; ENCODEURL("Nathaly 1106"), "Nathaly 1106")</f>
        <v>Nathaly 1106</v>
      </c>
      <c r="B735" s="17" t="s">
        <v>1537</v>
      </c>
      <c r="C735" s="18">
        <v>46148.95701388889</v>
      </c>
      <c r="D735" s="17" t="s">
        <v>1538</v>
      </c>
      <c r="E735" s="19" t="s">
        <v>29</v>
      </c>
      <c r="F735" s="19" t="s">
        <v>30</v>
      </c>
      <c r="G735" s="20" t="s">
        <v>17</v>
      </c>
      <c r="H735" s="20" t="s">
        <v>18</v>
      </c>
      <c r="I735" s="19" t="str">
        <f>IMAGE("https://upload.wikimedia.org/wikipedia/commons/6/64/Divisando_el_lago.jpg")</f>
        <v/>
      </c>
    </row>
    <row r="736" ht="36.0" customHeight="1">
      <c r="A736" s="10" t="str">
        <f t="shared" si="106"/>
        <v>Nathaly 1106</v>
      </c>
      <c r="B736" s="11" t="s">
        <v>1539</v>
      </c>
      <c r="C736" s="12">
        <v>46148.95711805556</v>
      </c>
      <c r="D736" s="11" t="s">
        <v>1540</v>
      </c>
      <c r="E736" s="14" t="s">
        <v>29</v>
      </c>
      <c r="F736" s="14" t="s">
        <v>30</v>
      </c>
      <c r="G736" s="15" t="s">
        <v>17</v>
      </c>
      <c r="H736" s="15" t="s">
        <v>18</v>
      </c>
      <c r="I736" s="14" t="str">
        <f>IMAGE("https://upload.wikimedia.org/wikipedia/commons/0/05/Divisando_el_mar_desde_Santa_Marta_%28Colombia%29.jpg")</f>
        <v/>
      </c>
    </row>
    <row r="737" ht="36.0" customHeight="1">
      <c r="A737" s="16" t="str">
        <f>HYPERLINK("https://commons.wikimedia.org/wiki/User:" &amp; ENCODEURL("DeibyJk"), "DeibyJk")</f>
        <v>DeibyJk</v>
      </c>
      <c r="B737" s="17" t="s">
        <v>1541</v>
      </c>
      <c r="C737" s="18">
        <v>46166.94195601852</v>
      </c>
      <c r="D737" s="17" t="s">
        <v>158</v>
      </c>
      <c r="E737" s="19" t="s">
        <v>29</v>
      </c>
      <c r="F737" s="19" t="s">
        <v>30</v>
      </c>
      <c r="G737" s="20" t="s">
        <v>17</v>
      </c>
      <c r="H737" s="20" t="s">
        <v>18</v>
      </c>
      <c r="I737" s="19" t="str">
        <f>IMAGE("https://upload.wikimedia.org/wikipedia/commons/8/84/Dobleshuila_07.jpg")</f>
        <v/>
      </c>
    </row>
    <row r="738" ht="36.0" customHeight="1">
      <c r="A738" s="10" t="str">
        <f>HYPERLINK("https://commons.wikimedia.org/wiki/User:" &amp; ENCODEURL("Project5443"), "Project5443")</f>
        <v>Project5443</v>
      </c>
      <c r="B738" s="11" t="s">
        <v>1542</v>
      </c>
      <c r="C738" s="12">
        <v>46163.52751157407</v>
      </c>
      <c r="D738" s="11" t="s">
        <v>1543</v>
      </c>
      <c r="E738" s="14" t="s">
        <v>1544</v>
      </c>
      <c r="F738" s="15" t="s">
        <v>16</v>
      </c>
      <c r="G738" s="15" t="s">
        <v>17</v>
      </c>
      <c r="H738" s="15" t="s">
        <v>18</v>
      </c>
      <c r="I738" s="14" t="str">
        <f>IMAGE("https://upload.wikimedia.org/wikipedia/commons/8/86/Donde_el_r%C3%ADo_se_encuentra_con_el_mar.jpg")</f>
        <v/>
      </c>
    </row>
    <row r="739" ht="36.0" customHeight="1">
      <c r="A739" s="16" t="str">
        <f>HYPERLINK("https://commons.wikimedia.org/wiki/User:" &amp; ENCODEURL("Halleyuncometafotografo"), "Halleyuncometafotografo")</f>
        <v>Halleyuncometafotografo</v>
      </c>
      <c r="B739" s="17" t="s">
        <v>1545</v>
      </c>
      <c r="C739" s="18">
        <v>46203.8984837963</v>
      </c>
      <c r="D739" s="17" t="s">
        <v>1546</v>
      </c>
      <c r="E739" s="19" t="s">
        <v>29</v>
      </c>
      <c r="F739" s="19" t="s">
        <v>30</v>
      </c>
      <c r="G739" s="20" t="s">
        <v>17</v>
      </c>
      <c r="H739" s="20" t="s">
        <v>18</v>
      </c>
      <c r="I739" s="19" t="str">
        <f>IMAGE("https://upload.wikimedia.org/wikipedia/commons/1/1e/Donde_nace_el_silencio.jpg")</f>
        <v/>
      </c>
    </row>
    <row r="740" ht="36.0" customHeight="1">
      <c r="A740" s="10" t="str">
        <f>HYPERLINK("https://commons.wikimedia.org/wiki/User:" &amp; ENCODEURL("Camell32"), "Camell32")</f>
        <v>Camell32</v>
      </c>
      <c r="B740" s="11" t="s">
        <v>1547</v>
      </c>
      <c r="C740" s="12">
        <v>46163.537094907406</v>
      </c>
      <c r="D740" s="11" t="s">
        <v>1548</v>
      </c>
      <c r="E740" s="14" t="s">
        <v>29</v>
      </c>
      <c r="F740" s="14" t="s">
        <v>30</v>
      </c>
      <c r="G740" s="15" t="s">
        <v>17</v>
      </c>
      <c r="H740" s="15" t="s">
        <v>18</v>
      </c>
      <c r="I740" s="14" t="str">
        <f>IMAGE("https://upload.wikimedia.org/wikipedia/commons/5/50/Dorada%2C_Caldas_%28charca_guarinocito%29_Febrero_23_del_2025.jpg")</f>
        <v/>
      </c>
    </row>
    <row r="741" ht="36.0" customHeight="1">
      <c r="A741" s="16" t="str">
        <f>HYPERLINK("https://commons.wikimedia.org/wiki/User:" &amp; ENCODEURL("Johan Andrés Toro"), "Johan Andrés Toro")</f>
        <v>Johan Andrés Toro</v>
      </c>
      <c r="B741" s="17" t="s">
        <v>1549</v>
      </c>
      <c r="C741" s="18">
        <v>46171.49071759259</v>
      </c>
      <c r="D741" s="17" t="s">
        <v>1550</v>
      </c>
      <c r="E741" s="19" t="s">
        <v>29</v>
      </c>
      <c r="F741" s="19" t="s">
        <v>30</v>
      </c>
      <c r="G741" s="20" t="s">
        <v>17</v>
      </c>
      <c r="H741" s="20" t="s">
        <v>18</v>
      </c>
      <c r="I741" s="19" t="str">
        <f>IMAGE("https://upload.wikimedia.org/wikipedia/commons/3/31/Dosel_forestal_en_los_Farallones_de_Sutatausa.jpg")</f>
        <v/>
      </c>
    </row>
    <row r="742" ht="36.0" customHeight="1">
      <c r="A742" s="10" t="str">
        <f>HYPERLINK("https://commons.wikimedia.org/wiki/User:" &amp; ENCODEURL("Nathaly 1106"), "Nathaly 1106")</f>
        <v>Nathaly 1106</v>
      </c>
      <c r="B742" s="11" t="s">
        <v>1551</v>
      </c>
      <c r="C742" s="12">
        <v>46147.60928240741</v>
      </c>
      <c r="D742" s="11" t="s">
        <v>1552</v>
      </c>
      <c r="E742" s="14" t="s">
        <v>29</v>
      </c>
      <c r="F742" s="14" t="s">
        <v>30</v>
      </c>
      <c r="G742" s="15" t="s">
        <v>17</v>
      </c>
      <c r="H742" s="15" t="s">
        <v>18</v>
      </c>
      <c r="I742" s="14" t="str">
        <f>IMAGE("https://upload.wikimedia.org/wikipedia/commons/8/8c/Drago_%28Croton_mutisiarius%29.jpg")</f>
        <v/>
      </c>
    </row>
    <row r="743" ht="36.0" customHeight="1">
      <c r="A743" s="16" t="str">
        <f>HYPERLINK("https://commons.wikimedia.org/wiki/User:" &amp; ENCODEURL("Mottenpriesterin"), "Mottenpriesterin")</f>
        <v>Mottenpriesterin</v>
      </c>
      <c r="B743" s="17" t="s">
        <v>1553</v>
      </c>
      <c r="C743" s="18">
        <v>46202.92020833334</v>
      </c>
      <c r="D743" s="17" t="s">
        <v>1554</v>
      </c>
      <c r="E743" s="19" t="s">
        <v>29</v>
      </c>
      <c r="F743" s="19" t="s">
        <v>30</v>
      </c>
      <c r="G743" s="20" t="s">
        <v>17</v>
      </c>
      <c r="H743" s="20" t="s">
        <v>18</v>
      </c>
      <c r="I743" s="19" t="str">
        <f>IMAGE("https://upload.wikimedia.org/wikipedia/commons/b/b4/Dragonfly_%28Rhionaeschna_sp.%29_resting_on_a_wooden_fence_post_near_Villa_de_Leyva%2C_2026.jpg")</f>
        <v/>
      </c>
    </row>
    <row r="744" ht="36.0" customHeight="1">
      <c r="A744" s="10" t="str">
        <f>HYPERLINK("https://commons.wikimedia.org/wiki/User:" &amp; ENCODEURL("LentedeBerilo"), "LentedeBerilo")</f>
        <v>LentedeBerilo</v>
      </c>
      <c r="B744" s="11" t="s">
        <v>1555</v>
      </c>
      <c r="C744" s="12">
        <v>46190.74186342592</v>
      </c>
      <c r="D744" s="11" t="s">
        <v>1556</v>
      </c>
      <c r="E744" s="14" t="s">
        <v>215</v>
      </c>
      <c r="F744" s="15" t="s">
        <v>16</v>
      </c>
      <c r="G744" s="15" t="s">
        <v>17</v>
      </c>
      <c r="H744" s="15" t="s">
        <v>18</v>
      </c>
      <c r="I744" s="14" t="str">
        <f>IMAGE("https://upload.wikimedia.org/wikipedia/commons/e/ec/Drama_de_primates.jpg")</f>
        <v/>
      </c>
    </row>
    <row r="745" ht="36.0" customHeight="1">
      <c r="A745" s="16" t="str">
        <f t="shared" ref="A745:A746" si="107">HYPERLINK("https://commons.wikimedia.org/wiki/User:" &amp; ENCODEURL("Elprofeta91"), "Elprofeta91")</f>
        <v>Elprofeta91</v>
      </c>
      <c r="B745" s="17" t="s">
        <v>1557</v>
      </c>
      <c r="C745" s="18">
        <v>46147.790868055556</v>
      </c>
      <c r="D745" s="17" t="s">
        <v>32</v>
      </c>
      <c r="E745" s="19" t="s">
        <v>1558</v>
      </c>
      <c r="F745" s="20" t="s">
        <v>16</v>
      </c>
      <c r="G745" s="20" t="s">
        <v>17</v>
      </c>
      <c r="H745" s="20" t="s">
        <v>18</v>
      </c>
      <c r="I745" s="19" t="str">
        <f>IMAGE("https://upload.wikimedia.org/wikipedia/commons/3/35/D%C3%ADa_soleado_01.jpg")</f>
        <v/>
      </c>
    </row>
    <row r="746" ht="36.0" customHeight="1">
      <c r="A746" s="10" t="str">
        <f t="shared" si="107"/>
        <v>Elprofeta91</v>
      </c>
      <c r="B746" s="11" t="s">
        <v>1559</v>
      </c>
      <c r="C746" s="12">
        <v>46147.79087962963</v>
      </c>
      <c r="D746" s="11" t="s">
        <v>1560</v>
      </c>
      <c r="E746" s="14" t="s">
        <v>1561</v>
      </c>
      <c r="F746" s="15" t="s">
        <v>16</v>
      </c>
      <c r="G746" s="15" t="s">
        <v>17</v>
      </c>
      <c r="H746" s="15" t="s">
        <v>18</v>
      </c>
      <c r="I746" s="14" t="str">
        <f>IMAGE("https://upload.wikimedia.org/wikipedia/commons/9/97/D%C3%ADa_soleado_02.jpg")</f>
        <v/>
      </c>
    </row>
    <row r="747" ht="36.0" customHeight="1">
      <c r="A747" s="16" t="str">
        <f t="shared" ref="A747:A749" si="108">HYPERLINK("https://commons.wikimedia.org/wiki/User:" &amp; ENCODEURL("AmiGueko"), "AmiGueko")</f>
        <v>AmiGueko</v>
      </c>
      <c r="B747" s="17" t="s">
        <v>1562</v>
      </c>
      <c r="C747" s="18">
        <v>46166.404282407406</v>
      </c>
      <c r="D747" s="17" t="s">
        <v>1563</v>
      </c>
      <c r="E747" s="19" t="s">
        <v>1564</v>
      </c>
      <c r="F747" s="20" t="s">
        <v>16</v>
      </c>
      <c r="G747" s="20" t="s">
        <v>17</v>
      </c>
      <c r="H747" s="20" t="s">
        <v>18</v>
      </c>
      <c r="I747" s="19" t="str">
        <f>IMAGE("https://upload.wikimedia.org/wikipedia/commons/d/d8/Ecoparque_Los_Alc%C3%A1zares_en_Manizales.jpg")</f>
        <v/>
      </c>
    </row>
    <row r="748" ht="36.0" customHeight="1">
      <c r="A748" s="10" t="str">
        <f t="shared" si="108"/>
        <v>AmiGueko</v>
      </c>
      <c r="B748" s="11" t="s">
        <v>1565</v>
      </c>
      <c r="C748" s="12">
        <v>46166.40607638889</v>
      </c>
      <c r="D748" s="11" t="s">
        <v>1563</v>
      </c>
      <c r="E748" s="14" t="s">
        <v>1566</v>
      </c>
      <c r="F748" s="15" t="s">
        <v>16</v>
      </c>
      <c r="G748" s="15" t="s">
        <v>17</v>
      </c>
      <c r="H748" s="15" t="s">
        <v>18</v>
      </c>
      <c r="I748" s="14" t="str">
        <f>IMAGE("https://upload.wikimedia.org/wikipedia/commons/9/93/Ecoparque_Los_Alc%C3%A1zares_en_Manizales_%2861406%29.jpg")</f>
        <v/>
      </c>
    </row>
    <row r="749" ht="36.0" customHeight="1">
      <c r="A749" s="16" t="str">
        <f t="shared" si="108"/>
        <v>AmiGueko</v>
      </c>
      <c r="B749" s="17" t="s">
        <v>1567</v>
      </c>
      <c r="C749" s="18">
        <v>46166.40497685185</v>
      </c>
      <c r="D749" s="17" t="s">
        <v>1563</v>
      </c>
      <c r="E749" s="19" t="s">
        <v>1568</v>
      </c>
      <c r="F749" s="20" t="s">
        <v>16</v>
      </c>
      <c r="G749" s="20" t="s">
        <v>17</v>
      </c>
      <c r="H749" s="20" t="s">
        <v>18</v>
      </c>
      <c r="I749" s="19" t="str">
        <f>IMAGE("https://upload.wikimedia.org/wikipedia/commons/3/3c/Ecoparque_Los_Alc%C3%A1zares_en_Manizales_%2889183%29.jpg")</f>
        <v/>
      </c>
    </row>
    <row r="750" ht="36.0" customHeight="1">
      <c r="A750" s="10" t="str">
        <f>HYPERLINK("https://commons.wikimedia.org/wiki/User:" &amp; ENCODEURL("Diferoch"), "Diferoch")</f>
        <v>Diferoch</v>
      </c>
      <c r="B750" s="11" t="s">
        <v>1569</v>
      </c>
      <c r="C750" s="12">
        <v>46184.914456018516</v>
      </c>
      <c r="D750" s="11" t="s">
        <v>1570</v>
      </c>
      <c r="E750" s="14" t="s">
        <v>1571</v>
      </c>
      <c r="F750" s="15" t="s">
        <v>16</v>
      </c>
      <c r="G750" s="15" t="s">
        <v>17</v>
      </c>
      <c r="H750" s="15" t="s">
        <v>18</v>
      </c>
      <c r="I750" s="14" t="str">
        <f>IMAGE("https://upload.wikimedia.org/wikipedia/commons/d/d8/Eggs_of_Turdus_leucomelas_albiventer_-_Barrancabermeja%2C_Santander%2C_Colombia_-_12_Jul_2025_-_Diferoch.jpg")</f>
        <v/>
      </c>
    </row>
    <row r="751" ht="36.0" customHeight="1">
      <c r="A751" s="16" t="str">
        <f>HYPERLINK("https://commons.wikimedia.org/wiki/User:" &amp; ENCODEURL("Lchaparrob"), "Lchaparrob")</f>
        <v>Lchaparrob</v>
      </c>
      <c r="B751" s="17" t="s">
        <v>1572</v>
      </c>
      <c r="C751" s="18">
        <v>46198.43344907407</v>
      </c>
      <c r="D751" s="17" t="s">
        <v>1573</v>
      </c>
      <c r="E751" s="19" t="s">
        <v>1574</v>
      </c>
      <c r="F751" s="20" t="s">
        <v>16</v>
      </c>
      <c r="G751" s="20" t="s">
        <v>17</v>
      </c>
      <c r="H751" s="20" t="s">
        <v>18</v>
      </c>
      <c r="I751" s="19" t="str">
        <f>IMAGE("https://upload.wikimedia.org/wikipedia/commons/5/59/Ejaatimuuu_%E2%80%93_Buen_vivir.jpg")</f>
        <v/>
      </c>
    </row>
    <row r="752" ht="36.0" customHeight="1">
      <c r="A752" s="10" t="str">
        <f>HYPERLINK("https://commons.wikimedia.org/wiki/User:" &amp; ENCODEURL("Cathetovar"), "Cathetovar")</f>
        <v>Cathetovar</v>
      </c>
      <c r="B752" s="11" t="s">
        <v>1575</v>
      </c>
      <c r="C752" s="12">
        <v>46195.780694444446</v>
      </c>
      <c r="D752" s="11" t="s">
        <v>1576</v>
      </c>
      <c r="E752" s="14" t="s">
        <v>1577</v>
      </c>
      <c r="F752" s="15" t="s">
        <v>16</v>
      </c>
      <c r="G752" s="15" t="s">
        <v>17</v>
      </c>
      <c r="H752" s="15" t="s">
        <v>18</v>
      </c>
      <c r="I752" s="14" t="str">
        <f>IMAGE("https://upload.wikimedia.org/wikipedia/commons/2/2c/Ejemplares_de_Melocactus_en_el_desierto_de_la_Tatacoa.jpg")</f>
        <v/>
      </c>
    </row>
    <row r="753" ht="36.0" customHeight="1">
      <c r="A753" s="16" t="str">
        <f>HYPERLINK("https://commons.wikimedia.org/wiki/User:" &amp; ENCODEURL("Daijiruu"), "Daijiruu")</f>
        <v>Daijiruu</v>
      </c>
      <c r="B753" s="17" t="s">
        <v>1578</v>
      </c>
      <c r="C753" s="18">
        <v>46163.51028935185</v>
      </c>
      <c r="D753" s="17" t="s">
        <v>361</v>
      </c>
      <c r="E753" s="19" t="s">
        <v>29</v>
      </c>
      <c r="F753" s="19" t="s">
        <v>30</v>
      </c>
      <c r="G753" s="20" t="s">
        <v>17</v>
      </c>
      <c r="H753" s="20" t="s">
        <v>18</v>
      </c>
      <c r="I753" s="19" t="str">
        <f>IMAGE("https://upload.wikimedia.org/wikipedia/commons/c/c7/El_Cuerpo_del_Agua.jpg")</f>
        <v/>
      </c>
    </row>
    <row r="754" ht="36.0" customHeight="1">
      <c r="A754" s="10" t="str">
        <f>HYPERLINK("https://commons.wikimedia.org/wiki/User:" &amp; ENCODEURL("KingJo09"), "KingJo09")</f>
        <v>KingJo09</v>
      </c>
      <c r="B754" s="11" t="s">
        <v>1579</v>
      </c>
      <c r="C754" s="12">
        <v>46165.890868055554</v>
      </c>
      <c r="D754" s="11" t="s">
        <v>1580</v>
      </c>
      <c r="E754" s="14" t="s">
        <v>1220</v>
      </c>
      <c r="F754" s="15" t="s">
        <v>16</v>
      </c>
      <c r="G754" s="15" t="s">
        <v>17</v>
      </c>
      <c r="H754" s="15" t="s">
        <v>18</v>
      </c>
      <c r="I754" s="14" t="str">
        <f>IMAGE("https://upload.wikimedia.org/wikipedia/commons/d/d0/El_Despertar_del_Roc%C3%ADo.jpg")</f>
        <v/>
      </c>
    </row>
    <row r="755" ht="36.0" customHeight="1">
      <c r="A755" s="16" t="str">
        <f t="shared" ref="A755:A757" si="109">HYPERLINK("https://commons.wikimedia.org/wiki/User:" &amp; ENCODEURL("Daijiruu"), "Daijiruu")</f>
        <v>Daijiruu</v>
      </c>
      <c r="B755" s="17" t="s">
        <v>1581</v>
      </c>
      <c r="C755" s="18">
        <v>46163.510243055556</v>
      </c>
      <c r="D755" s="17" t="s">
        <v>1582</v>
      </c>
      <c r="E755" s="19" t="s">
        <v>29</v>
      </c>
      <c r="F755" s="19" t="s">
        <v>30</v>
      </c>
      <c r="G755" s="20" t="s">
        <v>17</v>
      </c>
      <c r="H755" s="20" t="s">
        <v>18</v>
      </c>
      <c r="I755" s="19" t="str">
        <f>IMAGE("https://upload.wikimedia.org/wikipedia/commons/c/c3/El_Destino.jpg")</f>
        <v/>
      </c>
    </row>
    <row r="756" ht="36.0" customHeight="1">
      <c r="A756" s="10" t="str">
        <f t="shared" si="109"/>
        <v>Daijiruu</v>
      </c>
      <c r="B756" s="11" t="s">
        <v>1583</v>
      </c>
      <c r="C756" s="12">
        <v>46163.52809027778</v>
      </c>
      <c r="D756" s="11" t="s">
        <v>1513</v>
      </c>
      <c r="E756" s="14" t="s">
        <v>29</v>
      </c>
      <c r="F756" s="14" t="s">
        <v>30</v>
      </c>
      <c r="G756" s="15" t="s">
        <v>17</v>
      </c>
      <c r="H756" s="15" t="s">
        <v>18</v>
      </c>
      <c r="I756" s="14" t="str">
        <f>IMAGE("https://upload.wikimedia.org/wikipedia/commons/8/88/El_Paisaje_del_Agua.jpg")</f>
        <v/>
      </c>
    </row>
    <row r="757" ht="36.0" customHeight="1">
      <c r="A757" s="16" t="str">
        <f t="shared" si="109"/>
        <v>Daijiruu</v>
      </c>
      <c r="B757" s="17" t="s">
        <v>1584</v>
      </c>
      <c r="C757" s="18">
        <v>46163.51025462963</v>
      </c>
      <c r="D757" s="17" t="s">
        <v>1582</v>
      </c>
      <c r="E757" s="19" t="s">
        <v>29</v>
      </c>
      <c r="F757" s="19" t="s">
        <v>30</v>
      </c>
      <c r="G757" s="20" t="s">
        <v>17</v>
      </c>
      <c r="H757" s="20" t="s">
        <v>18</v>
      </c>
      <c r="I757" s="19" t="str">
        <f>IMAGE("https://upload.wikimedia.org/wikipedia/commons/0/01/El_Pico.jpg")</f>
        <v/>
      </c>
    </row>
    <row r="758" ht="36.0" customHeight="1">
      <c r="A758" s="10" t="str">
        <f>HYPERLINK("https://commons.wikimedia.org/wiki/User:" &amp; ENCODEURL("Rodobuñuel"), "Rodobuñuel")</f>
        <v>Rodobuñuel</v>
      </c>
      <c r="B758" s="11" t="s">
        <v>1585</v>
      </c>
      <c r="C758" s="12">
        <v>46203.503912037035</v>
      </c>
      <c r="D758" s="11" t="s">
        <v>1586</v>
      </c>
      <c r="E758" s="14" t="s">
        <v>29</v>
      </c>
      <c r="F758" s="14" t="s">
        <v>30</v>
      </c>
      <c r="G758" s="15" t="s">
        <v>17</v>
      </c>
      <c r="H758" s="15" t="s">
        <v>18</v>
      </c>
      <c r="I758" s="14" t="str">
        <f>IMAGE("https://upload.wikimedia.org/wikipedia/commons/1/1a/El_Ruiz._Un_nevado_poderoso.jpg")</f>
        <v/>
      </c>
    </row>
    <row r="759" ht="36.0" customHeight="1">
      <c r="A759" s="16" t="str">
        <f>HYPERLINK("https://commons.wikimedia.org/wiki/User:" &amp; ENCODEURL("Peperomia11"), "Peperomia11")</f>
        <v>Peperomia11</v>
      </c>
      <c r="B759" s="17" t="s">
        <v>1587</v>
      </c>
      <c r="C759" s="18">
        <v>46202.56024305556</v>
      </c>
      <c r="D759" s="17" t="s">
        <v>1588</v>
      </c>
      <c r="E759" s="19" t="s">
        <v>29</v>
      </c>
      <c r="F759" s="19" t="s">
        <v>30</v>
      </c>
      <c r="G759" s="20" t="s">
        <v>17</v>
      </c>
      <c r="H759" s="20" t="s">
        <v>18</v>
      </c>
      <c r="I759" s="19" t="str">
        <f>IMAGE("https://upload.wikimedia.org/wikipedia/commons/d/dd/El_Ruiz_20260530_100953.jpg")</f>
        <v/>
      </c>
    </row>
    <row r="760" ht="36.0" customHeight="1">
      <c r="A760" s="10" t="str">
        <f t="shared" ref="A760:A761" si="110">HYPERLINK("https://commons.wikimedia.org/wiki/User:" &amp; ENCODEURL("Johan Andrés Toro"), "Johan Andrés Toro")</f>
        <v>Johan Andrés Toro</v>
      </c>
      <c r="B760" s="11" t="s">
        <v>1589</v>
      </c>
      <c r="C760" s="12">
        <v>46171.555659722224</v>
      </c>
      <c r="D760" s="11" t="s">
        <v>1590</v>
      </c>
      <c r="E760" s="14" t="s">
        <v>29</v>
      </c>
      <c r="F760" s="14" t="s">
        <v>30</v>
      </c>
      <c r="G760" s="15" t="s">
        <v>17</v>
      </c>
      <c r="H760" s="15" t="s">
        <v>18</v>
      </c>
      <c r="I760" s="14" t="str">
        <f>IMAGE("https://upload.wikimedia.org/wikipedia/commons/8/88/El_R%C3%ADo_Magdalena_y_la_infraestructura_de_transporte_en_su_valle.jpg")</f>
        <v/>
      </c>
    </row>
    <row r="761" ht="36.0" customHeight="1">
      <c r="A761" s="16" t="str">
        <f t="shared" si="110"/>
        <v>Johan Andrés Toro</v>
      </c>
      <c r="B761" s="17" t="s">
        <v>1591</v>
      </c>
      <c r="C761" s="18">
        <v>46171.62700231482</v>
      </c>
      <c r="D761" s="17" t="s">
        <v>1592</v>
      </c>
      <c r="E761" s="19" t="s">
        <v>1593</v>
      </c>
      <c r="F761" s="20" t="s">
        <v>16</v>
      </c>
      <c r="G761" s="20" t="s">
        <v>17</v>
      </c>
      <c r="H761" s="20" t="s">
        <v>18</v>
      </c>
      <c r="I761" s="19" t="str">
        <f>IMAGE("https://upload.wikimedia.org/wikipedia/commons/6/6b/El_Salto_del_Tequendama_en_su_entorno_natural_andino.jpg")</f>
        <v/>
      </c>
    </row>
    <row r="762" ht="36.0" customHeight="1">
      <c r="A762" s="10" t="str">
        <f>HYPERLINK("https://commons.wikimedia.org/wiki/User:" &amp; ENCODEURL("MelyC43"), "MelyC43")</f>
        <v>MelyC43</v>
      </c>
      <c r="B762" s="11" t="s">
        <v>1594</v>
      </c>
      <c r="C762" s="12">
        <v>46168.00833333333</v>
      </c>
      <c r="D762" s="11" t="s">
        <v>1595</v>
      </c>
      <c r="E762" s="14" t="s">
        <v>29</v>
      </c>
      <c r="F762" s="14" t="s">
        <v>30</v>
      </c>
      <c r="G762" s="15" t="s">
        <v>17</v>
      </c>
      <c r="H762" s="15" t="s">
        <v>18</v>
      </c>
      <c r="I762" s="14" t="str">
        <f>IMAGE("https://upload.wikimedia.org/wikipedia/commons/6/60/El_Santuario_de_las_Garzas.jpg")</f>
        <v/>
      </c>
    </row>
    <row r="763" ht="36.0" customHeight="1">
      <c r="A763" s="16" t="str">
        <f>HYPERLINK("https://commons.wikimedia.org/wiki/User:" &amp; ENCODEURL("Daijiruu"), "Daijiruu")</f>
        <v>Daijiruu</v>
      </c>
      <c r="B763" s="17" t="s">
        <v>1596</v>
      </c>
      <c r="C763" s="18">
        <v>46163.52804398148</v>
      </c>
      <c r="D763" s="17" t="s">
        <v>1597</v>
      </c>
      <c r="E763" s="19" t="s">
        <v>29</v>
      </c>
      <c r="F763" s="19" t="s">
        <v>30</v>
      </c>
      <c r="G763" s="20" t="s">
        <v>17</v>
      </c>
      <c r="H763" s="20" t="s">
        <v>18</v>
      </c>
      <c r="I763" s="19" t="str">
        <f>IMAGE("https://upload.wikimedia.org/wikipedia/commons/e/ee/El_Valle_del_Cocora.jpg")</f>
        <v/>
      </c>
    </row>
    <row r="764" ht="36.0" customHeight="1">
      <c r="A764" s="10" t="str">
        <f>HYPERLINK("https://commons.wikimedia.org/wiki/User:" &amp; ENCODEURL("Zolsemiya"), "Zolsemiya")</f>
        <v>Zolsemiya</v>
      </c>
      <c r="B764" s="11" t="s">
        <v>1598</v>
      </c>
      <c r="C764" s="12">
        <v>46203.749131944445</v>
      </c>
      <c r="D764" s="11" t="s">
        <v>1599</v>
      </c>
      <c r="E764" s="14" t="s">
        <v>1430</v>
      </c>
      <c r="F764" s="15" t="s">
        <v>16</v>
      </c>
      <c r="G764" s="15" t="s">
        <v>17</v>
      </c>
      <c r="H764" s="15" t="s">
        <v>18</v>
      </c>
      <c r="I764" s="14" t="str">
        <f>IMAGE("https://upload.wikimedia.org/wikipedia/commons/7/77/El_arete.jpg")</f>
        <v/>
      </c>
    </row>
    <row r="765" ht="36.0" customHeight="1">
      <c r="A765" s="16" t="str">
        <f>HYPERLINK("https://commons.wikimedia.org/wiki/User:" &amp; ENCODEURL("Laupedrazaa"), "Laupedrazaa")</f>
        <v>Laupedrazaa</v>
      </c>
      <c r="B765" s="17" t="s">
        <v>1600</v>
      </c>
      <c r="C765" s="18">
        <v>46167.89295138889</v>
      </c>
      <c r="D765" s="17" t="s">
        <v>1601</v>
      </c>
      <c r="E765" s="19" t="s">
        <v>29</v>
      </c>
      <c r="F765" s="19" t="s">
        <v>30</v>
      </c>
      <c r="G765" s="20" t="s">
        <v>17</v>
      </c>
      <c r="H765" s="20" t="s">
        <v>18</v>
      </c>
      <c r="I765" s="19" t="str">
        <f>IMAGE("https://upload.wikimedia.org/wikipedia/commons/d/df/El_coraz%C3%B3n_del_Tropicario.jpg")</f>
        <v/>
      </c>
    </row>
    <row r="766" ht="36.0" customHeight="1">
      <c r="A766" s="10" t="str">
        <f>HYPERLINK("https://commons.wikimedia.org/wiki/User:" &amp; ENCODEURL("Elprofeta91"), "Elprofeta91")</f>
        <v>Elprofeta91</v>
      </c>
      <c r="B766" s="11" t="s">
        <v>1602</v>
      </c>
      <c r="C766" s="12">
        <v>46147.79497685185</v>
      </c>
      <c r="D766" s="11" t="s">
        <v>32</v>
      </c>
      <c r="E766" s="14" t="s">
        <v>1603</v>
      </c>
      <c r="F766" s="15" t="s">
        <v>16</v>
      </c>
      <c r="G766" s="15" t="s">
        <v>17</v>
      </c>
      <c r="H766" s="15" t="s">
        <v>18</v>
      </c>
      <c r="I766" s="14" t="str">
        <f>IMAGE("https://upload.wikimedia.org/wikipedia/commons/8/82/El_ganado.jpg")</f>
        <v/>
      </c>
    </row>
    <row r="767" ht="36.0" customHeight="1">
      <c r="A767" s="16" t="str">
        <f>HYPERLINK("https://commons.wikimedia.org/wiki/User:" &amp; ENCODEURL("Maarianacruzm"), "Maarianacruzm")</f>
        <v>Maarianacruzm</v>
      </c>
      <c r="B767" s="17" t="s">
        <v>1604</v>
      </c>
      <c r="C767" s="18">
        <v>46203.98008101852</v>
      </c>
      <c r="D767" s="17" t="s">
        <v>1605</v>
      </c>
      <c r="E767" s="19" t="s">
        <v>29</v>
      </c>
      <c r="F767" s="19" t="s">
        <v>30</v>
      </c>
      <c r="G767" s="20" t="s">
        <v>17</v>
      </c>
      <c r="H767" s="20" t="s">
        <v>18</v>
      </c>
      <c r="I767" s="19" t="str">
        <f>IMAGE("https://upload.wikimedia.org/wikipedia/commons/0/0f/El_gran_c%C3%B3ndor.jpg")</f>
        <v/>
      </c>
    </row>
    <row r="768" ht="36.0" customHeight="1">
      <c r="A768" s="10" t="str">
        <f>HYPERLINK("https://commons.wikimedia.org/wiki/User:" &amp; ENCODEURL("Laupedrazaa"), "Laupedrazaa")</f>
        <v>Laupedrazaa</v>
      </c>
      <c r="B768" s="11" t="s">
        <v>1606</v>
      </c>
      <c r="C768" s="12">
        <v>46167.86456018518</v>
      </c>
      <c r="D768" s="11" t="s">
        <v>1607</v>
      </c>
      <c r="E768" s="14" t="s">
        <v>29</v>
      </c>
      <c r="F768" s="14" t="s">
        <v>30</v>
      </c>
      <c r="G768" s="15" t="s">
        <v>17</v>
      </c>
      <c r="H768" s="15" t="s">
        <v>18</v>
      </c>
      <c r="I768" s="14" t="str">
        <f>IMAGE("https://upload.wikimedia.org/wikipedia/commons/6/6e/El_guardi%C3%A1n_del_pueblo.jpg")</f>
        <v/>
      </c>
    </row>
    <row r="769" ht="36.0" customHeight="1">
      <c r="A769" s="16" t="str">
        <f>HYPERLINK("https://commons.wikimedia.org/wiki/User:" &amp; ENCODEURL("Halleyuncometafotografo"), "Halleyuncometafotografo")</f>
        <v>Halleyuncometafotografo</v>
      </c>
      <c r="B769" s="17" t="s">
        <v>1608</v>
      </c>
      <c r="C769" s="18">
        <v>46203.93252314815</v>
      </c>
      <c r="D769" s="17" t="s">
        <v>1609</v>
      </c>
      <c r="E769" s="19" t="s">
        <v>29</v>
      </c>
      <c r="F769" s="19" t="s">
        <v>30</v>
      </c>
      <c r="G769" s="20" t="s">
        <v>17</v>
      </c>
      <c r="H769" s="20" t="s">
        <v>18</v>
      </c>
      <c r="I769" s="19" t="str">
        <f>IMAGE("https://upload.wikimedia.org/wikipedia/commons/e/ef/El_guardi%C3%A1n_esmeralda.jpg")</f>
        <v/>
      </c>
    </row>
    <row r="770" ht="36.0" customHeight="1">
      <c r="A770" s="10" t="str">
        <f>HYPERLINK("https://commons.wikimedia.org/wiki/User:" &amp; ENCODEURL("NunuAiyi"), "NunuAiyi")</f>
        <v>NunuAiyi</v>
      </c>
      <c r="B770" s="11" t="s">
        <v>1610</v>
      </c>
      <c r="C770" s="12">
        <v>46203.858622685184</v>
      </c>
      <c r="D770" s="11" t="s">
        <v>1611</v>
      </c>
      <c r="E770" s="14" t="s">
        <v>29</v>
      </c>
      <c r="F770" s="14" t="s">
        <v>30</v>
      </c>
      <c r="G770" s="15" t="s">
        <v>17</v>
      </c>
      <c r="H770" s="15" t="s">
        <v>18</v>
      </c>
      <c r="I770" s="14" t="str">
        <f>IMAGE("https://upload.wikimedia.org/wikipedia/commons/c/c7/El_hogar.jpg")</f>
        <v/>
      </c>
    </row>
    <row r="771" ht="36.0" customHeight="1">
      <c r="A771" s="16" t="str">
        <f>HYPERLINK("https://commons.wikimedia.org/wiki/User:" &amp; ENCODEURL("Mig.ast20"), "Mig.ast20")</f>
        <v>Mig.ast20</v>
      </c>
      <c r="B771" s="17" t="s">
        <v>1612</v>
      </c>
      <c r="C771" s="18">
        <v>46163.57005787037</v>
      </c>
      <c r="D771" s="17" t="s">
        <v>1613</v>
      </c>
      <c r="E771" s="19" t="s">
        <v>29</v>
      </c>
      <c r="F771" s="19" t="s">
        <v>30</v>
      </c>
      <c r="G771" s="20" t="s">
        <v>17</v>
      </c>
      <c r="H771" s="20" t="s">
        <v>18</v>
      </c>
      <c r="I771" s="19" t="str">
        <f>IMAGE("https://upload.wikimedia.org/wikipedia/commons/c/c6/El_lago_de_san_jose.jpg")</f>
        <v/>
      </c>
    </row>
    <row r="772" ht="36.0" customHeight="1">
      <c r="A772" s="10" t="str">
        <f>HYPERLINK("https://commons.wikimedia.org/wiki/User:" &amp; ENCODEURL("Johan Andrés Toro"), "Johan Andrés Toro")</f>
        <v>Johan Andrés Toro</v>
      </c>
      <c r="B772" s="11" t="s">
        <v>1614</v>
      </c>
      <c r="C772" s="12">
        <v>46176.94569444445</v>
      </c>
      <c r="D772" s="11" t="s">
        <v>1615</v>
      </c>
      <c r="E772" s="14" t="s">
        <v>29</v>
      </c>
      <c r="F772" s="14" t="s">
        <v>30</v>
      </c>
      <c r="G772" s="15" t="s">
        <v>17</v>
      </c>
      <c r="H772" s="15" t="s">
        <v>18</v>
      </c>
      <c r="I772" s="14" t="str">
        <f>IMAGE("https://upload.wikimedia.org/wikipedia/commons/5/54/El_l%C3%ADmite_del_desierto_Transici%C3%B3n_geomorfol%C3%B3gica_en_el_Huila.jpg")</f>
        <v/>
      </c>
    </row>
    <row r="773" ht="36.0" customHeight="1">
      <c r="A773" s="16" t="str">
        <f>HYPERLINK("https://commons.wikimedia.org/wiki/User:" &amp; ENCODEURL("Maarianacruzm"), "Maarianacruzm")</f>
        <v>Maarianacruzm</v>
      </c>
      <c r="B773" s="17" t="s">
        <v>1616</v>
      </c>
      <c r="C773" s="18">
        <v>46203.980150462965</v>
      </c>
      <c r="D773" s="17" t="s">
        <v>1617</v>
      </c>
      <c r="E773" s="19" t="s">
        <v>29</v>
      </c>
      <c r="F773" s="19" t="s">
        <v>30</v>
      </c>
      <c r="G773" s="20" t="s">
        <v>17</v>
      </c>
      <c r="H773" s="20" t="s">
        <v>18</v>
      </c>
      <c r="I773" s="19" t="str">
        <f>IMAGE("https://upload.wikimedia.org/wikipedia/commons/7/7d/El_majestuoso_vuelo_de_los_Andes.jpg")</f>
        <v/>
      </c>
    </row>
    <row r="774" ht="36.0" customHeight="1">
      <c r="A774" s="10" t="str">
        <f>HYPERLINK("https://commons.wikimedia.org/wiki/User:" &amp; ENCODEURL("MelyC43"), "MelyC43")</f>
        <v>MelyC43</v>
      </c>
      <c r="B774" s="11" t="s">
        <v>1618</v>
      </c>
      <c r="C774" s="12">
        <v>46168.008368055554</v>
      </c>
      <c r="D774" s="11" t="s">
        <v>1619</v>
      </c>
      <c r="E774" s="14" t="s">
        <v>29</v>
      </c>
      <c r="F774" s="14" t="s">
        <v>30</v>
      </c>
      <c r="G774" s="15" t="s">
        <v>17</v>
      </c>
      <c r="H774" s="15" t="s">
        <v>18</v>
      </c>
      <c r="I774" s="14" t="str">
        <f>IMAGE("https://upload.wikimedia.org/wikipedia/commons/2/26/El_pescador_y_El_R%C3%ADo_Magdalena.jpg")</f>
        <v/>
      </c>
    </row>
    <row r="775" ht="36.0" customHeight="1">
      <c r="A775" s="16" t="str">
        <f>HYPERLINK("https://commons.wikimedia.org/wiki/User:" &amp; ENCODEURL("Alexpanther"), "Alexpanther")</f>
        <v>Alexpanther</v>
      </c>
      <c r="B775" s="17" t="s">
        <v>1620</v>
      </c>
      <c r="C775" s="18">
        <v>46203.50069444445</v>
      </c>
      <c r="D775" s="17" t="s">
        <v>581</v>
      </c>
      <c r="E775" s="19" t="s">
        <v>582</v>
      </c>
      <c r="F775" s="20" t="s">
        <v>16</v>
      </c>
      <c r="G775" s="20" t="s">
        <v>17</v>
      </c>
      <c r="H775" s="20" t="s">
        <v>18</v>
      </c>
      <c r="I775" s="19" t="str">
        <f>IMAGE("https://upload.wikimedia.org/wikipedia/commons/6/68/El_rostro_de_lo_incomprendido%2C_Boa_constrictor.jpg")</f>
        <v/>
      </c>
    </row>
    <row r="776" ht="36.0" customHeight="1">
      <c r="A776" s="10" t="str">
        <f>HYPERLINK("https://commons.wikimedia.org/wiki/User:" &amp; ENCODEURL("Maarianacruzm"), "Maarianacruzm")</f>
        <v>Maarianacruzm</v>
      </c>
      <c r="B776" s="11" t="s">
        <v>1621</v>
      </c>
      <c r="C776" s="12">
        <v>46203.98017361111</v>
      </c>
      <c r="D776" s="11" t="s">
        <v>1622</v>
      </c>
      <c r="E776" s="14" t="s">
        <v>29</v>
      </c>
      <c r="F776" s="14" t="s">
        <v>30</v>
      </c>
      <c r="G776" s="15" t="s">
        <v>17</v>
      </c>
      <c r="H776" s="15" t="s">
        <v>18</v>
      </c>
      <c r="I776" s="14" t="str">
        <f>IMAGE("https://upload.wikimedia.org/wikipedia/commons/e/ee/El_surgimiento_de_la_cantora_de_la_naturaleza.jpg")</f>
        <v/>
      </c>
    </row>
    <row r="777" ht="36.0" customHeight="1">
      <c r="A777" s="16" t="str">
        <f>HYPERLINK("https://commons.wikimedia.org/wiki/User:" &amp; ENCODEURL("Orquencia"), "Orquencia")</f>
        <v>Orquencia</v>
      </c>
      <c r="B777" s="17" t="s">
        <v>1623</v>
      </c>
      <c r="C777" s="18">
        <v>46197.84658564815</v>
      </c>
      <c r="D777" s="17" t="s">
        <v>1624</v>
      </c>
      <c r="E777" s="19" t="s">
        <v>29</v>
      </c>
      <c r="F777" s="19" t="s">
        <v>30</v>
      </c>
      <c r="G777" s="20" t="s">
        <v>17</v>
      </c>
      <c r="H777" s="20" t="s">
        <v>18</v>
      </c>
      <c r="I777" s="19" t="str">
        <f>IMAGE("https://upload.wikimedia.org/wikipedia/commons/2/23/El_tesoro_escondido_de_un_p%C3%A1ramo.jpg")</f>
        <v/>
      </c>
    </row>
    <row r="778" ht="36.0" customHeight="1">
      <c r="A778" s="10" t="str">
        <f t="shared" ref="A778:A780" si="111">HYPERLINK("https://commons.wikimedia.org/wiki/User:" &amp; ENCODEURL("Elprofeta91"), "Elprofeta91")</f>
        <v>Elprofeta91</v>
      </c>
      <c r="B778" s="11" t="s">
        <v>1625</v>
      </c>
      <c r="C778" s="12">
        <v>46147.79105324074</v>
      </c>
      <c r="D778" s="11" t="s">
        <v>32</v>
      </c>
      <c r="E778" s="14" t="s">
        <v>1626</v>
      </c>
      <c r="F778" s="15" t="s">
        <v>16</v>
      </c>
      <c r="G778" s="15" t="s">
        <v>17</v>
      </c>
      <c r="H778" s="15" t="s">
        <v>18</v>
      </c>
      <c r="I778" s="14" t="str">
        <f>IMAGE("https://upload.wikimedia.org/wikipedia/commons/d/df/El_toro_fisg%C3%B3n.jpg")</f>
        <v/>
      </c>
    </row>
    <row r="779" ht="36.0" customHeight="1">
      <c r="A779" s="16" t="str">
        <f t="shared" si="111"/>
        <v>Elprofeta91</v>
      </c>
      <c r="B779" s="17" t="s">
        <v>1627</v>
      </c>
      <c r="C779" s="18">
        <v>46147.790821759256</v>
      </c>
      <c r="D779" s="17" t="s">
        <v>1628</v>
      </c>
      <c r="E779" s="19" t="s">
        <v>1629</v>
      </c>
      <c r="F779" s="20" t="s">
        <v>16</v>
      </c>
      <c r="G779" s="20" t="s">
        <v>17</v>
      </c>
      <c r="H779" s="20" t="s">
        <v>18</v>
      </c>
      <c r="I779" s="19" t="str">
        <f>IMAGE("https://upload.wikimedia.org/wikipedia/commons/6/69/El_toro_que_quiere_correr.jpg")</f>
        <v/>
      </c>
    </row>
    <row r="780" ht="36.0" customHeight="1">
      <c r="A780" s="10" t="str">
        <f t="shared" si="111"/>
        <v>Elprofeta91</v>
      </c>
      <c r="B780" s="11" t="s">
        <v>1630</v>
      </c>
      <c r="C780" s="12">
        <v>46147.791030092594</v>
      </c>
      <c r="D780" s="11" t="s">
        <v>32</v>
      </c>
      <c r="E780" s="14" t="s">
        <v>1631</v>
      </c>
      <c r="F780" s="15" t="s">
        <v>16</v>
      </c>
      <c r="G780" s="15" t="s">
        <v>17</v>
      </c>
      <c r="H780" s="15" t="s">
        <v>18</v>
      </c>
      <c r="I780" s="14" t="str">
        <f>IMAGE("https://upload.wikimedia.org/wikipedia/commons/1/14/El_toro_vigilante.jpg")</f>
        <v/>
      </c>
    </row>
    <row r="781" ht="36.0" customHeight="1">
      <c r="A781" s="16" t="str">
        <f>HYPERLINK("https://commons.wikimedia.org/wiki/User:" &amp; ENCODEURL("Maarianacruzm"), "Maarianacruzm")</f>
        <v>Maarianacruzm</v>
      </c>
      <c r="B781" s="17" t="s">
        <v>1632</v>
      </c>
      <c r="C781" s="18">
        <v>46203.98011574074</v>
      </c>
      <c r="D781" s="17" t="s">
        <v>1633</v>
      </c>
      <c r="E781" s="19" t="s">
        <v>29</v>
      </c>
      <c r="F781" s="19" t="s">
        <v>30</v>
      </c>
      <c r="G781" s="20" t="s">
        <v>17</v>
      </c>
      <c r="H781" s="20" t="s">
        <v>18</v>
      </c>
      <c r="I781" s="19" t="str">
        <f>IMAGE("https://upload.wikimedia.org/wikipedia/commons/4/4d/El_trepador_de_los_Andes.jpg")</f>
        <v/>
      </c>
    </row>
    <row r="782" ht="36.0" customHeight="1">
      <c r="A782" s="10" t="str">
        <f>HYPERLINK("https://commons.wikimedia.org/wiki/User:" &amp; ENCODEURL("Natalia gferia"), "Natalia gferia")</f>
        <v>Natalia gferia</v>
      </c>
      <c r="B782" s="11" t="s">
        <v>1634</v>
      </c>
      <c r="C782" s="12">
        <v>46202.59037037037</v>
      </c>
      <c r="D782" s="11" t="s">
        <v>1635</v>
      </c>
      <c r="E782" s="14" t="s">
        <v>29</v>
      </c>
      <c r="F782" s="14" t="s">
        <v>30</v>
      </c>
      <c r="G782" s="15" t="s">
        <v>17</v>
      </c>
      <c r="H782" s="15" t="s">
        <v>18</v>
      </c>
      <c r="I782" s="14" t="str">
        <f>IMAGE("https://upload.wikimedia.org/wikipedia/commons/2/2d/El_verde_de_Termales_el_sif%C3%B3n.jpg")</f>
        <v/>
      </c>
    </row>
    <row r="783" ht="36.0" customHeight="1">
      <c r="A783" s="16" t="str">
        <f>HYPERLINK("https://commons.wikimedia.org/wiki/User:" &amp; ENCODEURL("Nathaly 1106"), "Nathaly 1106")</f>
        <v>Nathaly 1106</v>
      </c>
      <c r="B783" s="17" t="s">
        <v>1636</v>
      </c>
      <c r="C783" s="18">
        <v>46148.95732638889</v>
      </c>
      <c r="D783" s="17" t="s">
        <v>1637</v>
      </c>
      <c r="E783" s="19" t="s">
        <v>29</v>
      </c>
      <c r="F783" s="19" t="s">
        <v>30</v>
      </c>
      <c r="G783" s="20" t="s">
        <v>17</v>
      </c>
      <c r="H783" s="20" t="s">
        <v>18</v>
      </c>
      <c r="I783" s="19" t="str">
        <f>IMAGE("https://upload.wikimedia.org/wikipedia/commons/1/16/Elefante_en_la_Hacienda_N%C3%A1poles.jpg")</f>
        <v/>
      </c>
    </row>
    <row r="784" ht="36.0" customHeight="1">
      <c r="A784" s="10" t="str">
        <f>HYPERLINK("https://commons.wikimedia.org/wiki/User:" &amp; ENCODEURL("Jhon Barrera"), "Jhon Barrera")</f>
        <v>Jhon Barrera</v>
      </c>
      <c r="B784" s="11" t="s">
        <v>1638</v>
      </c>
      <c r="C784" s="12">
        <v>46166.72896990741</v>
      </c>
      <c r="D784" s="11" t="s">
        <v>1639</v>
      </c>
      <c r="E784" s="14" t="s">
        <v>29</v>
      </c>
      <c r="F784" s="14" t="s">
        <v>30</v>
      </c>
      <c r="G784" s="15" t="s">
        <v>17</v>
      </c>
      <c r="H784" s="15" t="s">
        <v>18</v>
      </c>
      <c r="I784" s="14" t="str">
        <f>IMAGE("https://upload.wikimedia.org/wikipedia/commons/d/d9/Elegancia_arb%C3%B3rea.jpg")</f>
        <v/>
      </c>
    </row>
    <row r="785" ht="36.0" customHeight="1">
      <c r="A785" s="16" t="str">
        <f>HYPERLINK("https://commons.wikimedia.org/wiki/User:" &amp; ENCODEURL("Nathaly 1106"), "Nathaly 1106")</f>
        <v>Nathaly 1106</v>
      </c>
      <c r="B785" s="17" t="s">
        <v>1640</v>
      </c>
      <c r="C785" s="18">
        <v>46147.67114583333</v>
      </c>
      <c r="D785" s="17" t="s">
        <v>1641</v>
      </c>
      <c r="E785" s="19" t="s">
        <v>29</v>
      </c>
      <c r="F785" s="19" t="s">
        <v>30</v>
      </c>
      <c r="G785" s="20" t="s">
        <v>17</v>
      </c>
      <c r="H785" s="20" t="s">
        <v>18</v>
      </c>
      <c r="I785" s="19" t="str">
        <f>IMAGE("https://upload.wikimedia.org/wikipedia/commons/f/fa/Elettaria_%28Zingiberaceae%29.jpg")</f>
        <v/>
      </c>
    </row>
    <row r="786" ht="36.0" customHeight="1">
      <c r="A786" s="10" t="str">
        <f>HYPERLINK("https://commons.wikimedia.org/wiki/User:" &amp; ENCODEURL("Nbareschu"), "Nbareschu")</f>
        <v>Nbareschu</v>
      </c>
      <c r="B786" s="11" t="s">
        <v>1642</v>
      </c>
      <c r="C786" s="12">
        <v>46149.42135416667</v>
      </c>
      <c r="D786" s="11" t="s">
        <v>1643</v>
      </c>
      <c r="E786" s="14" t="s">
        <v>1644</v>
      </c>
      <c r="F786" s="15" t="s">
        <v>16</v>
      </c>
      <c r="G786" s="15" t="s">
        <v>17</v>
      </c>
      <c r="H786" s="15" t="s">
        <v>18</v>
      </c>
      <c r="I786" s="14" t="str">
        <f>IMAGE("https://upload.wikimedia.org/wikipedia/commons/6/6c/Elleanthus_reserva_Moravia.jpg")</f>
        <v/>
      </c>
    </row>
    <row r="787" ht="36.0" customHeight="1">
      <c r="A787" s="16" t="str">
        <f>HYPERLINK("https://commons.wikimedia.org/wiki/User:" &amp; ENCODEURL("Nathaly 1106"), "Nathaly 1106")</f>
        <v>Nathaly 1106</v>
      </c>
      <c r="B787" s="17" t="s">
        <v>1645</v>
      </c>
      <c r="C787" s="18">
        <v>46163.80710648148</v>
      </c>
      <c r="D787" s="17" t="s">
        <v>1646</v>
      </c>
      <c r="E787" s="19" t="s">
        <v>29</v>
      </c>
      <c r="F787" s="19" t="s">
        <v>30</v>
      </c>
      <c r="G787" s="20" t="s">
        <v>17</v>
      </c>
      <c r="H787" s="20" t="s">
        <v>18</v>
      </c>
      <c r="I787" s="19" t="str">
        <f>IMAGE("https://upload.wikimedia.org/wikipedia/commons/2/2c/Embalse_San_Rafael_-_Sistema_Chingaza.jpg")</f>
        <v/>
      </c>
    </row>
    <row r="788" ht="36.0" customHeight="1">
      <c r="A788" s="10" t="str">
        <f>HYPERLINK("https://commons.wikimedia.org/wiki/User:" &amp; ENCODEURL("Christinnaro"), "Christinnaro")</f>
        <v>Christinnaro</v>
      </c>
      <c r="B788" s="11" t="s">
        <v>1647</v>
      </c>
      <c r="C788" s="12">
        <v>46200.931921296295</v>
      </c>
      <c r="D788" s="11" t="s">
        <v>1648</v>
      </c>
      <c r="E788" s="14" t="s">
        <v>29</v>
      </c>
      <c r="F788" s="14" t="s">
        <v>30</v>
      </c>
      <c r="G788" s="15" t="s">
        <v>17</v>
      </c>
      <c r="H788" s="15" t="s">
        <v>18</v>
      </c>
      <c r="I788" s="14" t="str">
        <f>IMAGE("https://upload.wikimedia.org/wikipedia/commons/3/3f/Embalse_San_Rafael_nature.jpg")</f>
        <v/>
      </c>
    </row>
    <row r="789" ht="36.0" customHeight="1">
      <c r="A789" s="16" t="str">
        <f>HYPERLINK("https://commons.wikimedia.org/wiki/User:" &amp; ENCODEURL("Nathaly 1106"), "Nathaly 1106")</f>
        <v>Nathaly 1106</v>
      </c>
      <c r="B789" s="17" t="s">
        <v>1649</v>
      </c>
      <c r="C789" s="18">
        <v>46198.50178240741</v>
      </c>
      <c r="D789" s="17" t="s">
        <v>1650</v>
      </c>
      <c r="E789" s="19" t="s">
        <v>29</v>
      </c>
      <c r="F789" s="19" t="s">
        <v>30</v>
      </c>
      <c r="G789" s="20" t="s">
        <v>17</v>
      </c>
      <c r="H789" s="20" t="s">
        <v>18</v>
      </c>
      <c r="I789" s="19" t="str">
        <f>IMAGE("https://upload.wikimedia.org/wikipedia/commons/4/46/Embalse_de_Chuza_en_Chingaza_01.jpg")</f>
        <v/>
      </c>
    </row>
    <row r="790" ht="36.0" customHeight="1">
      <c r="A790" s="10" t="str">
        <f>HYPERLINK("https://commons.wikimedia.org/wiki/User:" &amp; ENCODEURL("Juan Carlos Sáenz Rodríguez"), "Juan Carlos Sáenz Rodríguez")</f>
        <v>Juan Carlos Sáenz Rodríguez</v>
      </c>
      <c r="B790" s="11" t="s">
        <v>1651</v>
      </c>
      <c r="C790" s="12">
        <v>46194.58321759259</v>
      </c>
      <c r="D790" s="11" t="s">
        <v>1652</v>
      </c>
      <c r="E790" s="14" t="s">
        <v>29</v>
      </c>
      <c r="F790" s="14" t="s">
        <v>30</v>
      </c>
      <c r="G790" s="15" t="s">
        <v>17</v>
      </c>
      <c r="H790" s="15" t="s">
        <v>18</v>
      </c>
      <c r="I790" s="14" t="str">
        <f>IMAGE("https://upload.wikimedia.org/wikipedia/commons/8/82/Embalse_de_Tomin%C3%A9%2C_Guatavita.jpg")</f>
        <v/>
      </c>
    </row>
    <row r="791" ht="36.0" customHeight="1">
      <c r="A791" s="16" t="str">
        <f>HYPERLINK("https://commons.wikimedia.org/wiki/User:" &amp; ENCODEURL("Natlycu"), "Natlycu")</f>
        <v>Natlycu</v>
      </c>
      <c r="B791" s="17" t="s">
        <v>1653</v>
      </c>
      <c r="C791" s="18">
        <v>46203.03600694444</v>
      </c>
      <c r="D791" s="17" t="s">
        <v>1654</v>
      </c>
      <c r="E791" s="19" t="s">
        <v>1655</v>
      </c>
      <c r="F791" s="20" t="s">
        <v>16</v>
      </c>
      <c r="G791" s="20" t="s">
        <v>17</v>
      </c>
      <c r="H791" s="20" t="s">
        <v>18</v>
      </c>
      <c r="I791" s="19" t="str">
        <f>IMAGE("https://upload.wikimedia.org/wikipedia/commons/7/70/Embalse_de_Tomin%C3%A9%2C_Guatavita_2024.jpg")</f>
        <v/>
      </c>
    </row>
    <row r="792" ht="36.0" customHeight="1">
      <c r="A792" s="10" t="str">
        <f t="shared" ref="A792:A793" si="112">HYPERLINK("https://commons.wikimedia.org/wiki/User:" &amp; ENCODEURL("Mat1318"), "Mat1318")</f>
        <v>Mat1318</v>
      </c>
      <c r="B792" s="11" t="s">
        <v>1656</v>
      </c>
      <c r="C792" s="12">
        <v>46193.81402777778</v>
      </c>
      <c r="D792" s="11" t="s">
        <v>1657</v>
      </c>
      <c r="E792" s="14" t="s">
        <v>1658</v>
      </c>
      <c r="F792" s="15" t="s">
        <v>16</v>
      </c>
      <c r="G792" s="15" t="s">
        <v>17</v>
      </c>
      <c r="H792" s="15" t="s">
        <v>18</v>
      </c>
      <c r="I792" s="14" t="str">
        <f>IMAGE("https://upload.wikimedia.org/wikipedia/commons/c/ce/Embalse_de_tomin%C3%A9.jpg")</f>
        <v/>
      </c>
    </row>
    <row r="793" ht="36.0" customHeight="1">
      <c r="A793" s="16" t="str">
        <f t="shared" si="112"/>
        <v>Mat1318</v>
      </c>
      <c r="B793" s="17" t="s">
        <v>1659</v>
      </c>
      <c r="C793" s="18">
        <v>46193.81407407407</v>
      </c>
      <c r="D793" s="17" t="s">
        <v>1660</v>
      </c>
      <c r="E793" s="19" t="s">
        <v>1661</v>
      </c>
      <c r="F793" s="20" t="s">
        <v>16</v>
      </c>
      <c r="G793" s="20" t="s">
        <v>17</v>
      </c>
      <c r="H793" s="20" t="s">
        <v>18</v>
      </c>
      <c r="I793" s="19" t="str">
        <f>IMAGE("https://upload.wikimedia.org/wikipedia/commons/d/d2/Embalse_de_tomin%C3%A9_%28_con_pasta_y_camarones%29.jpg")</f>
        <v/>
      </c>
    </row>
    <row r="794" ht="36.0" customHeight="1">
      <c r="A794" s="10" t="str">
        <f>HYPERLINK("https://commons.wikimedia.org/wiki/User:" &amp; ENCODEURL("Laupedrazaa"), "Laupedrazaa")</f>
        <v>Laupedrazaa</v>
      </c>
      <c r="B794" s="11" t="s">
        <v>1662</v>
      </c>
      <c r="C794" s="12">
        <v>46167.84263888889</v>
      </c>
      <c r="D794" s="11" t="s">
        <v>1663</v>
      </c>
      <c r="E794" s="14" t="s">
        <v>29</v>
      </c>
      <c r="F794" s="14" t="s">
        <v>30</v>
      </c>
      <c r="G794" s="15" t="s">
        <v>17</v>
      </c>
      <c r="H794" s="15" t="s">
        <v>18</v>
      </c>
      <c r="I794" s="14" t="str">
        <f>IMAGE("https://upload.wikimedia.org/wikipedia/commons/e/ee/En_la_cima_de_Bogot%C3%A1.jpg")</f>
        <v/>
      </c>
    </row>
    <row r="795" ht="36.0" customHeight="1">
      <c r="A795" s="16" t="str">
        <f>HYPERLINK("https://commons.wikimedia.org/wiki/User:" &amp; ENCODEURL("Mtapiasoquendo"), "Mtapiasoquendo")</f>
        <v>Mtapiasoquendo</v>
      </c>
      <c r="B795" s="17" t="s">
        <v>1664</v>
      </c>
      <c r="C795" s="18">
        <v>46192.858715277776</v>
      </c>
      <c r="D795" s="17" t="s">
        <v>1665</v>
      </c>
      <c r="E795" s="19" t="s">
        <v>29</v>
      </c>
      <c r="F795" s="19" t="s">
        <v>30</v>
      </c>
      <c r="G795" s="20" t="s">
        <v>17</v>
      </c>
      <c r="H795" s="20" t="s">
        <v>18</v>
      </c>
      <c r="I795" s="19" t="str">
        <f>IMAGE("https://upload.wikimedia.org/wikipedia/commons/2/2a/En_lejan%C3%ADa.jpg")</f>
        <v/>
      </c>
    </row>
    <row r="796" ht="36.0" customHeight="1">
      <c r="A796" s="10" t="str">
        <f>HYPERLINK("https://commons.wikimedia.org/wiki/User:" &amp; ENCODEURL("Jair-971"), "Jair-971")</f>
        <v>Jair-971</v>
      </c>
      <c r="B796" s="11" t="s">
        <v>1666</v>
      </c>
      <c r="C796" s="12">
        <v>46145.32246527778</v>
      </c>
      <c r="D796" s="11" t="s">
        <v>1667</v>
      </c>
      <c r="E796" s="14" t="s">
        <v>29</v>
      </c>
      <c r="F796" s="14" t="s">
        <v>30</v>
      </c>
      <c r="G796" s="15" t="s">
        <v>17</v>
      </c>
      <c r="H796" s="15" t="s">
        <v>18</v>
      </c>
      <c r="I796" s="14" t="str">
        <f>IMAGE("https://upload.wikimedia.org/wikipedia/commons/9/92/En_medio_del_bosque.jpg")</f>
        <v/>
      </c>
    </row>
    <row r="797" ht="36.0" customHeight="1">
      <c r="A797" s="16" t="str">
        <f>HYPERLINK("https://commons.wikimedia.org/wiki/User:" &amp; ENCODEURL("Zolsemiya"), "Zolsemiya")</f>
        <v>Zolsemiya</v>
      </c>
      <c r="B797" s="17" t="s">
        <v>1668</v>
      </c>
      <c r="C797" s="18">
        <v>46203.74922453704</v>
      </c>
      <c r="D797" s="17" t="s">
        <v>1669</v>
      </c>
      <c r="E797" s="19" t="s">
        <v>1430</v>
      </c>
      <c r="F797" s="20" t="s">
        <v>16</v>
      </c>
      <c r="G797" s="20" t="s">
        <v>17</v>
      </c>
      <c r="H797" s="20" t="s">
        <v>18</v>
      </c>
      <c r="I797" s="19" t="str">
        <f>IMAGE("https://upload.wikimedia.org/wikipedia/commons/a/a2/Enamorados_2.jpg")</f>
        <v/>
      </c>
    </row>
    <row r="798" ht="36.0" customHeight="1">
      <c r="A798" s="10" t="str">
        <f>HYPERLINK("https://commons.wikimedia.org/wiki/User:" &amp; ENCODEURL("ColombianFibonacci"), "ColombianFibonacci")</f>
        <v>ColombianFibonacci</v>
      </c>
      <c r="B798" s="11" t="s">
        <v>1670</v>
      </c>
      <c r="C798" s="12">
        <v>46162.70712962963</v>
      </c>
      <c r="D798" s="11" t="s">
        <v>1671</v>
      </c>
      <c r="E798" s="14" t="s">
        <v>29</v>
      </c>
      <c r="F798" s="14" t="s">
        <v>30</v>
      </c>
      <c r="G798" s="15" t="s">
        <v>17</v>
      </c>
      <c r="H798" s="15" t="s">
        <v>18</v>
      </c>
      <c r="I798" s="14" t="str">
        <f>IMAGE("https://upload.wikimedia.org/wikipedia/commons/9/9e/Entangled_in_paradise_at_Quebrada_Valencia.jpg")</f>
        <v/>
      </c>
    </row>
    <row r="799" ht="36.0" customHeight="1">
      <c r="A799" s="16" t="str">
        <f>HYPERLINK("https://commons.wikimedia.org/wiki/User:" &amp; ENCODEURL("Diego Fernando Delgado Castro"), "Diego Fernando Delgado Castro")</f>
        <v>Diego Fernando Delgado Castro</v>
      </c>
      <c r="B799" s="17" t="s">
        <v>1672</v>
      </c>
      <c r="C799" s="18">
        <v>46179.71664351852</v>
      </c>
      <c r="D799" s="17" t="s">
        <v>1673</v>
      </c>
      <c r="E799" s="19" t="s">
        <v>29</v>
      </c>
      <c r="F799" s="19" t="s">
        <v>30</v>
      </c>
      <c r="G799" s="20" t="s">
        <v>17</v>
      </c>
      <c r="H799" s="20" t="s">
        <v>18</v>
      </c>
      <c r="I799" s="19" t="str">
        <f>IMAGE("https://upload.wikimedia.org/wikipedia/commons/e/e4/Entre_Flores_y_Horizonte.jpg")</f>
        <v/>
      </c>
    </row>
    <row r="800" ht="36.0" customHeight="1">
      <c r="A800" s="10" t="str">
        <f t="shared" ref="A800:A801" si="113">HYPERLINK("https://commons.wikimedia.org/wiki/User:" &amp; ENCODEURL("Laupedrazaa"), "Laupedrazaa")</f>
        <v>Laupedrazaa</v>
      </c>
      <c r="B800" s="11" t="s">
        <v>1674</v>
      </c>
      <c r="C800" s="12">
        <v>46167.86099537037</v>
      </c>
      <c r="D800" s="11" t="s">
        <v>1675</v>
      </c>
      <c r="E800" s="14" t="s">
        <v>29</v>
      </c>
      <c r="F800" s="14" t="s">
        <v>30</v>
      </c>
      <c r="G800" s="15" t="s">
        <v>17</v>
      </c>
      <c r="H800" s="15" t="s">
        <v>18</v>
      </c>
      <c r="I800" s="14" t="str">
        <f>IMAGE("https://upload.wikimedia.org/wikipedia/commons/c/c0/Entre_aguas_y_monta%C3%B1as_santandereanas.jpg")</f>
        <v/>
      </c>
    </row>
    <row r="801" ht="36.0" customHeight="1">
      <c r="A801" s="16" t="str">
        <f t="shared" si="113"/>
        <v>Laupedrazaa</v>
      </c>
      <c r="B801" s="17" t="s">
        <v>1676</v>
      </c>
      <c r="C801" s="18">
        <v>46167.874386574076</v>
      </c>
      <c r="D801" s="17" t="s">
        <v>1677</v>
      </c>
      <c r="E801" s="19" t="s">
        <v>29</v>
      </c>
      <c r="F801" s="19" t="s">
        <v>30</v>
      </c>
      <c r="G801" s="20" t="s">
        <v>17</v>
      </c>
      <c r="H801" s="20" t="s">
        <v>18</v>
      </c>
      <c r="I801" s="19" t="str">
        <f>IMAGE("https://upload.wikimedia.org/wikipedia/commons/f/fe/Entre_bigotes_y_flores.jpg")</f>
        <v/>
      </c>
    </row>
    <row r="802" ht="36.0" customHeight="1">
      <c r="A802" s="10" t="str">
        <f>HYPERLINK("https://commons.wikimedia.org/wiki/User:" &amp; ENCODEURL("Janavet pantoja isaza"), "Janavet pantoja isaza")</f>
        <v>Janavet pantoja isaza</v>
      </c>
      <c r="B802" s="11" t="s">
        <v>1678</v>
      </c>
      <c r="C802" s="12">
        <v>46203.62472222222</v>
      </c>
      <c r="D802" s="11" t="s">
        <v>1679</v>
      </c>
      <c r="E802" s="14" t="s">
        <v>1680</v>
      </c>
      <c r="F802" s="15" t="s">
        <v>16</v>
      </c>
      <c r="G802" s="15" t="s">
        <v>17</v>
      </c>
      <c r="H802" s="15" t="s">
        <v>18</v>
      </c>
      <c r="I802" s="14" t="str">
        <f>IMAGE("https://upload.wikimedia.org/wikipedia/commons/a/ac/Entre_monta%C3%B1as_frias.jpg")</f>
        <v/>
      </c>
    </row>
    <row r="803" ht="36.0" customHeight="1">
      <c r="A803" s="16" t="str">
        <f>HYPERLINK("https://commons.wikimedia.org/wiki/User:" &amp; ENCODEURL("Adrianvargasag"), "Adrianvargasag")</f>
        <v>Adrianvargasag</v>
      </c>
      <c r="B803" s="17" t="s">
        <v>1681</v>
      </c>
      <c r="C803" s="18">
        <v>46144.12709490741</v>
      </c>
      <c r="D803" s="17" t="s">
        <v>1682</v>
      </c>
      <c r="E803" s="19" t="s">
        <v>1683</v>
      </c>
      <c r="F803" s="20" t="s">
        <v>16</v>
      </c>
      <c r="G803" s="20" t="s">
        <v>17</v>
      </c>
      <c r="H803" s="20" t="s">
        <v>18</v>
      </c>
      <c r="I803" s="19" t="str">
        <f>IMAGE("https://upload.wikimedia.org/wikipedia/commons/3/30/Entre_p%C3%A1ramos_Colombianos.jpg")</f>
        <v/>
      </c>
    </row>
    <row r="804" ht="36.0" customHeight="1">
      <c r="A804" s="10" t="str">
        <f>HYPERLINK("https://commons.wikimedia.org/wiki/User:" &amp; ENCODEURL("Jhon Barrera"), "Jhon Barrera")</f>
        <v>Jhon Barrera</v>
      </c>
      <c r="B804" s="11" t="s">
        <v>1684</v>
      </c>
      <c r="C804" s="12">
        <v>46166.94600694445</v>
      </c>
      <c r="D804" s="11" t="s">
        <v>1685</v>
      </c>
      <c r="E804" s="14" t="s">
        <v>29</v>
      </c>
      <c r="F804" s="14" t="s">
        <v>30</v>
      </c>
      <c r="G804" s="15" t="s">
        <v>17</v>
      </c>
      <c r="H804" s="15" t="s">
        <v>18</v>
      </c>
      <c r="I804" s="14" t="str">
        <f>IMAGE("https://upload.wikimedia.org/wikipedia/commons/e/ea/Entre_sombras_del_bosque.jpg")</f>
        <v/>
      </c>
    </row>
    <row r="805" ht="36.0" customHeight="1">
      <c r="A805" s="16" t="str">
        <f>HYPERLINK("https://commons.wikimedia.org/wiki/User:" &amp; ENCODEURL("Elcrespodeloscuentos"), "Elcrespodeloscuentos")</f>
        <v>Elcrespodeloscuentos</v>
      </c>
      <c r="B805" s="17" t="s">
        <v>1686</v>
      </c>
      <c r="C805" s="18">
        <v>46203.94850694444</v>
      </c>
      <c r="D805" s="17" t="s">
        <v>1687</v>
      </c>
      <c r="E805" s="19" t="s">
        <v>29</v>
      </c>
      <c r="F805" s="19" t="s">
        <v>30</v>
      </c>
      <c r="G805" s="20" t="s">
        <v>17</v>
      </c>
      <c r="H805" s="20" t="s">
        <v>18</v>
      </c>
      <c r="I805" s="19" t="str">
        <f>IMAGE("https://upload.wikimedia.org/wikipedia/commons/b/b2/Epidendrum_arachnoglossum_28%2C06%2C26_P%C3%A1ramo_de_Belmira.jpg")</f>
        <v/>
      </c>
    </row>
    <row r="806" ht="36.0" customHeight="1">
      <c r="A806" s="10" t="str">
        <f>HYPERLINK("https://commons.wikimedia.org/wiki/User:" &amp; ENCODEURL("Eumastacidae"), "Eumastacidae")</f>
        <v>Eumastacidae</v>
      </c>
      <c r="B806" s="11" t="s">
        <v>1688</v>
      </c>
      <c r="C806" s="12">
        <v>46163.51105324074</v>
      </c>
      <c r="D806" s="11" t="s">
        <v>1689</v>
      </c>
      <c r="E806" s="14" t="s">
        <v>29</v>
      </c>
      <c r="F806" s="14" t="s">
        <v>30</v>
      </c>
      <c r="G806" s="15" t="s">
        <v>17</v>
      </c>
      <c r="H806" s="15" t="s">
        <v>18</v>
      </c>
      <c r="I806" s="14" t="str">
        <f>IMAGE("https://upload.wikimedia.org/wikipedia/commons/6/65/Epidendrum_radicans_Bojac%C3%A1.jpg")</f>
        <v/>
      </c>
    </row>
    <row r="807" ht="36.0" customHeight="1">
      <c r="A807" s="16" t="str">
        <f t="shared" ref="A807:A808" si="114">HYPERLINK("https://commons.wikimedia.org/wiki/User:" &amp; ENCODEURL("NMontoya (WMCO)"), "NMontoya (WMCO)")</f>
        <v>NMontoya (WMCO)</v>
      </c>
      <c r="B807" s="17" t="s">
        <v>1690</v>
      </c>
      <c r="C807" s="18">
        <v>46177.80662037037</v>
      </c>
      <c r="D807" s="17" t="s">
        <v>102</v>
      </c>
      <c r="E807" s="19" t="s">
        <v>103</v>
      </c>
      <c r="F807" s="20" t="s">
        <v>16</v>
      </c>
      <c r="G807" s="20" t="s">
        <v>17</v>
      </c>
      <c r="H807" s="20" t="s">
        <v>18</v>
      </c>
      <c r="I807" s="19" t="str">
        <f>IMAGE("https://upload.wikimedia.org/wikipedia/commons/3/32/Epifitismo_1.jpg")</f>
        <v/>
      </c>
    </row>
    <row r="808" ht="36.0" customHeight="1">
      <c r="A808" s="10" t="str">
        <f t="shared" si="114"/>
        <v>NMontoya (WMCO)</v>
      </c>
      <c r="B808" s="11" t="s">
        <v>1691</v>
      </c>
      <c r="C808" s="12">
        <v>46191.80768518519</v>
      </c>
      <c r="D808" s="11" t="s">
        <v>1692</v>
      </c>
      <c r="E808" s="14" t="s">
        <v>683</v>
      </c>
      <c r="F808" s="15" t="s">
        <v>16</v>
      </c>
      <c r="G808" s="15" t="s">
        <v>17</v>
      </c>
      <c r="H808" s="15" t="s">
        <v>18</v>
      </c>
      <c r="I808" s="14" t="str">
        <f>IMAGE("https://upload.wikimedia.org/wikipedia/commons/9/99/Epifitismo_en_%C3%A1rbol.jpg")</f>
        <v/>
      </c>
    </row>
    <row r="809" ht="36.0" customHeight="1">
      <c r="A809" s="16" t="str">
        <f t="shared" ref="A809:A810" si="115">HYPERLINK("https://commons.wikimedia.org/wiki/User:" &amp; ENCODEURL("Bioedna.ro"), "Bioedna.ro")</f>
        <v>Bioedna.ro</v>
      </c>
      <c r="B809" s="17" t="s">
        <v>1693</v>
      </c>
      <c r="C809" s="18">
        <v>46202.99890046296</v>
      </c>
      <c r="D809" s="17" t="s">
        <v>1694</v>
      </c>
      <c r="E809" s="19" t="s">
        <v>1695</v>
      </c>
      <c r="F809" s="20" t="s">
        <v>16</v>
      </c>
      <c r="G809" s="20" t="s">
        <v>17</v>
      </c>
      <c r="H809" s="20" t="s">
        <v>18</v>
      </c>
      <c r="I809" s="19" t="str">
        <f>IMAGE("https://upload.wikimedia.org/wikipedia/commons/a/ae/Epilachna_sp._en_Bojac%C3%A1%2C_COL.jpg")</f>
        <v/>
      </c>
    </row>
    <row r="810" ht="36.0" customHeight="1">
      <c r="A810" s="10" t="str">
        <f t="shared" si="115"/>
        <v>Bioedna.ro</v>
      </c>
      <c r="B810" s="11" t="s">
        <v>1696</v>
      </c>
      <c r="C810" s="12">
        <v>46202.998935185184</v>
      </c>
      <c r="D810" s="11" t="s">
        <v>1694</v>
      </c>
      <c r="E810" s="14" t="s">
        <v>1695</v>
      </c>
      <c r="F810" s="15" t="s">
        <v>16</v>
      </c>
      <c r="G810" s="15" t="s">
        <v>17</v>
      </c>
      <c r="H810" s="15" t="s">
        <v>18</v>
      </c>
      <c r="I810" s="14" t="str">
        <f>IMAGE("https://upload.wikimedia.org/wikipedia/commons/c/c8/Epilachna_sp._en_Bojac%C3%A1%2C_Colombia.jpg")</f>
        <v/>
      </c>
    </row>
    <row r="811" ht="36.0" customHeight="1">
      <c r="A811" s="16" t="str">
        <f>HYPERLINK("https://commons.wikimedia.org/wiki/User:" &amp; ENCODEURL("Johan Andrés Toro"), "Johan Andrés Toro")</f>
        <v>Johan Andrés Toro</v>
      </c>
      <c r="B811" s="17" t="s">
        <v>1697</v>
      </c>
      <c r="C811" s="18">
        <v>46171.73930555556</v>
      </c>
      <c r="D811" s="17" t="s">
        <v>1698</v>
      </c>
      <c r="E811" s="19" t="s">
        <v>29</v>
      </c>
      <c r="F811" s="19" t="s">
        <v>30</v>
      </c>
      <c r="G811" s="20" t="s">
        <v>17</v>
      </c>
      <c r="H811" s="20" t="s">
        <v>18</v>
      </c>
      <c r="I811" s="19" t="str">
        <f>IMAGE("https://upload.wikimedia.org/wikipedia/commons/4/4f/Equino_dom%C3%A9stico_en_la_zona_de_amortiguaci%C3%B3n_del_Nevado_del_Ruiz.jpg")</f>
        <v/>
      </c>
    </row>
    <row r="812" ht="36.0" customHeight="1">
      <c r="A812" s="10" t="str">
        <f>HYPERLINK("https://commons.wikimedia.org/wiki/User:" &amp; ENCODEURL("AmiGueko"), "AmiGueko")</f>
        <v>AmiGueko</v>
      </c>
      <c r="B812" s="11" t="s">
        <v>1699</v>
      </c>
      <c r="C812" s="12">
        <v>46151.33760416666</v>
      </c>
      <c r="D812" s="11" t="s">
        <v>1700</v>
      </c>
      <c r="E812" s="14" t="s">
        <v>1701</v>
      </c>
      <c r="F812" s="15" t="s">
        <v>16</v>
      </c>
      <c r="G812" s="15" t="s">
        <v>17</v>
      </c>
      <c r="H812" s="15" t="s">
        <v>18</v>
      </c>
      <c r="I812" s="14" t="str">
        <f>IMAGE("https://upload.wikimedia.org/wikipedia/commons/f/f6/Eremurus_stenophyllus.jpg")</f>
        <v/>
      </c>
    </row>
    <row r="813" ht="36.0" customHeight="1">
      <c r="A813" s="16" t="str">
        <f>HYPERLINK("https://commons.wikimedia.org/wiki/User:" &amp; ENCODEURL("Nbareschu"), "Nbareschu")</f>
        <v>Nbareschu</v>
      </c>
      <c r="B813" s="17" t="s">
        <v>1702</v>
      </c>
      <c r="C813" s="18">
        <v>46149.42151620371</v>
      </c>
      <c r="D813" s="17" t="s">
        <v>1703</v>
      </c>
      <c r="E813" s="19" t="s">
        <v>1704</v>
      </c>
      <c r="F813" s="20" t="s">
        <v>16</v>
      </c>
      <c r="G813" s="20" t="s">
        <v>17</v>
      </c>
      <c r="H813" s="20" t="s">
        <v>18</v>
      </c>
      <c r="I813" s="19" t="str">
        <f>IMAGE("https://upload.wikimedia.org/wikipedia/commons/e/e7/Erigon.jpg")</f>
        <v/>
      </c>
    </row>
    <row r="814" ht="36.0" customHeight="1">
      <c r="A814" s="10" t="str">
        <f>HYPERLINK("https://commons.wikimedia.org/wiki/User:" &amp; ENCODEURL("Atomini"), "Atomini")</f>
        <v>Atomini</v>
      </c>
      <c r="B814" s="11" t="s">
        <v>1705</v>
      </c>
      <c r="C814" s="12">
        <v>46203.44503472222</v>
      </c>
      <c r="D814" s="11" t="s">
        <v>1706</v>
      </c>
      <c r="E814" s="14" t="s">
        <v>29</v>
      </c>
      <c r="F814" s="14" t="s">
        <v>30</v>
      </c>
      <c r="G814" s="15" t="s">
        <v>17</v>
      </c>
      <c r="H814" s="15" t="s">
        <v>18</v>
      </c>
      <c r="I814" s="14" t="str">
        <f>IMAGE("https://upload.wikimedia.org/wikipedia/commons/d/de/Eristalis_sp._hoverfly_on_Achillea_flowers.jpg")</f>
        <v/>
      </c>
    </row>
    <row r="815" ht="36.0" customHeight="1">
      <c r="A815" s="16" t="str">
        <f>HYPERLINK("https://commons.wikimedia.org/wiki/User:" &amp; ENCODEURL("Mottenpriesterin"), "Mottenpriesterin")</f>
        <v>Mottenpriesterin</v>
      </c>
      <c r="B815" s="17" t="s">
        <v>1707</v>
      </c>
      <c r="C815" s="18">
        <v>46202.920115740744</v>
      </c>
      <c r="D815" s="17" t="s">
        <v>1708</v>
      </c>
      <c r="E815" s="19" t="s">
        <v>29</v>
      </c>
      <c r="F815" s="19" t="s">
        <v>30</v>
      </c>
      <c r="G815" s="20" t="s">
        <v>17</v>
      </c>
      <c r="H815" s="20" t="s">
        <v>18</v>
      </c>
      <c r="I815" s="19" t="str">
        <f>IMAGE("https://upload.wikimedia.org/wikipedia/commons/1/1e/Eroded_hillside_landscape_with_exposed_clay_strata_near_Villa_de_Leyva%2C_2026.jpg")</f>
        <v/>
      </c>
    </row>
    <row r="816" ht="36.0" customHeight="1">
      <c r="A816" s="10" t="str">
        <f>HYPERLINK("https://commons.wikimedia.org/wiki/User:" &amp; ENCODEURL("Johan Andrés Toro"), "Johan Andrés Toro")</f>
        <v>Johan Andrés Toro</v>
      </c>
      <c r="B816" s="11" t="s">
        <v>1709</v>
      </c>
      <c r="C816" s="12">
        <v>46176.945810185185</v>
      </c>
      <c r="D816" s="11" t="s">
        <v>1710</v>
      </c>
      <c r="E816" s="14" t="s">
        <v>29</v>
      </c>
      <c r="F816" s="14" t="s">
        <v>30</v>
      </c>
      <c r="G816" s="15" t="s">
        <v>17</v>
      </c>
      <c r="H816" s="15" t="s">
        <v>18</v>
      </c>
      <c r="I816" s="14" t="str">
        <f>IMAGE("https://upload.wikimedia.org/wikipedia/commons/b/b5/Escala_natural_en_los_laberintos_sobre_el_Desierto_de_la_Tatacoa.jpg")</f>
        <v/>
      </c>
    </row>
    <row r="817" ht="36.0" customHeight="1">
      <c r="A817" s="16" t="str">
        <f>HYPERLINK("https://commons.wikimedia.org/wiki/User:" &amp; ENCODEURL("Jhon Barrera"), "Jhon Barrera")</f>
        <v>Jhon Barrera</v>
      </c>
      <c r="B817" s="17" t="s">
        <v>1711</v>
      </c>
      <c r="C817" s="18">
        <v>46166.72896990741</v>
      </c>
      <c r="D817" s="17" t="s">
        <v>1712</v>
      </c>
      <c r="E817" s="19" t="s">
        <v>29</v>
      </c>
      <c r="F817" s="19" t="s">
        <v>30</v>
      </c>
      <c r="G817" s="20" t="s">
        <v>17</v>
      </c>
      <c r="H817" s="20" t="s">
        <v>18</v>
      </c>
      <c r="I817" s="19" t="str">
        <f>IMAGE("https://upload.wikimedia.org/wikipedia/commons/b/b7/Escalada_de_P._tarsius.jpg")</f>
        <v/>
      </c>
    </row>
    <row r="818" ht="36.0" customHeight="1">
      <c r="A818" s="10" t="str">
        <f>HYPERLINK("https://commons.wikimedia.org/wiki/User:" &amp; ENCODEURL("AmiGueko"), "AmiGueko")</f>
        <v>AmiGueko</v>
      </c>
      <c r="B818" s="11" t="s">
        <v>1713</v>
      </c>
      <c r="C818" s="12">
        <v>46165.924942129626</v>
      </c>
      <c r="D818" s="11" t="s">
        <v>1714</v>
      </c>
      <c r="E818" s="14" t="s">
        <v>1715</v>
      </c>
      <c r="F818" s="15" t="s">
        <v>16</v>
      </c>
      <c r="G818" s="15" t="s">
        <v>17</v>
      </c>
      <c r="H818" s="15" t="s">
        <v>18</v>
      </c>
      <c r="I818" s="14" t="str">
        <f>IMAGE("https://upload.wikimedia.org/wikipedia/commons/e/eb/Escarabajo_%2888516%29.jpg")</f>
        <v/>
      </c>
    </row>
    <row r="819" ht="36.0" customHeight="1">
      <c r="A819" s="16" t="str">
        <f>HYPERLINK("https://commons.wikimedia.org/wiki/User:" &amp; ENCODEURL("Mfrancoavellaneda"), "Mfrancoavellaneda")</f>
        <v>Mfrancoavellaneda</v>
      </c>
      <c r="B819" s="17" t="s">
        <v>1716</v>
      </c>
      <c r="C819" s="18">
        <v>46203.71142361111</v>
      </c>
      <c r="D819" s="17" t="s">
        <v>1717</v>
      </c>
      <c r="E819" s="19" t="s">
        <v>29</v>
      </c>
      <c r="F819" s="19" t="s">
        <v>30</v>
      </c>
      <c r="G819" s="20" t="s">
        <v>17</v>
      </c>
      <c r="H819" s="20" t="s">
        <v>18</v>
      </c>
      <c r="I819" s="19" t="str">
        <f>IMAGE("https://upload.wikimedia.org/wikipedia/commons/0/0a/Escarabajo_%28Euchroma_gigantea%29.jpg")</f>
        <v/>
      </c>
    </row>
    <row r="820" ht="36.0" customHeight="1">
      <c r="A820" s="10" t="str">
        <f>HYPERLINK("https://commons.wikimedia.org/wiki/User:" &amp; ENCODEURL("Biodiego88"), "Biodiego88")</f>
        <v>Biodiego88</v>
      </c>
      <c r="B820" s="11" t="s">
        <v>1718</v>
      </c>
      <c r="C820" s="12">
        <v>46163.80724537037</v>
      </c>
      <c r="D820" s="11" t="s">
        <v>1719</v>
      </c>
      <c r="E820" s="14" t="s">
        <v>1720</v>
      </c>
      <c r="F820" s="15" t="s">
        <v>16</v>
      </c>
      <c r="G820" s="15" t="s">
        <v>17</v>
      </c>
      <c r="H820" s="15" t="s">
        <v>18</v>
      </c>
      <c r="I820" s="14" t="str">
        <f>IMAGE("https://upload.wikimedia.org/wikipedia/commons/e/e9/Escarabajo_Tenebrionidae.jpg")</f>
        <v/>
      </c>
    </row>
    <row r="821" ht="36.0" customHeight="1">
      <c r="A821" s="16" t="str">
        <f t="shared" ref="A821:A822" si="116">HYPERLINK("https://commons.wikimedia.org/wiki/User:" &amp; ENCODEURL("AmiGueko"), "AmiGueko")</f>
        <v>AmiGueko</v>
      </c>
      <c r="B821" s="17" t="s">
        <v>1721</v>
      </c>
      <c r="C821" s="18">
        <v>46156.940462962964</v>
      </c>
      <c r="D821" s="17" t="s">
        <v>1722</v>
      </c>
      <c r="E821" s="19" t="s">
        <v>1723</v>
      </c>
      <c r="F821" s="20" t="s">
        <v>16</v>
      </c>
      <c r="G821" s="20" t="s">
        <v>17</v>
      </c>
      <c r="H821" s="20" t="s">
        <v>18</v>
      </c>
      <c r="I821" s="19" t="str">
        <f>IMAGE("https://upload.wikimedia.org/wikipedia/commons/e/e4/Escarabajo_de_hoja_de_menta_azul.jpg")</f>
        <v/>
      </c>
    </row>
    <row r="822" ht="36.0" customHeight="1">
      <c r="A822" s="10" t="str">
        <f t="shared" si="116"/>
        <v>AmiGueko</v>
      </c>
      <c r="B822" s="11" t="s">
        <v>1724</v>
      </c>
      <c r="C822" s="12">
        <v>46156.940613425926</v>
      </c>
      <c r="D822" s="11" t="s">
        <v>1722</v>
      </c>
      <c r="E822" s="14" t="s">
        <v>29</v>
      </c>
      <c r="F822" s="14" t="s">
        <v>30</v>
      </c>
      <c r="G822" s="15" t="s">
        <v>17</v>
      </c>
      <c r="H822" s="15" t="s">
        <v>18</v>
      </c>
      <c r="I822" s="14" t="str">
        <f>IMAGE("https://upload.wikimedia.org/wikipedia/commons/a/a5/Escarabajo_de_hoja_de_menta_azul_%2871827%29.jpg")</f>
        <v/>
      </c>
    </row>
    <row r="823" ht="36.0" customHeight="1">
      <c r="A823" s="16" t="str">
        <f>HYPERLINK("https://commons.wikimedia.org/wiki/User:" &amp; ENCODEURL("Pocholocosta"), "Pocholocosta")</f>
        <v>Pocholocosta</v>
      </c>
      <c r="B823" s="17" t="s">
        <v>1725</v>
      </c>
      <c r="C823" s="18">
        <v>46157.990694444445</v>
      </c>
      <c r="D823" s="17" t="s">
        <v>1726</v>
      </c>
      <c r="E823" s="19" t="s">
        <v>29</v>
      </c>
      <c r="F823" s="19" t="s">
        <v>30</v>
      </c>
      <c r="G823" s="20" t="s">
        <v>17</v>
      </c>
      <c r="H823" s="20" t="s">
        <v>18</v>
      </c>
      <c r="I823" s="19" t="str">
        <f>IMAGE("https://upload.wikimedia.org/wikipedia/commons/c/c5/Escarabajo_longuicornio.jpg")</f>
        <v/>
      </c>
    </row>
    <row r="824" ht="36.0" customHeight="1">
      <c r="A824" s="10" t="str">
        <f>HYPERLINK("https://commons.wikimedia.org/wiki/User:" &amp; ENCODEURL("AmiGueko"), "AmiGueko")</f>
        <v>AmiGueko</v>
      </c>
      <c r="B824" s="11" t="s">
        <v>1727</v>
      </c>
      <c r="C824" s="12">
        <v>46150.96334490741</v>
      </c>
      <c r="D824" s="11" t="s">
        <v>1728</v>
      </c>
      <c r="E824" s="14" t="s">
        <v>1729</v>
      </c>
      <c r="F824" s="15" t="s">
        <v>16</v>
      </c>
      <c r="G824" s="15" t="s">
        <v>17</v>
      </c>
      <c r="H824" s="15" t="s">
        <v>18</v>
      </c>
      <c r="I824" s="14" t="str">
        <f>IMAGE("https://upload.wikimedia.org/wikipedia/commons/b/b0/Escarabajo_tortuga.jpg")</f>
        <v/>
      </c>
    </row>
    <row r="825" ht="36.0" customHeight="1">
      <c r="A825" s="16" t="str">
        <f>HYPERLINK("https://commons.wikimedia.org/wiki/User:" &amp; ENCODEURL("Maximo10momeridio"), "Maximo10momeridio")</f>
        <v>Maximo10momeridio</v>
      </c>
      <c r="B825" s="17" t="s">
        <v>1730</v>
      </c>
      <c r="C825" s="18">
        <v>46163.56693287037</v>
      </c>
      <c r="D825" s="17" t="s">
        <v>1731</v>
      </c>
      <c r="E825" s="19" t="s">
        <v>29</v>
      </c>
      <c r="F825" s="19" t="s">
        <v>30</v>
      </c>
      <c r="G825" s="20" t="s">
        <v>17</v>
      </c>
      <c r="H825" s="20" t="s">
        <v>18</v>
      </c>
      <c r="I825" s="19" t="str">
        <f>IMAGE("https://upload.wikimedia.org/wikipedia/commons/1/15/Escuela_en_san_benito_de_abad.jpg")</f>
        <v/>
      </c>
    </row>
    <row r="826" ht="36.0" customHeight="1">
      <c r="A826" s="10" t="str">
        <f>HYPERLINK("https://commons.wikimedia.org/wiki/User:" &amp; ENCODEURL("Johan Andrés Toro"), "Johan Andrés Toro")</f>
        <v>Johan Andrés Toro</v>
      </c>
      <c r="B826" s="11" t="s">
        <v>1732</v>
      </c>
      <c r="C826" s="12">
        <v>46176.94572916667</v>
      </c>
      <c r="D826" s="11" t="s">
        <v>1733</v>
      </c>
      <c r="E826" s="14" t="s">
        <v>29</v>
      </c>
      <c r="F826" s="14" t="s">
        <v>30</v>
      </c>
      <c r="G826" s="15" t="s">
        <v>17</v>
      </c>
      <c r="H826" s="15" t="s">
        <v>18</v>
      </c>
      <c r="I826" s="14" t="str">
        <f>IMAGE("https://upload.wikimedia.org/wikipedia/commons/0/02/Esculturas_minerales_en_el_Valle_de_los_Fantasmas_de_la_Tatacoa.jpg")</f>
        <v/>
      </c>
    </row>
    <row r="827" ht="36.0" customHeight="1">
      <c r="A827" s="16" t="str">
        <f t="shared" ref="A827:A829" si="117">HYPERLINK("https://commons.wikimedia.org/wiki/User:" &amp; ENCODEURL("KingJo09"), "KingJo09")</f>
        <v>KingJo09</v>
      </c>
      <c r="B827" s="17" t="s">
        <v>1734</v>
      </c>
      <c r="C827" s="18">
        <v>46165.89079861111</v>
      </c>
      <c r="D827" s="17" t="s">
        <v>1735</v>
      </c>
      <c r="E827" s="19" t="s">
        <v>1220</v>
      </c>
      <c r="F827" s="20" t="s">
        <v>16</v>
      </c>
      <c r="G827" s="20" t="s">
        <v>17</v>
      </c>
      <c r="H827" s="20" t="s">
        <v>18</v>
      </c>
      <c r="I827" s="19" t="str">
        <f>IMAGE("https://upload.wikimedia.org/wikipedia/commons/f/f5/Esencia_Violeta.jpg")</f>
        <v/>
      </c>
    </row>
    <row r="828" ht="36.0" customHeight="1">
      <c r="A828" s="10" t="str">
        <f t="shared" si="117"/>
        <v>KingJo09</v>
      </c>
      <c r="B828" s="11" t="s">
        <v>1736</v>
      </c>
      <c r="C828" s="12">
        <v>46165.89079861111</v>
      </c>
      <c r="D828" s="11" t="s">
        <v>1737</v>
      </c>
      <c r="E828" s="14" t="s">
        <v>1220</v>
      </c>
      <c r="F828" s="15" t="s">
        <v>16</v>
      </c>
      <c r="G828" s="15" t="s">
        <v>17</v>
      </c>
      <c r="H828" s="15" t="s">
        <v>18</v>
      </c>
      <c r="I828" s="14" t="str">
        <f>IMAGE("https://upload.wikimedia.org/wikipedia/commons/9/98/Esfera_de_Deseos.jpg")</f>
        <v/>
      </c>
    </row>
    <row r="829" ht="36.0" customHeight="1">
      <c r="A829" s="16" t="str">
        <f t="shared" si="117"/>
        <v>KingJo09</v>
      </c>
      <c r="B829" s="17" t="s">
        <v>1738</v>
      </c>
      <c r="C829" s="18">
        <v>46165.8908912037</v>
      </c>
      <c r="D829" s="17" t="s">
        <v>1739</v>
      </c>
      <c r="E829" s="19" t="s">
        <v>1220</v>
      </c>
      <c r="F829" s="20" t="s">
        <v>16</v>
      </c>
      <c r="G829" s="20" t="s">
        <v>17</v>
      </c>
      <c r="H829" s="20" t="s">
        <v>18</v>
      </c>
      <c r="I829" s="19" t="str">
        <f>IMAGE("https://upload.wikimedia.org/wikipedia/commons/d/d3/Esferas_de_la_Naturaleza.jpg")</f>
        <v/>
      </c>
    </row>
    <row r="830" ht="36.0" customHeight="1">
      <c r="A830" s="10" t="str">
        <f>HYPERLINK("https://commons.wikimedia.org/wiki/User:" &amp; ENCODEURL("Nathaly 1106"), "Nathaly 1106")</f>
        <v>Nathaly 1106</v>
      </c>
      <c r="B830" s="11" t="s">
        <v>1740</v>
      </c>
      <c r="C830" s="12">
        <v>46148.619409722225</v>
      </c>
      <c r="D830" s="11" t="s">
        <v>1741</v>
      </c>
      <c r="E830" s="14" t="s">
        <v>29</v>
      </c>
      <c r="F830" s="14" t="s">
        <v>30</v>
      </c>
      <c r="G830" s="15" t="s">
        <v>17</v>
      </c>
      <c r="H830" s="15" t="s">
        <v>18</v>
      </c>
      <c r="I830" s="14" t="str">
        <f>IMAGE("https://upload.wikimedia.org/wikipedia/commons/a/a0/Especie_%C3%A1rbol_Hueso_%28Salicaceae%29.jpg")</f>
        <v/>
      </c>
    </row>
    <row r="831" ht="36.0" customHeight="1">
      <c r="A831" s="16" t="str">
        <f>HYPERLINK("https://commons.wikimedia.org/wiki/User:" &amp; ENCODEURL("XRkstudiox"), "XRkstudiox")</f>
        <v>XRkstudiox</v>
      </c>
      <c r="B831" s="17" t="s">
        <v>1742</v>
      </c>
      <c r="C831" s="18">
        <v>46203.71466435185</v>
      </c>
      <c r="D831" s="17" t="s">
        <v>415</v>
      </c>
      <c r="E831" s="19" t="s">
        <v>29</v>
      </c>
      <c r="F831" s="19" t="s">
        <v>30</v>
      </c>
      <c r="G831" s="20" t="s">
        <v>17</v>
      </c>
      <c r="H831" s="20" t="s">
        <v>18</v>
      </c>
      <c r="I831" s="19" t="str">
        <f>IMAGE("https://upload.wikimedia.org/wikipedia/commons/1/12/Espejo_del_R%C3%ADo_In%C3%ADrida.jpg")</f>
        <v/>
      </c>
    </row>
    <row r="832" ht="36.0" customHeight="1">
      <c r="A832" s="10" t="str">
        <f>HYPERLINK("https://commons.wikimedia.org/wiki/User:" &amp; ENCODEURL("Anfedame"), "Anfedame")</f>
        <v>Anfedame</v>
      </c>
      <c r="B832" s="11" t="s">
        <v>1743</v>
      </c>
      <c r="C832" s="12">
        <v>46203.7109375</v>
      </c>
      <c r="D832" s="11" t="s">
        <v>1744</v>
      </c>
      <c r="E832" s="14" t="s">
        <v>29</v>
      </c>
      <c r="F832" s="14" t="s">
        <v>30</v>
      </c>
      <c r="G832" s="15" t="s">
        <v>17</v>
      </c>
      <c r="H832" s="15" t="s">
        <v>18</v>
      </c>
      <c r="I832" s="14" t="str">
        <f>IMAGE("https://upload.wikimedia.org/wikipedia/commons/3/3f/Espeletia_grandiflora_-_Frailej%C3%B3n.jpg")</f>
        <v/>
      </c>
    </row>
    <row r="833" ht="36.0" customHeight="1">
      <c r="A833" s="16" t="str">
        <f>HYPERLINK("https://commons.wikimedia.org/wiki/User:" &amp; ENCODEURL("SergiXCX"), "SergiXCX")</f>
        <v>SergiXCX</v>
      </c>
      <c r="B833" s="17" t="s">
        <v>1745</v>
      </c>
      <c r="C833" s="18">
        <v>46203.980891203704</v>
      </c>
      <c r="D833" s="17" t="s">
        <v>1746</v>
      </c>
      <c r="E833" s="19" t="s">
        <v>29</v>
      </c>
      <c r="F833" s="19" t="s">
        <v>30</v>
      </c>
      <c r="G833" s="20" t="s">
        <v>17</v>
      </c>
      <c r="H833" s="20" t="s">
        <v>18</v>
      </c>
      <c r="I833" s="19" t="str">
        <f>IMAGE("https://upload.wikimedia.org/wikipedia/commons/0/09/Espeletia_in_Boyac%C3%A1_%28Frailejones_en_Boyac%C3%A1%29.jpg")</f>
        <v/>
      </c>
    </row>
    <row r="834" ht="36.0" customHeight="1">
      <c r="A834" s="10" t="str">
        <f>HYPERLINK("https://commons.wikimedia.org/wiki/User:" &amp; ENCODEURL("Supertita"), "Supertita")</f>
        <v>Supertita</v>
      </c>
      <c r="B834" s="11" t="s">
        <v>1747</v>
      </c>
      <c r="C834" s="12">
        <v>46192.707407407404</v>
      </c>
      <c r="D834" s="11" t="s">
        <v>1748</v>
      </c>
      <c r="E834" s="14" t="s">
        <v>21</v>
      </c>
      <c r="F834" s="15" t="s">
        <v>16</v>
      </c>
      <c r="G834" s="15" t="s">
        <v>17</v>
      </c>
      <c r="H834" s="15" t="s">
        <v>18</v>
      </c>
      <c r="I834" s="14" t="str">
        <f>IMAGE("https://upload.wikimedia.org/wikipedia/commons/0/0b/Espeletia_schultesiana_Frailejon-familia_de_las_aster%C3%A1ceas.jpg")</f>
        <v/>
      </c>
    </row>
    <row r="835" ht="36.0" customHeight="1">
      <c r="A835" s="16" t="str">
        <f>HYPERLINK("https://commons.wikimedia.org/wiki/User:" &amp; ENCODEURL("Adrianava.yviene"), "Adrianava.yviene")</f>
        <v>Adrianava.yviene</v>
      </c>
      <c r="B835" s="17" t="s">
        <v>1749</v>
      </c>
      <c r="C835" s="18">
        <v>46198.55803240741</v>
      </c>
      <c r="D835" s="17" t="s">
        <v>1750</v>
      </c>
      <c r="E835" s="19" t="s">
        <v>29</v>
      </c>
      <c r="F835" s="19" t="s">
        <v>30</v>
      </c>
      <c r="G835" s="20" t="s">
        <v>17</v>
      </c>
      <c r="H835" s="20" t="s">
        <v>18</v>
      </c>
      <c r="I835" s="19" t="str">
        <f>IMAGE("https://upload.wikimedia.org/wikipedia/commons/6/6c/Espeletia_uribei.jpg")</f>
        <v/>
      </c>
    </row>
    <row r="836" ht="36.0" customHeight="1">
      <c r="A836" s="10" t="str">
        <f>HYPERLINK("https://commons.wikimedia.org/wiki/User:" &amp; ENCODEURL("CHAVESJUAN19"), "CHAVESJUAN19")</f>
        <v>CHAVESJUAN19</v>
      </c>
      <c r="B836" s="11" t="s">
        <v>1751</v>
      </c>
      <c r="C836" s="12">
        <v>46203.962164351855</v>
      </c>
      <c r="D836" s="11" t="s">
        <v>1752</v>
      </c>
      <c r="E836" s="14" t="s">
        <v>179</v>
      </c>
      <c r="F836" s="15" t="s">
        <v>16</v>
      </c>
      <c r="G836" s="15" t="s">
        <v>17</v>
      </c>
      <c r="H836" s="15" t="s">
        <v>18</v>
      </c>
      <c r="I836" s="14" t="str">
        <f>IMAGE("https://upload.wikimedia.org/wikipedia/commons/c/ce/Esperando_amor_-_PNN_Cueva_de_los_Guacharos_%28PRIMER_PLANO%29.jpg")</f>
        <v/>
      </c>
    </row>
    <row r="837" ht="36.0" customHeight="1">
      <c r="A837" s="16" t="str">
        <f>HYPERLINK("https://commons.wikimedia.org/wiki/User:" &amp; ENCODEURL("Tudum1213"), "Tudum1213")</f>
        <v>Tudum1213</v>
      </c>
      <c r="B837" s="17" t="s">
        <v>1753</v>
      </c>
      <c r="C837" s="18">
        <v>46163.55296296296</v>
      </c>
      <c r="D837" s="17" t="s">
        <v>1754</v>
      </c>
      <c r="E837" s="19" t="s">
        <v>29</v>
      </c>
      <c r="F837" s="19" t="s">
        <v>30</v>
      </c>
      <c r="G837" s="20" t="s">
        <v>17</v>
      </c>
      <c r="H837" s="20" t="s">
        <v>18</v>
      </c>
      <c r="I837" s="19" t="str">
        <f>IMAGE("https://upload.wikimedia.org/wikipedia/commons/0/0a/Espiga_floral_del_acanto.jpg")</f>
        <v/>
      </c>
    </row>
    <row r="838" ht="36.0" customHeight="1">
      <c r="A838" s="10" t="str">
        <f>HYPERLINK("https://commons.wikimedia.org/wiki/User:" &amp; ENCODEURL("Juli 2000 her"), "Juli 2000 her")</f>
        <v>Juli 2000 her</v>
      </c>
      <c r="B838" s="11" t="s">
        <v>1755</v>
      </c>
      <c r="C838" s="12">
        <v>46189.05409722222</v>
      </c>
      <c r="D838" s="11" t="s">
        <v>1756</v>
      </c>
      <c r="E838" s="14" t="s">
        <v>29</v>
      </c>
      <c r="F838" s="14" t="s">
        <v>30</v>
      </c>
      <c r="G838" s="15" t="s">
        <v>17</v>
      </c>
      <c r="H838" s="15" t="s">
        <v>18</v>
      </c>
      <c r="I838" s="14" t="str">
        <f>IMAGE("https://upload.wikimedia.org/wikipedia/commons/2/2b/Espiguero_picocorto_%28Sporophila_minuta%29_en_Santander%2C_Colombia.jpg")</f>
        <v/>
      </c>
    </row>
    <row r="839" ht="36.0" customHeight="1">
      <c r="A839" s="16" t="str">
        <f>HYPERLINK("https://commons.wikimedia.org/wiki/User:" &amp; ENCODEURL("Nbareschu"), "Nbareschu")</f>
        <v>Nbareschu</v>
      </c>
      <c r="B839" s="17" t="s">
        <v>1757</v>
      </c>
      <c r="C839" s="18">
        <v>46149.421111111114</v>
      </c>
      <c r="D839" s="17" t="s">
        <v>1758</v>
      </c>
      <c r="E839" s="19" t="s">
        <v>1759</v>
      </c>
      <c r="F839" s="20" t="s">
        <v>16</v>
      </c>
      <c r="G839" s="20" t="s">
        <v>17</v>
      </c>
      <c r="H839" s="20" t="s">
        <v>18</v>
      </c>
      <c r="I839" s="19" t="str">
        <f>IMAGE("https://upload.wikimedia.org/wikipedia/commons/1/18/Espinas_de_mora_de_P%C3%A1ramo.jpg")</f>
        <v/>
      </c>
    </row>
    <row r="840" ht="36.0" customHeight="1">
      <c r="A840" s="10" t="str">
        <f>HYPERLINK("https://commons.wikimedia.org/wiki/User:" &amp; ENCODEURL("Guiverfer"), "Guiverfer")</f>
        <v>Guiverfer</v>
      </c>
      <c r="B840" s="11" t="s">
        <v>1760</v>
      </c>
      <c r="C840" s="12">
        <v>46202.81201388889</v>
      </c>
      <c r="D840" s="11" t="s">
        <v>1761</v>
      </c>
      <c r="E840" s="14" t="s">
        <v>29</v>
      </c>
      <c r="F840" s="14" t="s">
        <v>30</v>
      </c>
      <c r="G840" s="15" t="s">
        <v>17</v>
      </c>
      <c r="H840" s="15" t="s">
        <v>18</v>
      </c>
      <c r="I840" s="14" t="str">
        <f>IMAGE("https://upload.wikimedia.org/wikipedia/commons/6/6b/Espumareda_peligrosa.jpg")</f>
        <v/>
      </c>
    </row>
    <row r="841" ht="36.0" customHeight="1">
      <c r="A841" s="16" t="str">
        <f>HYPERLINK("https://commons.wikimedia.org/wiki/User:" &amp; ENCODEURL("Pili20$123458"), "Pili20$123458")</f>
        <v>Pili20$123458</v>
      </c>
      <c r="B841" s="17" t="s">
        <v>1762</v>
      </c>
      <c r="C841" s="18">
        <v>46150.95699074074</v>
      </c>
      <c r="D841" s="17" t="s">
        <v>1763</v>
      </c>
      <c r="E841" s="19" t="s">
        <v>29</v>
      </c>
      <c r="F841" s="19" t="s">
        <v>30</v>
      </c>
      <c r="G841" s="20" t="s">
        <v>17</v>
      </c>
      <c r="H841" s="20" t="s">
        <v>18</v>
      </c>
      <c r="I841" s="19" t="str">
        <f>IMAGE("https://upload.wikimedia.org/wikipedia/commons/e/eb/Esta_en_mi_y_yo_en_el.jpg")</f>
        <v/>
      </c>
    </row>
    <row r="842" ht="36.0" customHeight="1">
      <c r="A842" s="10" t="str">
        <f>HYPERLINK("https://commons.wikimedia.org/wiki/User:" &amp; ENCODEURL("Samitor05"), "Samitor05")</f>
        <v>Samitor05</v>
      </c>
      <c r="B842" s="11" t="s">
        <v>1764</v>
      </c>
      <c r="C842" s="12">
        <v>46203.447222222225</v>
      </c>
      <c r="D842" s="11" t="s">
        <v>1765</v>
      </c>
      <c r="E842" s="14" t="s">
        <v>29</v>
      </c>
      <c r="F842" s="14" t="s">
        <v>30</v>
      </c>
      <c r="G842" s="15" t="s">
        <v>17</v>
      </c>
      <c r="H842" s="15" t="s">
        <v>18</v>
      </c>
      <c r="I842" s="14" t="str">
        <f>IMAGE("https://upload.wikimedia.org/wikipedia/commons/e/ed/Estaci%C3%B3n_can%C3%A1.jpg")</f>
        <v/>
      </c>
    </row>
    <row r="843" ht="36.0" customHeight="1">
      <c r="A843" s="16" t="str">
        <f t="shared" ref="A843:A844" si="118">HYPERLINK("https://commons.wikimedia.org/wiki/User:" &amp; ENCODEURL("Johan Andrés Toro"), "Johan Andrés Toro")</f>
        <v>Johan Andrés Toro</v>
      </c>
      <c r="B843" s="17" t="s">
        <v>1766</v>
      </c>
      <c r="C843" s="18">
        <v>46176.945868055554</v>
      </c>
      <c r="D843" s="17" t="s">
        <v>1767</v>
      </c>
      <c r="E843" s="19" t="s">
        <v>29</v>
      </c>
      <c r="F843" s="19" t="s">
        <v>30</v>
      </c>
      <c r="G843" s="20" t="s">
        <v>17</v>
      </c>
      <c r="H843" s="20" t="s">
        <v>18</v>
      </c>
      <c r="I843" s="19" t="str">
        <f>IMAGE("https://upload.wikimedia.org/wikipedia/commons/0/08/Estratos_y_pliegues_de_arcilla.jpg")</f>
        <v/>
      </c>
    </row>
    <row r="844" ht="36.0" customHeight="1">
      <c r="A844" s="10" t="str">
        <f t="shared" si="118"/>
        <v>Johan Andrés Toro</v>
      </c>
      <c r="B844" s="11" t="s">
        <v>1768</v>
      </c>
      <c r="C844" s="12">
        <v>46171.7394212963</v>
      </c>
      <c r="D844" s="11" t="s">
        <v>1769</v>
      </c>
      <c r="E844" s="14" t="s">
        <v>29</v>
      </c>
      <c r="F844" s="14" t="s">
        <v>30</v>
      </c>
      <c r="G844" s="15" t="s">
        <v>17</v>
      </c>
      <c r="H844" s="15" t="s">
        <v>18</v>
      </c>
      <c r="I844" s="14" t="str">
        <f>IMAGE("https://upload.wikimedia.org/wikipedia/commons/f/f1/Estructuras_de_disyunci%C3%B3n_columnar_en_el_Nevado_del_Ruiz.jpg")</f>
        <v/>
      </c>
    </row>
    <row r="845" ht="36.0" customHeight="1">
      <c r="A845" s="16" t="str">
        <f>HYPERLINK("https://commons.wikimedia.org/wiki/User:" &amp; ENCODEURL("Supertita"), "Supertita")</f>
        <v>Supertita</v>
      </c>
      <c r="B845" s="17" t="s">
        <v>1770</v>
      </c>
      <c r="C845" s="18">
        <v>46191.8077662037</v>
      </c>
      <c r="D845" s="17" t="s">
        <v>1771</v>
      </c>
      <c r="E845" s="19" t="s">
        <v>1772</v>
      </c>
      <c r="F845" s="20" t="s">
        <v>16</v>
      </c>
      <c r="G845" s="20" t="s">
        <v>17</v>
      </c>
      <c r="H845" s="20" t="s">
        <v>18</v>
      </c>
      <c r="I845" s="19" t="str">
        <f>IMAGE("https://upload.wikimedia.org/wikipedia/commons/d/dd/Etlingera_elatior-Baston_del_emperador.jpg")</f>
        <v/>
      </c>
    </row>
    <row r="846" ht="36.0" customHeight="1">
      <c r="A846" s="10" t="str">
        <f>HYPERLINK("https://commons.wikimedia.org/wiki/User:" &amp; ENCODEURL("Nathaly 1106"), "Nathaly 1106")</f>
        <v>Nathaly 1106</v>
      </c>
      <c r="B846" s="11" t="s">
        <v>1773</v>
      </c>
      <c r="C846" s="12">
        <v>46148.61912037037</v>
      </c>
      <c r="D846" s="11" t="s">
        <v>1774</v>
      </c>
      <c r="E846" s="14" t="s">
        <v>29</v>
      </c>
      <c r="F846" s="14" t="s">
        <v>30</v>
      </c>
      <c r="G846" s="15" t="s">
        <v>17</v>
      </c>
      <c r="H846" s="15" t="s">
        <v>18</v>
      </c>
      <c r="I846" s="14" t="str">
        <f>IMAGE("https://upload.wikimedia.org/wikipedia/commons/e/e5/Eucalipto_%28Eucalyptus%29.jpg")</f>
        <v/>
      </c>
    </row>
    <row r="847" ht="36.0" customHeight="1">
      <c r="A847" s="16" t="str">
        <f t="shared" ref="A847:A848" si="119">HYPERLINK("https://commons.wikimedia.org/wiki/User:" &amp; ENCODEURL("Natlycu"), "Natlycu")</f>
        <v>Natlycu</v>
      </c>
      <c r="B847" s="17" t="s">
        <v>1775</v>
      </c>
      <c r="C847" s="18">
        <v>46202.96165509259</v>
      </c>
      <c r="D847" s="17" t="s">
        <v>1776</v>
      </c>
      <c r="E847" s="19" t="s">
        <v>1158</v>
      </c>
      <c r="F847" s="20" t="s">
        <v>16</v>
      </c>
      <c r="G847" s="20" t="s">
        <v>17</v>
      </c>
      <c r="H847" s="20" t="s">
        <v>18</v>
      </c>
      <c r="I847" s="19" t="str">
        <f>IMAGE("https://upload.wikimedia.org/wikipedia/commons/6/6d/Eufonia_piquigruesa_%28Euphonia_laniirostris%29_hembra_en_Paque_Verde_Y_Agua%2C_Fusagasug%C3%A1%2C_%28Cundinamarca%29.jpg")</f>
        <v/>
      </c>
    </row>
    <row r="848" ht="36.0" customHeight="1">
      <c r="A848" s="10" t="str">
        <f t="shared" si="119"/>
        <v>Natlycu</v>
      </c>
      <c r="B848" s="11" t="s">
        <v>1777</v>
      </c>
      <c r="C848" s="12">
        <v>46203.00648148148</v>
      </c>
      <c r="D848" s="11" t="s">
        <v>1778</v>
      </c>
      <c r="E848" s="14" t="s">
        <v>1158</v>
      </c>
      <c r="F848" s="15" t="s">
        <v>16</v>
      </c>
      <c r="G848" s="15" t="s">
        <v>17</v>
      </c>
      <c r="H848" s="15" t="s">
        <v>18</v>
      </c>
      <c r="I848" s="14" t="str">
        <f>IMAGE("https://upload.wikimedia.org/wikipedia/commons/1/13/Eufonia_piquigruesa_%28Euphonia_laniirostris%29_macho_en_Paque_Verde_Y_Agua%2C_Fusagasug%C3%A1%2C_%28Cundinamarca%29.jpg")</f>
        <v/>
      </c>
    </row>
    <row r="849" ht="36.0" customHeight="1">
      <c r="A849" s="16" t="str">
        <f t="shared" ref="A849:A852" si="120">HYPERLINK("https://commons.wikimedia.org/wiki/User:" &amp; ENCODEURL("Diferoch"), "Diferoch")</f>
        <v>Diferoch</v>
      </c>
      <c r="B849" s="17" t="s">
        <v>1779</v>
      </c>
      <c r="C849" s="18">
        <v>46182.638078703705</v>
      </c>
      <c r="D849" s="17" t="s">
        <v>1780</v>
      </c>
      <c r="E849" s="19" t="s">
        <v>1781</v>
      </c>
      <c r="F849" s="20" t="s">
        <v>16</v>
      </c>
      <c r="G849" s="20" t="s">
        <v>17</v>
      </c>
      <c r="H849" s="20" t="s">
        <v>18</v>
      </c>
      <c r="I849" s="19" t="str">
        <f>IMAGE("https://upload.wikimedia.org/wikipedia/commons/1/17/Eumorpha_vitis_-_Barrancabermeja%2C_Santander%2C_Colombia_-_09_Jul_2025_-_Diferoch.jpg")</f>
        <v/>
      </c>
    </row>
    <row r="850" ht="36.0" customHeight="1">
      <c r="A850" s="10" t="str">
        <f t="shared" si="120"/>
        <v>Diferoch</v>
      </c>
      <c r="B850" s="11" t="s">
        <v>1782</v>
      </c>
      <c r="C850" s="12">
        <v>46161.87758101852</v>
      </c>
      <c r="D850" s="11" t="s">
        <v>1783</v>
      </c>
      <c r="E850" s="14" t="s">
        <v>1784</v>
      </c>
      <c r="F850" s="15" t="s">
        <v>16</v>
      </c>
      <c r="G850" s="15" t="s">
        <v>17</v>
      </c>
      <c r="H850" s="15" t="s">
        <v>18</v>
      </c>
      <c r="I850" s="14" t="str">
        <f>IMAGE("https://upload.wikimedia.org/wikipedia/commons/7/79/Euphonia_laniirostris_crassirostris_-_Barrancabermeja%2C_Santander%2C_Colombia_-_2_Jun_2025.jpg")</f>
        <v/>
      </c>
    </row>
    <row r="851" ht="36.0" customHeight="1">
      <c r="A851" s="16" t="str">
        <f t="shared" si="120"/>
        <v>Diferoch</v>
      </c>
      <c r="B851" s="17" t="s">
        <v>1785</v>
      </c>
      <c r="C851" s="18">
        <v>46170.828680555554</v>
      </c>
      <c r="D851" s="17" t="s">
        <v>1786</v>
      </c>
      <c r="E851" s="19" t="s">
        <v>1787</v>
      </c>
      <c r="F851" s="20" t="s">
        <v>16</v>
      </c>
      <c r="G851" s="20" t="s">
        <v>17</v>
      </c>
      <c r="H851" s="20" t="s">
        <v>18</v>
      </c>
      <c r="I851" s="19" t="str">
        <f>IMAGE("https://upload.wikimedia.org/wikipedia/commons/2/2f/Euphonia_laniirostris_crassirostris_-_Barrancabermeja%2C_Santander%2C_Colombia_-_4_Jun_2026_-_Diferoch.jpg")</f>
        <v/>
      </c>
    </row>
    <row r="852" ht="36.0" customHeight="1">
      <c r="A852" s="10" t="str">
        <f t="shared" si="120"/>
        <v>Diferoch</v>
      </c>
      <c r="B852" s="11" t="s">
        <v>1788</v>
      </c>
      <c r="C852" s="12">
        <v>46182.891435185185</v>
      </c>
      <c r="D852" s="11" t="s">
        <v>1789</v>
      </c>
      <c r="E852" s="14" t="s">
        <v>1790</v>
      </c>
      <c r="F852" s="15" t="s">
        <v>16</v>
      </c>
      <c r="G852" s="15" t="s">
        <v>17</v>
      </c>
      <c r="H852" s="15" t="s">
        <v>18</v>
      </c>
      <c r="I852" s="14" t="str">
        <f>IMAGE("https://upload.wikimedia.org/wikipedia/commons/9/9b/Eupsittula_pertinax_aeruginosa_-_Barrancabermeja%2C_Santander%2C_Colombia_-_12_Jul_2025_-_Diferoch.jpg")</f>
        <v/>
      </c>
    </row>
    <row r="853" ht="36.0" customHeight="1">
      <c r="A853" s="16" t="str">
        <f t="shared" ref="A853:A854" si="121">HYPERLINK("https://commons.wikimedia.org/wiki/User:" &amp; ENCODEURL("Edwinzerep"), "Edwinzerep")</f>
        <v>Edwinzerep</v>
      </c>
      <c r="B853" s="17" t="s">
        <v>1791</v>
      </c>
      <c r="C853" s="18">
        <v>46152.856354166666</v>
      </c>
      <c r="D853" s="17" t="s">
        <v>1792</v>
      </c>
      <c r="E853" s="19" t="s">
        <v>29</v>
      </c>
      <c r="F853" s="19" t="s">
        <v>30</v>
      </c>
      <c r="G853" s="20" t="s">
        <v>17</v>
      </c>
      <c r="H853" s="20" t="s">
        <v>18</v>
      </c>
      <c r="I853" s="19" t="str">
        <f>IMAGE("https://upload.wikimedia.org/wikipedia/commons/1/1e/FAUNA_CHOC%C3%93_COLOMBIA.jpg")</f>
        <v/>
      </c>
    </row>
    <row r="854" ht="36.0" customHeight="1">
      <c r="A854" s="10" t="str">
        <f t="shared" si="121"/>
        <v>Edwinzerep</v>
      </c>
      <c r="B854" s="11" t="s">
        <v>1793</v>
      </c>
      <c r="C854" s="12">
        <v>46152.856261574074</v>
      </c>
      <c r="D854" s="11" t="s">
        <v>1792</v>
      </c>
      <c r="E854" s="14" t="s">
        <v>29</v>
      </c>
      <c r="F854" s="14" t="s">
        <v>30</v>
      </c>
      <c r="G854" s="15" t="s">
        <v>17</v>
      </c>
      <c r="H854" s="15" t="s">
        <v>18</v>
      </c>
      <c r="I854" s="14" t="str">
        <f>IMAGE("https://upload.wikimedia.org/wikipedia/commons/b/b7/FAUNA_Choc%C3%B3_Colombia.jpg")</f>
        <v/>
      </c>
    </row>
    <row r="855" ht="36.0" customHeight="1">
      <c r="A855" s="16" t="str">
        <f>HYPERLINK("https://commons.wikimedia.org/wiki/User:" &amp; ENCODEURL("Leo123qwerty"), "Leo123qwerty")</f>
        <v>Leo123qwerty</v>
      </c>
      <c r="B855" s="17" t="s">
        <v>1794</v>
      </c>
      <c r="C855" s="18">
        <v>46201.735555555555</v>
      </c>
      <c r="D855" s="17" t="s">
        <v>1795</v>
      </c>
      <c r="E855" s="19" t="s">
        <v>29</v>
      </c>
      <c r="F855" s="19" t="s">
        <v>30</v>
      </c>
      <c r="G855" s="20" t="s">
        <v>17</v>
      </c>
      <c r="H855" s="20" t="s">
        <v>18</v>
      </c>
      <c r="I855" s="19" t="str">
        <f>IMAGE("https://upload.wikimedia.org/wikipedia/commons/3/34/FLOR_AMARRILLA.jpg")</f>
        <v/>
      </c>
    </row>
    <row r="856" ht="36.0" customHeight="1">
      <c r="A856" s="10" t="str">
        <f t="shared" ref="A856:A857" si="122">HYPERLINK("https://commons.wikimedia.org/wiki/User:" &amp; ENCODEURL("Juli 2000 her"), "Juli 2000 her")</f>
        <v>Juli 2000 her</v>
      </c>
      <c r="B856" s="11" t="s">
        <v>1796</v>
      </c>
      <c r="C856" s="12">
        <v>46189.05462962963</v>
      </c>
      <c r="D856" s="11" t="s">
        <v>1797</v>
      </c>
      <c r="E856" s="14" t="s">
        <v>29</v>
      </c>
      <c r="F856" s="14" t="s">
        <v>30</v>
      </c>
      <c r="G856" s="15" t="s">
        <v>17</v>
      </c>
      <c r="H856" s="15" t="s">
        <v>18</v>
      </c>
      <c r="I856" s="14" t="str">
        <f>IMAGE("https://upload.wikimedia.org/wikipedia/commons/b/bb/Falso_camale%C3%B3n_%28Anolis_heterodermus%29_sobre_frailej%C3%B3n_en_el_Parque_Nacional_Natural_Chingaza.webp")</f>
        <v/>
      </c>
    </row>
    <row r="857" ht="36.0" customHeight="1">
      <c r="A857" s="16" t="str">
        <f t="shared" si="122"/>
        <v>Juli 2000 her</v>
      </c>
      <c r="B857" s="17" t="s">
        <v>1798</v>
      </c>
      <c r="C857" s="18">
        <v>46189.054444444446</v>
      </c>
      <c r="D857" s="17" t="s">
        <v>1799</v>
      </c>
      <c r="E857" s="19" t="s">
        <v>29</v>
      </c>
      <c r="F857" s="19" t="s">
        <v>30</v>
      </c>
      <c r="G857" s="20" t="s">
        <v>17</v>
      </c>
      <c r="H857" s="20" t="s">
        <v>18</v>
      </c>
      <c r="I857" s="19" t="str">
        <f>IMAGE("https://upload.wikimedia.org/wikipedia/commons/a/a0/Falso_camale%C3%B3n_de_p%C3%A1ramo_%28Anolis_heterodermus%29_en_la_Reserva_Biol%C3%B3gica_Encenillo%2C_Colombia.jpg")</f>
        <v/>
      </c>
    </row>
    <row r="858" ht="36.0" customHeight="1">
      <c r="A858" s="10" t="str">
        <f>HYPERLINK("https://commons.wikimedia.org/wiki/User:" &amp; ENCODEURL("Nathaly 1106"), "Nathaly 1106")</f>
        <v>Nathaly 1106</v>
      </c>
      <c r="B858" s="11" t="s">
        <v>1800</v>
      </c>
      <c r="C858" s="12">
        <v>46147.62671296296</v>
      </c>
      <c r="D858" s="11" t="s">
        <v>1801</v>
      </c>
      <c r="E858" s="14" t="s">
        <v>29</v>
      </c>
      <c r="F858" s="14" t="s">
        <v>30</v>
      </c>
      <c r="G858" s="15" t="s">
        <v>17</v>
      </c>
      <c r="H858" s="15" t="s">
        <v>18</v>
      </c>
      <c r="I858" s="14" t="str">
        <f>IMAGE("https://upload.wikimedia.org/wikipedia/commons/f/f9/Falso_pimiento_%28Anacardiaceae%29.jpg")</f>
        <v/>
      </c>
    </row>
    <row r="859" ht="36.0" customHeight="1">
      <c r="A859" s="16" t="str">
        <f>HYPERLINK("https://commons.wikimedia.org/wiki/User:" &amp; ENCODEURL("JuanitoCISF"), "JuanitoCISF")</f>
        <v>JuanitoCISF</v>
      </c>
      <c r="B859" s="17" t="s">
        <v>1802</v>
      </c>
      <c r="C859" s="18">
        <v>46170.452685185184</v>
      </c>
      <c r="D859" s="17" t="s">
        <v>1803</v>
      </c>
      <c r="E859" s="19" t="s">
        <v>1804</v>
      </c>
      <c r="F859" s="20" t="s">
        <v>16</v>
      </c>
      <c r="G859" s="20" t="s">
        <v>17</v>
      </c>
      <c r="H859" s="20" t="s">
        <v>18</v>
      </c>
      <c r="I859" s="19" t="str">
        <f>IMAGE("https://upload.wikimedia.org/wikipedia/commons/9/9c/Familia_Anatidae.jpg")</f>
        <v/>
      </c>
    </row>
    <row r="860" ht="36.0" customHeight="1">
      <c r="A860" s="10" t="str">
        <f>HYPERLINK("https://commons.wikimedia.org/wiki/User:" &amp; ENCODEURL("Anvar2420"), "Anvar2420")</f>
        <v>Anvar2420</v>
      </c>
      <c r="B860" s="11" t="s">
        <v>1805</v>
      </c>
      <c r="C860" s="12">
        <v>46163.55679398148</v>
      </c>
      <c r="D860" s="11" t="s">
        <v>1806</v>
      </c>
      <c r="E860" s="14" t="s">
        <v>29</v>
      </c>
      <c r="F860" s="14" t="s">
        <v>30</v>
      </c>
      <c r="G860" s="15" t="s">
        <v>17</v>
      </c>
      <c r="H860" s="15" t="s">
        <v>18</v>
      </c>
      <c r="I860" s="14" t="str">
        <f>IMAGE("https://upload.wikimedia.org/wikipedia/commons/d/d7/Familia_de_chig%C3%BCiros.jpg")</f>
        <v/>
      </c>
    </row>
    <row r="861" ht="36.0" customHeight="1">
      <c r="A861" s="16" t="str">
        <f>HYPERLINK("https://commons.wikimedia.org/wiki/User:" &amp; ENCODEURL("ExploraMuseos"), "ExploraMuseos")</f>
        <v>ExploraMuseos</v>
      </c>
      <c r="B861" s="17" t="s">
        <v>1807</v>
      </c>
      <c r="C861" s="18">
        <v>46201.438993055555</v>
      </c>
      <c r="D861" s="17" t="s">
        <v>1808</v>
      </c>
      <c r="E861" s="19" t="s">
        <v>29</v>
      </c>
      <c r="F861" s="19" t="s">
        <v>30</v>
      </c>
      <c r="G861" s="20" t="s">
        <v>17</v>
      </c>
      <c r="H861" s="20" t="s">
        <v>18</v>
      </c>
      <c r="I861" s="19" t="str">
        <f>IMAGE("https://upload.wikimedia.org/wikipedia/commons/7/77/Familias_fung%C3%AD_2024.jpg")</f>
        <v/>
      </c>
    </row>
    <row r="862" ht="36.0" customHeight="1">
      <c r="A862" s="10" t="str">
        <f>HYPERLINK("https://commons.wikimedia.org/wiki/User:" &amp; ENCODEURL("ChopinxEtude"), "ChopinxEtude")</f>
        <v>ChopinxEtude</v>
      </c>
      <c r="B862" s="11" t="s">
        <v>1809</v>
      </c>
      <c r="C862" s="12">
        <v>46146.87299768518</v>
      </c>
      <c r="D862" s="11" t="s">
        <v>1810</v>
      </c>
      <c r="E862" s="14" t="s">
        <v>29</v>
      </c>
      <c r="F862" s="14" t="s">
        <v>30</v>
      </c>
      <c r="G862" s="15" t="s">
        <v>17</v>
      </c>
      <c r="H862" s="15" t="s">
        <v>18</v>
      </c>
      <c r="I862" s="14" t="str">
        <f>IMAGE("https://upload.wikimedia.org/wikipedia/commons/1/1c/Farallones_del_Citar%C3%A1.jpg")</f>
        <v/>
      </c>
    </row>
    <row r="863" ht="36.0" customHeight="1">
      <c r="A863" s="16" t="str">
        <f>HYPERLINK("https://commons.wikimedia.org/wiki/User:" &amp; ENCODEURL("Dalacuel"), "Dalacuel")</f>
        <v>Dalacuel</v>
      </c>
      <c r="B863" s="17" t="s">
        <v>1811</v>
      </c>
      <c r="C863" s="18">
        <v>46194.59875</v>
      </c>
      <c r="D863" s="17" t="s">
        <v>1812</v>
      </c>
      <c r="E863" s="19" t="s">
        <v>1813</v>
      </c>
      <c r="F863" s="20" t="s">
        <v>16</v>
      </c>
      <c r="G863" s="20" t="s">
        <v>17</v>
      </c>
      <c r="H863" s="20" t="s">
        <v>18</v>
      </c>
      <c r="I863" s="19" t="str">
        <f>IMAGE("https://upload.wikimedia.org/wikipedia/commons/5/5f/Farolito_japon%C3%A9s.jpg")</f>
        <v/>
      </c>
    </row>
    <row r="864" ht="36.0" customHeight="1">
      <c r="A864" s="10" t="str">
        <f>HYPERLINK("https://commons.wikimedia.org/wiki/User:" &amp; ENCODEURL("Nathaly 1106"), "Nathaly 1106")</f>
        <v>Nathaly 1106</v>
      </c>
      <c r="B864" s="11" t="s">
        <v>1814</v>
      </c>
      <c r="C864" s="12">
        <v>46147.67103009259</v>
      </c>
      <c r="D864" s="11" t="s">
        <v>1815</v>
      </c>
      <c r="E864" s="14" t="s">
        <v>29</v>
      </c>
      <c r="F864" s="14" t="s">
        <v>30</v>
      </c>
      <c r="G864" s="15" t="s">
        <v>17</v>
      </c>
      <c r="H864" s="15" t="s">
        <v>18</v>
      </c>
      <c r="I864" s="14" t="str">
        <f>IMAGE("https://upload.wikimedia.org/wikipedia/commons/9/9f/Farolito_japon%C3%A9s_%28Callianthe_picta%29.jpg")</f>
        <v/>
      </c>
    </row>
    <row r="865" ht="36.0" customHeight="1">
      <c r="A865" s="16" t="str">
        <f t="shared" ref="A865:A871" si="123">HYPERLINK("https://commons.wikimedia.org/wiki/User:" &amp; ENCODEURL("Edwinzerep"), "Edwinzerep")</f>
        <v>Edwinzerep</v>
      </c>
      <c r="B865" s="17" t="s">
        <v>1816</v>
      </c>
      <c r="C865" s="18">
        <v>46152.856145833335</v>
      </c>
      <c r="D865" s="17" t="s">
        <v>1792</v>
      </c>
      <c r="E865" s="19" t="s">
        <v>29</v>
      </c>
      <c r="F865" s="19" t="s">
        <v>30</v>
      </c>
      <c r="G865" s="20" t="s">
        <v>17</v>
      </c>
      <c r="H865" s="20" t="s">
        <v>18</v>
      </c>
      <c r="I865" s="19" t="str">
        <f>IMAGE("https://upload.wikimedia.org/wikipedia/commons/d/d7/Fauna%2C_Choc%C3%B3%2C_Colombia.jpg")</f>
        <v/>
      </c>
    </row>
    <row r="866" ht="36.0" customHeight="1">
      <c r="A866" s="10" t="str">
        <f t="shared" si="123"/>
        <v>Edwinzerep</v>
      </c>
      <c r="B866" s="11" t="s">
        <v>1817</v>
      </c>
      <c r="C866" s="12">
        <v>46152.85621527778</v>
      </c>
      <c r="D866" s="11" t="s">
        <v>1792</v>
      </c>
      <c r="E866" s="14" t="s">
        <v>29</v>
      </c>
      <c r="F866" s="14" t="s">
        <v>30</v>
      </c>
      <c r="G866" s="15" t="s">
        <v>17</v>
      </c>
      <c r="H866" s="15" t="s">
        <v>18</v>
      </c>
      <c r="I866" s="14" t="str">
        <f>IMAGE("https://upload.wikimedia.org/wikipedia/commons/5/5f/Fauna%2C_Choc%C3%B3.Colombia.jpg")</f>
        <v/>
      </c>
    </row>
    <row r="867" ht="36.0" customHeight="1">
      <c r="A867" s="16" t="str">
        <f t="shared" si="123"/>
        <v>Edwinzerep</v>
      </c>
      <c r="B867" s="17" t="s">
        <v>1818</v>
      </c>
      <c r="C867" s="18">
        <v>46152.85618055556</v>
      </c>
      <c r="D867" s="17" t="s">
        <v>1792</v>
      </c>
      <c r="E867" s="19" t="s">
        <v>29</v>
      </c>
      <c r="F867" s="19" t="s">
        <v>30</v>
      </c>
      <c r="G867" s="20" t="s">
        <v>17</v>
      </c>
      <c r="H867" s="20" t="s">
        <v>18</v>
      </c>
      <c r="I867" s="19" t="str">
        <f>IMAGE("https://upload.wikimedia.org/wikipedia/commons/7/7f/Fauna%2C_Choc%C3%B3_Colombia.jpg")</f>
        <v/>
      </c>
    </row>
    <row r="868" ht="36.0" customHeight="1">
      <c r="A868" s="10" t="str">
        <f t="shared" si="123"/>
        <v>Edwinzerep</v>
      </c>
      <c r="B868" s="11" t="s">
        <v>1819</v>
      </c>
      <c r="C868" s="12">
        <v>46152.85628472222</v>
      </c>
      <c r="D868" s="11" t="s">
        <v>1792</v>
      </c>
      <c r="E868" s="14" t="s">
        <v>29</v>
      </c>
      <c r="F868" s="14" t="s">
        <v>30</v>
      </c>
      <c r="G868" s="15" t="s">
        <v>17</v>
      </c>
      <c r="H868" s="15" t="s">
        <v>18</v>
      </c>
      <c r="I868" s="14" t="str">
        <f>IMAGE("https://upload.wikimedia.org/wikipedia/commons/9/98/Fauna_CHOCO%2C_Colombia.jpg")</f>
        <v/>
      </c>
    </row>
    <row r="869" ht="36.0" customHeight="1">
      <c r="A869" s="16" t="str">
        <f t="shared" si="123"/>
        <v>Edwinzerep</v>
      </c>
      <c r="B869" s="17" t="s">
        <v>1820</v>
      </c>
      <c r="C869" s="18">
        <v>46152.85628472222</v>
      </c>
      <c r="D869" s="17" t="s">
        <v>1792</v>
      </c>
      <c r="E869" s="19" t="s">
        <v>29</v>
      </c>
      <c r="F869" s="19" t="s">
        <v>30</v>
      </c>
      <c r="G869" s="20" t="s">
        <v>17</v>
      </c>
      <c r="H869" s="20" t="s">
        <v>18</v>
      </c>
      <c r="I869" s="19" t="str">
        <f>IMAGE("https://upload.wikimedia.org/wikipedia/commons/f/f8/Fauna_CHOCO.COLOMBIA.jpg")</f>
        <v/>
      </c>
    </row>
    <row r="870" ht="36.0" customHeight="1">
      <c r="A870" s="10" t="str">
        <f t="shared" si="123"/>
        <v>Edwinzerep</v>
      </c>
      <c r="B870" s="11" t="s">
        <v>1821</v>
      </c>
      <c r="C870" s="12">
        <v>46152.85622685185</v>
      </c>
      <c r="D870" s="11" t="s">
        <v>1792</v>
      </c>
      <c r="E870" s="14" t="s">
        <v>29</v>
      </c>
      <c r="F870" s="14" t="s">
        <v>30</v>
      </c>
      <c r="G870" s="15" t="s">
        <v>17</v>
      </c>
      <c r="H870" s="15" t="s">
        <v>18</v>
      </c>
      <c r="I870" s="14" t="str">
        <f>IMAGE("https://upload.wikimedia.org/wikipedia/commons/d/df/Fauna_CHOCO_COLOMBIA.jpg")</f>
        <v/>
      </c>
    </row>
    <row r="871" ht="36.0" customHeight="1">
      <c r="A871" s="16" t="str">
        <f t="shared" si="123"/>
        <v>Edwinzerep</v>
      </c>
      <c r="B871" s="17" t="s">
        <v>1822</v>
      </c>
      <c r="C871" s="18">
        <v>46152.856261574074</v>
      </c>
      <c r="D871" s="17" t="s">
        <v>1792</v>
      </c>
      <c r="E871" s="19" t="s">
        <v>29</v>
      </c>
      <c r="F871" s="19" t="s">
        <v>30</v>
      </c>
      <c r="G871" s="20" t="s">
        <v>17</v>
      </c>
      <c r="H871" s="20" t="s">
        <v>18</v>
      </c>
      <c r="I871" s="19" t="str">
        <f>IMAGE("https://upload.wikimedia.org/wikipedia/commons/4/40/Fauna_CHOCO_Colombia.jpg")</f>
        <v/>
      </c>
    </row>
    <row r="872" ht="36.0" customHeight="1">
      <c r="A872" s="10" t="str">
        <f>HYPERLINK("https://commons.wikimedia.org/wiki/User:" &amp; ENCODEURL("Willandre1194"), "Willandre1194")</f>
        <v>Willandre1194</v>
      </c>
      <c r="B872" s="11" t="s">
        <v>1823</v>
      </c>
      <c r="C872" s="12">
        <v>46155.66086805556</v>
      </c>
      <c r="D872" s="11" t="s">
        <v>1824</v>
      </c>
      <c r="E872" s="14" t="s">
        <v>29</v>
      </c>
      <c r="F872" s="14" t="s">
        <v>30</v>
      </c>
      <c r="G872" s="15" t="s">
        <v>17</v>
      </c>
      <c r="H872" s="15" t="s">
        <v>18</v>
      </c>
      <c r="I872" s="14" t="str">
        <f>IMAGE("https://upload.wikimedia.org/wikipedia/commons/a/ad/Fauna_Cafetera.jpg")</f>
        <v/>
      </c>
    </row>
    <row r="873" ht="36.0" customHeight="1">
      <c r="A873" s="16" t="str">
        <f t="shared" ref="A873:A883" si="124">HYPERLINK("https://commons.wikimedia.org/wiki/User:" &amp; ENCODEURL("Edwinzerep"), "Edwinzerep")</f>
        <v>Edwinzerep</v>
      </c>
      <c r="B873" s="17" t="s">
        <v>1825</v>
      </c>
      <c r="C873" s="18">
        <v>46152.85628472222</v>
      </c>
      <c r="D873" s="17" t="s">
        <v>1792</v>
      </c>
      <c r="E873" s="19" t="s">
        <v>29</v>
      </c>
      <c r="F873" s="19" t="s">
        <v>30</v>
      </c>
      <c r="G873" s="20" t="s">
        <v>17</v>
      </c>
      <c r="H873" s="20" t="s">
        <v>18</v>
      </c>
      <c r="I873" s="19" t="str">
        <f>IMAGE("https://upload.wikimedia.org/wikipedia/commons/4/4b/Fauna_Choco%2C_COLOMBIA.jpg")</f>
        <v/>
      </c>
    </row>
    <row r="874" ht="36.0" customHeight="1">
      <c r="A874" s="10" t="str">
        <f t="shared" si="124"/>
        <v>Edwinzerep</v>
      </c>
      <c r="B874" s="11" t="s">
        <v>1826</v>
      </c>
      <c r="C874" s="12">
        <v>46152.85611111111</v>
      </c>
      <c r="D874" s="11" t="s">
        <v>1792</v>
      </c>
      <c r="E874" s="14" t="s">
        <v>29</v>
      </c>
      <c r="F874" s="14" t="s">
        <v>30</v>
      </c>
      <c r="G874" s="15" t="s">
        <v>17</v>
      </c>
      <c r="H874" s="15" t="s">
        <v>18</v>
      </c>
      <c r="I874" s="14" t="str">
        <f>IMAGE("https://upload.wikimedia.org/wikipedia/commons/2/21/Fauna_Choco-Colombia.jpg")</f>
        <v/>
      </c>
    </row>
    <row r="875" ht="36.0" customHeight="1">
      <c r="A875" s="16" t="str">
        <f t="shared" si="124"/>
        <v>Edwinzerep</v>
      </c>
      <c r="B875" s="17" t="s">
        <v>1827</v>
      </c>
      <c r="C875" s="18">
        <v>46152.85619212963</v>
      </c>
      <c r="D875" s="17" t="s">
        <v>1792</v>
      </c>
      <c r="E875" s="19" t="s">
        <v>29</v>
      </c>
      <c r="F875" s="19" t="s">
        <v>30</v>
      </c>
      <c r="G875" s="20" t="s">
        <v>17</v>
      </c>
      <c r="H875" s="20" t="s">
        <v>18</v>
      </c>
      <c r="I875" s="19" t="str">
        <f>IMAGE("https://upload.wikimedia.org/wikipedia/commons/9/90/Fauna_ChocoColombia.jpg")</f>
        <v/>
      </c>
    </row>
    <row r="876" ht="36.0" customHeight="1">
      <c r="A876" s="10" t="str">
        <f t="shared" si="124"/>
        <v>Edwinzerep</v>
      </c>
      <c r="B876" s="11" t="s">
        <v>1828</v>
      </c>
      <c r="C876" s="12">
        <v>46152.85606481481</v>
      </c>
      <c r="D876" s="11" t="s">
        <v>1792</v>
      </c>
      <c r="E876" s="14" t="s">
        <v>29</v>
      </c>
      <c r="F876" s="14" t="s">
        <v>30</v>
      </c>
      <c r="G876" s="15" t="s">
        <v>17</v>
      </c>
      <c r="H876" s="15" t="s">
        <v>18</v>
      </c>
      <c r="I876" s="14" t="str">
        <f>IMAGE("https://upload.wikimedia.org/wikipedia/commons/3/35/Fauna_Choco_Colombia.jpg")</f>
        <v/>
      </c>
    </row>
    <row r="877" ht="36.0" customHeight="1">
      <c r="A877" s="16" t="str">
        <f t="shared" si="124"/>
        <v>Edwinzerep</v>
      </c>
      <c r="B877" s="17" t="s">
        <v>1829</v>
      </c>
      <c r="C877" s="18">
        <v>46152.856099537035</v>
      </c>
      <c r="D877" s="17" t="s">
        <v>1792</v>
      </c>
      <c r="E877" s="19" t="s">
        <v>1830</v>
      </c>
      <c r="F877" s="20" t="s">
        <v>16</v>
      </c>
      <c r="G877" s="20" t="s">
        <v>17</v>
      </c>
      <c r="H877" s="20" t="s">
        <v>18</v>
      </c>
      <c r="I877" s="19" t="str">
        <f>IMAGE("https://upload.wikimedia.org/wikipedia/commons/b/b3/Fauna_Choco_colombia.jpg")</f>
        <v/>
      </c>
    </row>
    <row r="878" ht="36.0" customHeight="1">
      <c r="A878" s="10" t="str">
        <f t="shared" si="124"/>
        <v>Edwinzerep</v>
      </c>
      <c r="B878" s="11" t="s">
        <v>1831</v>
      </c>
      <c r="C878" s="12">
        <v>46152.856145833335</v>
      </c>
      <c r="D878" s="11" t="s">
        <v>1792</v>
      </c>
      <c r="E878" s="14" t="s">
        <v>29</v>
      </c>
      <c r="F878" s="14" t="s">
        <v>30</v>
      </c>
      <c r="G878" s="15" t="s">
        <v>17</v>
      </c>
      <c r="H878" s="15" t="s">
        <v>18</v>
      </c>
      <c r="I878" s="14" t="str">
        <f>IMAGE("https://upload.wikimedia.org/wikipedia/commons/9/9a/Fauna_Choc%C3%B3%2C_Colombia.jpg")</f>
        <v/>
      </c>
    </row>
    <row r="879" ht="36.0" customHeight="1">
      <c r="A879" s="16" t="str">
        <f t="shared" si="124"/>
        <v>Edwinzerep</v>
      </c>
      <c r="B879" s="17" t="s">
        <v>1832</v>
      </c>
      <c r="C879" s="18">
        <v>46152.85618055556</v>
      </c>
      <c r="D879" s="17" t="s">
        <v>1792</v>
      </c>
      <c r="E879" s="19" t="s">
        <v>29</v>
      </c>
      <c r="F879" s="19" t="s">
        <v>30</v>
      </c>
      <c r="G879" s="20" t="s">
        <v>17</v>
      </c>
      <c r="H879" s="20" t="s">
        <v>18</v>
      </c>
      <c r="I879" s="19" t="str">
        <f>IMAGE("https://upload.wikimedia.org/wikipedia/commons/6/66/Fauna_Choc%C3%B3.Colombia.jpg")</f>
        <v/>
      </c>
    </row>
    <row r="880" ht="36.0" customHeight="1">
      <c r="A880" s="10" t="str">
        <f t="shared" si="124"/>
        <v>Edwinzerep</v>
      </c>
      <c r="B880" s="11" t="s">
        <v>1833</v>
      </c>
      <c r="C880" s="12">
        <v>46152.856157407405</v>
      </c>
      <c r="D880" s="11" t="s">
        <v>1792</v>
      </c>
      <c r="E880" s="14" t="s">
        <v>29</v>
      </c>
      <c r="F880" s="14" t="s">
        <v>30</v>
      </c>
      <c r="G880" s="15" t="s">
        <v>17</v>
      </c>
      <c r="H880" s="15" t="s">
        <v>18</v>
      </c>
      <c r="I880" s="14" t="str">
        <f>IMAGE("https://upload.wikimedia.org/wikipedia/commons/2/2e/Fauna_Choc%C3%B3%3B_Colombia.jpg")</f>
        <v/>
      </c>
    </row>
    <row r="881" ht="36.0" customHeight="1">
      <c r="A881" s="16" t="str">
        <f t="shared" si="124"/>
        <v>Edwinzerep</v>
      </c>
      <c r="B881" s="17" t="s">
        <v>1834</v>
      </c>
      <c r="C881" s="18">
        <v>46152.85623842593</v>
      </c>
      <c r="D881" s="17" t="s">
        <v>1792</v>
      </c>
      <c r="E881" s="19" t="s">
        <v>29</v>
      </c>
      <c r="F881" s="19" t="s">
        <v>30</v>
      </c>
      <c r="G881" s="20" t="s">
        <v>17</v>
      </c>
      <c r="H881" s="20" t="s">
        <v>18</v>
      </c>
      <c r="I881" s="19" t="str">
        <f>IMAGE("https://upload.wikimedia.org/wikipedia/commons/2/29/Fauna_Choc%C3%B3_COLOMBIA.jpg")</f>
        <v/>
      </c>
    </row>
    <row r="882" ht="36.0" customHeight="1">
      <c r="A882" s="10" t="str">
        <f t="shared" si="124"/>
        <v>Edwinzerep</v>
      </c>
      <c r="B882" s="11" t="s">
        <v>1835</v>
      </c>
      <c r="C882" s="12">
        <v>46152.85611111111</v>
      </c>
      <c r="D882" s="11" t="s">
        <v>1792</v>
      </c>
      <c r="E882" s="14" t="s">
        <v>29</v>
      </c>
      <c r="F882" s="14" t="s">
        <v>30</v>
      </c>
      <c r="G882" s="15" t="s">
        <v>17</v>
      </c>
      <c r="H882" s="15" t="s">
        <v>18</v>
      </c>
      <c r="I882" s="14" t="str">
        <f>IMAGE("https://upload.wikimedia.org/wikipedia/commons/b/b3/Fauna_Choc%C3%B3_Colombia.jpg")</f>
        <v/>
      </c>
    </row>
    <row r="883" ht="36.0" customHeight="1">
      <c r="A883" s="16" t="str">
        <f t="shared" si="124"/>
        <v>Edwinzerep</v>
      </c>
      <c r="B883" s="17" t="s">
        <v>1836</v>
      </c>
      <c r="C883" s="18">
        <v>46152.85607638889</v>
      </c>
      <c r="D883" s="17" t="s">
        <v>1792</v>
      </c>
      <c r="E883" s="19" t="s">
        <v>1837</v>
      </c>
      <c r="F883" s="20" t="s">
        <v>16</v>
      </c>
      <c r="G883" s="20" t="s">
        <v>17</v>
      </c>
      <c r="H883" s="20" t="s">
        <v>18</v>
      </c>
      <c r="I883" s="19" t="str">
        <f>IMAGE("https://upload.wikimedia.org/wikipedia/commons/f/f8/Fauna_Choc%C3%B3_colombia.jpg")</f>
        <v/>
      </c>
    </row>
    <row r="884" ht="36.0" customHeight="1">
      <c r="A884" s="10" t="str">
        <f>HYPERLINK("https://commons.wikimedia.org/wiki/User:" &amp; ENCODEURL("Willandre1194"), "Willandre1194")</f>
        <v>Willandre1194</v>
      </c>
      <c r="B884" s="11" t="s">
        <v>1838</v>
      </c>
      <c r="C884" s="12">
        <v>46155.660844907405</v>
      </c>
      <c r="D884" s="11" t="s">
        <v>1839</v>
      </c>
      <c r="E884" s="14" t="s">
        <v>29</v>
      </c>
      <c r="F884" s="14" t="s">
        <v>30</v>
      </c>
      <c r="G884" s="15" t="s">
        <v>17</v>
      </c>
      <c r="H884" s="15" t="s">
        <v>18</v>
      </c>
      <c r="I884" s="14" t="str">
        <f>IMAGE("https://upload.wikimedia.org/wikipedia/commons/0/0e/Fauna_y_Flora_Boyacense.jpg")</f>
        <v/>
      </c>
    </row>
    <row r="885" ht="36.0" customHeight="1">
      <c r="A885" s="16" t="str">
        <f>HYPERLINK("https://commons.wikimedia.org/wiki/User:" &amp; ENCODEURL("Reduvida3"), "Reduvida3")</f>
        <v>Reduvida3</v>
      </c>
      <c r="B885" s="17" t="s">
        <v>1840</v>
      </c>
      <c r="C885" s="18">
        <v>46182.654386574075</v>
      </c>
      <c r="D885" s="17" t="s">
        <v>1841</v>
      </c>
      <c r="E885" s="19" t="s">
        <v>29</v>
      </c>
      <c r="F885" s="19" t="s">
        <v>30</v>
      </c>
      <c r="G885" s="20" t="s">
        <v>17</v>
      </c>
      <c r="H885" s="20" t="s">
        <v>18</v>
      </c>
      <c r="I885" s="19" t="str">
        <f>IMAGE("https://upload.wikimedia.org/wikipedia/commons/3/34/Female_Megasoma_mars_on_the_beach_of_Nuqu%C3%AD%2C_Choc%C3%B3%2C_Colombia.jpg")</f>
        <v/>
      </c>
    </row>
    <row r="886" ht="36.0" customHeight="1">
      <c r="A886" s="10" t="str">
        <f>HYPERLINK("https://commons.wikimedia.org/wiki/User:" &amp; ENCODEURL("Mottenpriesterin"), "Mottenpriesterin")</f>
        <v>Mottenpriesterin</v>
      </c>
      <c r="B886" s="11" t="s">
        <v>1842</v>
      </c>
      <c r="C886" s="12">
        <v>46202.924988425926</v>
      </c>
      <c r="D886" s="11" t="s">
        <v>1843</v>
      </c>
      <c r="E886" s="14" t="s">
        <v>29</v>
      </c>
      <c r="F886" s="14" t="s">
        <v>30</v>
      </c>
      <c r="G886" s="15" t="s">
        <v>17</v>
      </c>
      <c r="H886" s="15" t="s">
        <v>18</v>
      </c>
      <c r="I886" s="14" t="str">
        <f>IMAGE("https://upload.wikimedia.org/wikipedia/commons/b/b1/Female_golden_silk_orb-weaver_%28Trichonephila_clavipes%29_in_its_web%2C_2025.jpg")</f>
        <v/>
      </c>
    </row>
    <row r="887" ht="36.0" customHeight="1">
      <c r="A887" s="16" t="str">
        <f>HYPERLINK("https://commons.wikimedia.org/wiki/User:" &amp; ENCODEURL("Johan Andrés Toro"), "Johan Andrés Toro")</f>
        <v>Johan Andrés Toro</v>
      </c>
      <c r="B887" s="17" t="s">
        <v>1844</v>
      </c>
      <c r="C887" s="18">
        <v>46171.87666666666</v>
      </c>
      <c r="D887" s="17" t="s">
        <v>1845</v>
      </c>
      <c r="E887" s="19" t="s">
        <v>29</v>
      </c>
      <c r="F887" s="19" t="s">
        <v>30</v>
      </c>
      <c r="G887" s="20" t="s">
        <v>17</v>
      </c>
      <c r="H887" s="20" t="s">
        <v>18</v>
      </c>
      <c r="I887" s="19" t="str">
        <f>IMAGE("https://upload.wikimedia.org/wikipedia/commons/9/93/Fen%C3%B3meno_%C3%B3ptico_de_Gloria_o_Espectro_de_Brocken_en_Sumapaz.jpg")</f>
        <v/>
      </c>
    </row>
    <row r="888" ht="36.0" customHeight="1">
      <c r="A888" s="10" t="str">
        <f t="shared" ref="A888:A891" si="125">HYPERLINK("https://commons.wikimedia.org/wiki/User:" &amp; ENCODEURL("AmiGueko"), "AmiGueko")</f>
        <v>AmiGueko</v>
      </c>
      <c r="B888" s="11" t="s">
        <v>1846</v>
      </c>
      <c r="C888" s="12">
        <v>46177.87614583333</v>
      </c>
      <c r="D888" s="11" t="s">
        <v>1847</v>
      </c>
      <c r="E888" s="14" t="s">
        <v>103</v>
      </c>
      <c r="F888" s="15" t="s">
        <v>16</v>
      </c>
      <c r="G888" s="15" t="s">
        <v>17</v>
      </c>
      <c r="H888" s="15" t="s">
        <v>18</v>
      </c>
      <c r="I888" s="14" t="str">
        <f>IMAGE("https://upload.wikimedia.org/wikipedia/commons/8/87/Filodendro1.jpg")</f>
        <v/>
      </c>
    </row>
    <row r="889" ht="36.0" customHeight="1">
      <c r="A889" s="16" t="str">
        <f t="shared" si="125"/>
        <v>AmiGueko</v>
      </c>
      <c r="B889" s="17" t="s">
        <v>1848</v>
      </c>
      <c r="C889" s="18">
        <v>46177.87614583333</v>
      </c>
      <c r="D889" s="17" t="s">
        <v>1849</v>
      </c>
      <c r="E889" s="19" t="s">
        <v>103</v>
      </c>
      <c r="F889" s="20" t="s">
        <v>16</v>
      </c>
      <c r="G889" s="20" t="s">
        <v>17</v>
      </c>
      <c r="H889" s="20" t="s">
        <v>18</v>
      </c>
      <c r="I889" s="19" t="str">
        <f>IMAGE("https://upload.wikimedia.org/wikipedia/commons/b/b4/Filodendro2.jpg")</f>
        <v/>
      </c>
    </row>
    <row r="890" ht="36.0" customHeight="1">
      <c r="A890" s="10" t="str">
        <f t="shared" si="125"/>
        <v>AmiGueko</v>
      </c>
      <c r="B890" s="11" t="s">
        <v>1850</v>
      </c>
      <c r="C890" s="12">
        <v>46177.87614583333</v>
      </c>
      <c r="D890" s="11" t="s">
        <v>1851</v>
      </c>
      <c r="E890" s="14" t="s">
        <v>103</v>
      </c>
      <c r="F890" s="15" t="s">
        <v>16</v>
      </c>
      <c r="G890" s="15" t="s">
        <v>17</v>
      </c>
      <c r="H890" s="15" t="s">
        <v>18</v>
      </c>
      <c r="I890" s="14" t="str">
        <f>IMAGE("https://upload.wikimedia.org/wikipedia/commons/7/7a/Filodendro3.jpg")</f>
        <v/>
      </c>
    </row>
    <row r="891" ht="36.0" customHeight="1">
      <c r="A891" s="16" t="str">
        <f t="shared" si="125"/>
        <v>AmiGueko</v>
      </c>
      <c r="B891" s="17" t="s">
        <v>1852</v>
      </c>
      <c r="C891" s="18">
        <v>46177.87611111111</v>
      </c>
      <c r="D891" s="17" t="s">
        <v>1851</v>
      </c>
      <c r="E891" s="19" t="s">
        <v>103</v>
      </c>
      <c r="F891" s="20" t="s">
        <v>16</v>
      </c>
      <c r="G891" s="20" t="s">
        <v>17</v>
      </c>
      <c r="H891" s="20" t="s">
        <v>18</v>
      </c>
      <c r="I891" s="19" t="str">
        <f>IMAGE("https://upload.wikimedia.org/wikipedia/commons/d/d7/Filodendro_junio_de_2026.jpg")</f>
        <v/>
      </c>
    </row>
    <row r="892" ht="36.0" customHeight="1">
      <c r="A892" s="10" t="str">
        <f>HYPERLINK("https://commons.wikimedia.org/wiki/User:" &amp; ENCODEURL("Elprofeta91"), "Elprofeta91")</f>
        <v>Elprofeta91</v>
      </c>
      <c r="B892" s="11" t="s">
        <v>1853</v>
      </c>
      <c r="C892" s="12">
        <v>46147.790868055556</v>
      </c>
      <c r="D892" s="11" t="s">
        <v>32</v>
      </c>
      <c r="E892" s="14" t="s">
        <v>1854</v>
      </c>
      <c r="F892" s="15" t="s">
        <v>16</v>
      </c>
      <c r="G892" s="15" t="s">
        <v>17</v>
      </c>
      <c r="H892" s="15" t="s">
        <v>18</v>
      </c>
      <c r="I892" s="14" t="str">
        <f>IMAGE("https://upload.wikimedia.org/wikipedia/commons/a/a9/Finca_San_Miguel.jpg")</f>
        <v/>
      </c>
    </row>
    <row r="893" ht="36.0" customHeight="1">
      <c r="A893" s="16" t="str">
        <f>HYPERLINK("https://commons.wikimedia.org/wiki/User:" &amp; ENCODEURL("SergiXCX"), "SergiXCX")</f>
        <v>SergiXCX</v>
      </c>
      <c r="B893" s="17" t="s">
        <v>1855</v>
      </c>
      <c r="C893" s="18">
        <v>46203.9949537037</v>
      </c>
      <c r="D893" s="17" t="s">
        <v>1856</v>
      </c>
      <c r="E893" s="19" t="s">
        <v>29</v>
      </c>
      <c r="F893" s="19" t="s">
        <v>30</v>
      </c>
      <c r="G893" s="20" t="s">
        <v>17</v>
      </c>
      <c r="H893" s="20" t="s">
        <v>18</v>
      </c>
      <c r="I893" s="19" t="str">
        <f>IMAGE("https://upload.wikimedia.org/wikipedia/commons/2/26/Fishermen_in_Bar%C3%BA_%28Pescadores_en_Bar%C3%BA%29.jpg")</f>
        <v/>
      </c>
    </row>
    <row r="894" ht="36.0" customHeight="1">
      <c r="A894" s="10" t="str">
        <f>HYPERLINK("https://commons.wikimedia.org/wiki/User:" &amp; ENCODEURL("Willandre1194"), "Willandre1194")</f>
        <v>Willandre1194</v>
      </c>
      <c r="B894" s="11" t="s">
        <v>1857</v>
      </c>
      <c r="C894" s="12">
        <v>46155.660949074074</v>
      </c>
      <c r="D894" s="11" t="s">
        <v>1858</v>
      </c>
      <c r="E894" s="14" t="s">
        <v>29</v>
      </c>
      <c r="F894" s="14" t="s">
        <v>30</v>
      </c>
      <c r="G894" s="15" t="s">
        <v>17</v>
      </c>
      <c r="H894" s="15" t="s">
        <v>18</v>
      </c>
      <c r="I894" s="14" t="str">
        <f>IMAGE("https://upload.wikimedia.org/wikipedia/commons/a/a9/Flamencos_en_Parque_Jaime_Duque%2C_Colombia.jpg")</f>
        <v/>
      </c>
    </row>
    <row r="895" ht="36.0" customHeight="1">
      <c r="A895" s="16" t="str">
        <f>HYPERLINK("https://commons.wikimedia.org/wiki/User:" &amp; ENCODEURL("Juanrapave"), "Juanrapave")</f>
        <v>Juanrapave</v>
      </c>
      <c r="B895" s="17" t="s">
        <v>1859</v>
      </c>
      <c r="C895" s="18">
        <v>46166.31329861111</v>
      </c>
      <c r="D895" s="17" t="s">
        <v>1860</v>
      </c>
      <c r="E895" s="19" t="s">
        <v>29</v>
      </c>
      <c r="F895" s="19" t="s">
        <v>30</v>
      </c>
      <c r="G895" s="20" t="s">
        <v>17</v>
      </c>
      <c r="H895" s="20" t="s">
        <v>18</v>
      </c>
      <c r="I895" s="19" t="str">
        <f>IMAGE("https://upload.wikimedia.org/wikipedia/commons/0/04/Flamingos_-_3.jpg")</f>
        <v/>
      </c>
    </row>
    <row r="896" ht="36.0" customHeight="1">
      <c r="A896" s="10" t="str">
        <f>HYPERLINK("https://commons.wikimedia.org/wiki/User:" &amp; ENCODEURL("Saboru Miro"), "Saboru Miro")</f>
        <v>Saboru Miro</v>
      </c>
      <c r="B896" s="11" t="s">
        <v>1861</v>
      </c>
      <c r="C896" s="12">
        <v>46143.40954861111</v>
      </c>
      <c r="D896" s="11" t="s">
        <v>1862</v>
      </c>
      <c r="E896" s="14" t="s">
        <v>29</v>
      </c>
      <c r="F896" s="14" t="s">
        <v>30</v>
      </c>
      <c r="G896" s="15" t="s">
        <v>17</v>
      </c>
      <c r="H896" s="15" t="s">
        <v>18</v>
      </c>
      <c r="I896" s="14" t="str">
        <f>IMAGE("https://upload.wikimedia.org/wikipedia/commons/9/9b/Flies_Mating.jpg")</f>
        <v/>
      </c>
    </row>
    <row r="897" ht="36.0" customHeight="1">
      <c r="A897" s="16" t="str">
        <f>HYPERLINK("https://commons.wikimedia.org/wiki/User:" &amp; ENCODEURL("Nathaly 1106"), "Nathaly 1106")</f>
        <v>Nathaly 1106</v>
      </c>
      <c r="B897" s="17" t="s">
        <v>1863</v>
      </c>
      <c r="C897" s="18">
        <v>46147.67113425926</v>
      </c>
      <c r="D897" s="17" t="s">
        <v>1864</v>
      </c>
      <c r="E897" s="19" t="s">
        <v>29</v>
      </c>
      <c r="F897" s="19" t="s">
        <v>30</v>
      </c>
      <c r="G897" s="20" t="s">
        <v>17</v>
      </c>
      <c r="H897" s="20" t="s">
        <v>18</v>
      </c>
      <c r="I897" s="19" t="str">
        <f>IMAGE("https://upload.wikimedia.org/wikipedia/commons/8/8f/Flor_Calliandra_trinervia_Benth.jpg")</f>
        <v/>
      </c>
    </row>
    <row r="898" ht="36.0" customHeight="1">
      <c r="A898" s="10" t="str">
        <f>HYPERLINK("https://commons.wikimedia.org/wiki/User:" &amp; ENCODEURL("AmiGueko"), "AmiGueko")</f>
        <v>AmiGueko</v>
      </c>
      <c r="B898" s="11" t="s">
        <v>1865</v>
      </c>
      <c r="C898" s="12">
        <v>46177.876180555555</v>
      </c>
      <c r="D898" s="11" t="s">
        <v>1866</v>
      </c>
      <c r="E898" s="14" t="s">
        <v>103</v>
      </c>
      <c r="F898" s="15" t="s">
        <v>16</v>
      </c>
      <c r="G898" s="15" t="s">
        <v>17</v>
      </c>
      <c r="H898" s="15" t="s">
        <v>18</v>
      </c>
      <c r="I898" s="14" t="str">
        <f>IMAGE("https://upload.wikimedia.org/wikipedia/commons/3/3a/Flor_ceiba_amarilla.jpg")</f>
        <v/>
      </c>
    </row>
    <row r="899" ht="36.0" customHeight="1">
      <c r="A899" s="16" t="str">
        <f t="shared" ref="A899:A900" si="126">HYPERLINK("https://commons.wikimedia.org/wiki/User:" &amp; ENCODEURL("Gojan222"), "Gojan222")</f>
        <v>Gojan222</v>
      </c>
      <c r="B899" s="17" t="s">
        <v>1867</v>
      </c>
      <c r="C899" s="18">
        <v>46166.43048611111</v>
      </c>
      <c r="D899" s="17" t="s">
        <v>1868</v>
      </c>
      <c r="E899" s="19" t="s">
        <v>29</v>
      </c>
      <c r="F899" s="19" t="s">
        <v>30</v>
      </c>
      <c r="G899" s="20" t="s">
        <v>17</v>
      </c>
      <c r="H899" s="20" t="s">
        <v>18</v>
      </c>
      <c r="I899" s="19" t="str">
        <f>IMAGE("https://upload.wikimedia.org/wikipedia/commons/c/c6/Flor_colombiana.jpg")</f>
        <v/>
      </c>
    </row>
    <row r="900" ht="36.0" customHeight="1">
      <c r="A900" s="10" t="str">
        <f t="shared" si="126"/>
        <v>Gojan222</v>
      </c>
      <c r="B900" s="11" t="s">
        <v>1869</v>
      </c>
      <c r="C900" s="12">
        <v>46166.43387731481</v>
      </c>
      <c r="D900" s="11" t="s">
        <v>1870</v>
      </c>
      <c r="E900" s="14" t="s">
        <v>29</v>
      </c>
      <c r="F900" s="14" t="s">
        <v>30</v>
      </c>
      <c r="G900" s="15" t="s">
        <v>17</v>
      </c>
      <c r="H900" s="15" t="s">
        <v>18</v>
      </c>
      <c r="I900" s="14" t="str">
        <f>IMAGE("https://upload.wikimedia.org/wikipedia/commons/4/4a/Flor_colombiana2.jpg")</f>
        <v/>
      </c>
    </row>
    <row r="901" ht="36.0" customHeight="1">
      <c r="A901" s="16" t="str">
        <f>HYPERLINK("https://commons.wikimedia.org/wiki/User:" &amp; ENCODEURL("Nbareschu"), "Nbareschu")</f>
        <v>Nbareschu</v>
      </c>
      <c r="B901" s="17" t="s">
        <v>1871</v>
      </c>
      <c r="C901" s="18">
        <v>46149.42159722222</v>
      </c>
      <c r="D901" s="17" t="s">
        <v>1872</v>
      </c>
      <c r="E901" s="19" t="s">
        <v>1873</v>
      </c>
      <c r="F901" s="20" t="s">
        <v>16</v>
      </c>
      <c r="G901" s="20" t="s">
        <v>17</v>
      </c>
      <c r="H901" s="20" t="s">
        <v>18</v>
      </c>
      <c r="I901" s="19" t="str">
        <f>IMAGE("https://upload.wikimedia.org/wikipedia/commons/e/e0/Flor_de_Aguacatillo.jpg")</f>
        <v/>
      </c>
    </row>
    <row r="902" ht="36.0" customHeight="1">
      <c r="A902" s="10" t="str">
        <f>HYPERLINK("https://commons.wikimedia.org/wiki/User:" &amp; ENCODEURL("Juanrapave"), "Juanrapave")</f>
        <v>Juanrapave</v>
      </c>
      <c r="B902" s="11" t="s">
        <v>1874</v>
      </c>
      <c r="C902" s="12">
        <v>46166.31317129629</v>
      </c>
      <c r="D902" s="11" t="s">
        <v>1875</v>
      </c>
      <c r="E902" s="14" t="s">
        <v>29</v>
      </c>
      <c r="F902" s="14" t="s">
        <v>30</v>
      </c>
      <c r="G902" s="15" t="s">
        <v>17</v>
      </c>
      <c r="H902" s="15" t="s">
        <v>18</v>
      </c>
      <c r="I902" s="14" t="str">
        <f>IMAGE("https://upload.wikimedia.org/wikipedia/commons/1/10/Flor_La_reina_de_la_noche.jpg")</f>
        <v/>
      </c>
    </row>
    <row r="903" ht="36.0" customHeight="1">
      <c r="A903" s="16" t="str">
        <f>HYPERLINK("https://commons.wikimedia.org/wiki/User:" &amp; ENCODEURL("Estudiante0001"), "Estudiante0001")</f>
        <v>Estudiante0001</v>
      </c>
      <c r="B903" s="17" t="s">
        <v>1876</v>
      </c>
      <c r="C903" s="18">
        <v>46163.51700231482</v>
      </c>
      <c r="D903" s="17" t="s">
        <v>1877</v>
      </c>
      <c r="E903" s="19" t="s">
        <v>29</v>
      </c>
      <c r="F903" s="19" t="s">
        <v>30</v>
      </c>
      <c r="G903" s="20" t="s">
        <v>17</v>
      </c>
      <c r="H903" s="20" t="s">
        <v>18</v>
      </c>
      <c r="I903" s="19" t="str">
        <f>IMAGE("https://upload.wikimedia.org/wikipedia/commons/f/fa/Flor_Melastomataceae.jpg")</f>
        <v/>
      </c>
    </row>
    <row r="904" ht="36.0" customHeight="1">
      <c r="A904" s="10" t="str">
        <f>HYPERLINK("https://commons.wikimedia.org/wiki/User:" &amp; ENCODEURL("Juanrapave"), "Juanrapave")</f>
        <v>Juanrapave</v>
      </c>
      <c r="B904" s="11" t="s">
        <v>1878</v>
      </c>
      <c r="C904" s="12">
        <v>46166.31317129629</v>
      </c>
      <c r="D904" s="11" t="s">
        <v>1879</v>
      </c>
      <c r="E904" s="14" t="s">
        <v>29</v>
      </c>
      <c r="F904" s="14" t="s">
        <v>30</v>
      </c>
      <c r="G904" s="15" t="s">
        <v>17</v>
      </c>
      <c r="H904" s="15" t="s">
        <v>18</v>
      </c>
      <c r="I904" s="14" t="str">
        <f>IMAGE("https://upload.wikimedia.org/wikipedia/commons/d/d7/Flor_de_Cactus_-1.jpg")</f>
        <v/>
      </c>
    </row>
    <row r="905" ht="36.0" customHeight="1">
      <c r="A905" s="16" t="str">
        <f>HYPERLINK("https://commons.wikimedia.org/wiki/User:" &amp; ENCODEURL("JJCL09"), "JJCL09")</f>
        <v>JJCL09</v>
      </c>
      <c r="B905" s="17" t="s">
        <v>1880</v>
      </c>
      <c r="C905" s="18">
        <v>46147.881574074076</v>
      </c>
      <c r="D905" s="17" t="s">
        <v>1881</v>
      </c>
      <c r="E905" s="19" t="s">
        <v>29</v>
      </c>
      <c r="F905" s="19" t="s">
        <v>30</v>
      </c>
      <c r="G905" s="20" t="s">
        <v>17</v>
      </c>
      <c r="H905" s="20" t="s">
        <v>18</v>
      </c>
      <c r="I905" s="19" t="str">
        <f>IMAGE("https://upload.wikimedia.org/wikipedia/commons/1/1c/Flor_de_Caldas.jpg")</f>
        <v/>
      </c>
    </row>
    <row r="906" ht="36.0" customHeight="1">
      <c r="A906" s="10" t="str">
        <f>HYPERLINK("https://commons.wikimedia.org/wiki/User:" &amp; ENCODEURL("NMontoya (WMCO)"), "NMontoya (WMCO)")</f>
        <v>NMontoya (WMCO)</v>
      </c>
      <c r="B906" s="11" t="s">
        <v>1882</v>
      </c>
      <c r="C906" s="12">
        <v>46191.80778935185</v>
      </c>
      <c r="D906" s="11" t="s">
        <v>1883</v>
      </c>
      <c r="E906" s="14" t="s">
        <v>683</v>
      </c>
      <c r="F906" s="15" t="s">
        <v>16</v>
      </c>
      <c r="G906" s="15" t="s">
        <v>17</v>
      </c>
      <c r="H906" s="15" t="s">
        <v>18</v>
      </c>
      <c r="I906" s="14" t="str">
        <f>IMAGE("https://upload.wikimedia.org/wikipedia/commons/3/3c/Flor_de_Cola_de_Alacr%C3%A1n_%E2%80%93_G%C3%A9nero_Stachytarpheta_%E2%80%93_Familia_Verbenaceae.png")</f>
        <v/>
      </c>
    </row>
    <row r="907" ht="36.0" customHeight="1">
      <c r="A907" s="16" t="str">
        <f>HYPERLINK("https://commons.wikimedia.org/wiki/User:" &amp; ENCODEURL("Sandramirezgiraldo"), "Sandramirezgiraldo")</f>
        <v>Sandramirezgiraldo</v>
      </c>
      <c r="B907" s="17" t="s">
        <v>1884</v>
      </c>
      <c r="C907" s="18">
        <v>46203.98490740741</v>
      </c>
      <c r="D907" s="17" t="s">
        <v>1885</v>
      </c>
      <c r="E907" s="19" t="s">
        <v>29</v>
      </c>
      <c r="F907" s="19" t="s">
        <v>30</v>
      </c>
      <c r="G907" s="20" t="s">
        <v>17</v>
      </c>
      <c r="H907" s="20" t="s">
        <v>18</v>
      </c>
      <c r="I907" s="19" t="str">
        <f>IMAGE("https://upload.wikimedia.org/wikipedia/commons/1/16/Flor_de_P%C3%A1ramo_Sandra_Ram%C3%ADrez_Giraldo.jpg")</f>
        <v/>
      </c>
    </row>
    <row r="908" ht="36.0" customHeight="1">
      <c r="A908" s="10" t="str">
        <f>HYPERLINK("https://commons.wikimedia.org/wiki/User:" &amp; ENCODEURL("Bioedna.ro"), "Bioedna.ro")</f>
        <v>Bioedna.ro</v>
      </c>
      <c r="B908" s="11" t="s">
        <v>1886</v>
      </c>
      <c r="C908" s="12">
        <v>46177.80681712963</v>
      </c>
      <c r="D908" s="11" t="s">
        <v>1887</v>
      </c>
      <c r="E908" s="14" t="s">
        <v>1888</v>
      </c>
      <c r="F908" s="15" t="s">
        <v>16</v>
      </c>
      <c r="G908" s="15" t="s">
        <v>17</v>
      </c>
      <c r="H908" s="15" t="s">
        <v>18</v>
      </c>
      <c r="I908" s="14" t="str">
        <f>IMAGE("https://upload.wikimedia.org/wikipedia/commons/f/f5/Flor_de_Rosa_rubiginosa_%28L%29.jpg")</f>
        <v/>
      </c>
    </row>
    <row r="909" ht="36.0" customHeight="1">
      <c r="A909" s="16" t="str">
        <f>HYPERLINK("https://commons.wikimedia.org/wiki/User:" &amp; ENCODEURL("AmiGueko"), "AmiGueko")</f>
        <v>AmiGueko</v>
      </c>
      <c r="B909" s="17" t="s">
        <v>1889</v>
      </c>
      <c r="C909" s="18">
        <v>46177.876180555555</v>
      </c>
      <c r="D909" s="17" t="s">
        <v>1890</v>
      </c>
      <c r="E909" s="19" t="s">
        <v>103</v>
      </c>
      <c r="F909" s="20" t="s">
        <v>16</v>
      </c>
      <c r="G909" s="20" t="s">
        <v>17</v>
      </c>
      <c r="H909" s="20" t="s">
        <v>18</v>
      </c>
      <c r="I909" s="19" t="str">
        <f>IMAGE("https://upload.wikimedia.org/wikipedia/commons/5/56/Flor_de_algodon.jpg")</f>
        <v/>
      </c>
    </row>
    <row r="910" ht="36.0" customHeight="1">
      <c r="A910" s="10" t="str">
        <f>HYPERLINK("https://commons.wikimedia.org/wiki/User:" &amp; ENCODEURL("Camell32"), "Camell32")</f>
        <v>Camell32</v>
      </c>
      <c r="B910" s="11" t="s">
        <v>1891</v>
      </c>
      <c r="C910" s="12">
        <v>46163.551840277774</v>
      </c>
      <c r="D910" s="11" t="s">
        <v>1892</v>
      </c>
      <c r="E910" s="14" t="s">
        <v>29</v>
      </c>
      <c r="F910" s="14" t="s">
        <v>30</v>
      </c>
      <c r="G910" s="15" t="s">
        <v>17</v>
      </c>
      <c r="H910" s="15" t="s">
        <v>18</v>
      </c>
      <c r="I910" s="14" t="str">
        <f>IMAGE("https://upload.wikimedia.org/wikipedia/commons/2/21/Flor_de_feijoa_19_de_marzo.jpg")</f>
        <v/>
      </c>
    </row>
    <row r="911" ht="36.0" customHeight="1">
      <c r="A911" s="16" t="str">
        <f>HYPERLINK("https://commons.wikimedia.org/wiki/User:" &amp; ENCODEURL("AmiGueko"), "AmiGueko")</f>
        <v>AmiGueko</v>
      </c>
      <c r="B911" s="17" t="s">
        <v>1893</v>
      </c>
      <c r="C911" s="18">
        <v>46178.39591435185</v>
      </c>
      <c r="D911" s="17" t="s">
        <v>1894</v>
      </c>
      <c r="E911" s="19" t="s">
        <v>103</v>
      </c>
      <c r="F911" s="20" t="s">
        <v>16</v>
      </c>
      <c r="G911" s="20" t="s">
        <v>17</v>
      </c>
      <c r="H911" s="20" t="s">
        <v>18</v>
      </c>
      <c r="I911" s="19" t="str">
        <f>IMAGE("https://upload.wikimedia.org/wikipedia/commons/b/be/Flor_de_la_Oreja_de_Elefante.jpg")</f>
        <v/>
      </c>
    </row>
    <row r="912" ht="36.0" customHeight="1">
      <c r="A912" s="10" t="str">
        <f>HYPERLINK("https://commons.wikimedia.org/wiki/User:" &amp; ENCODEURL("NMontoya (WMCO)"), "NMontoya (WMCO)")</f>
        <v>NMontoya (WMCO)</v>
      </c>
      <c r="B912" s="11" t="s">
        <v>1895</v>
      </c>
      <c r="C912" s="12">
        <v>46191.80768518519</v>
      </c>
      <c r="D912" s="11" t="s">
        <v>1896</v>
      </c>
      <c r="E912" s="14" t="s">
        <v>683</v>
      </c>
      <c r="F912" s="15" t="s">
        <v>16</v>
      </c>
      <c r="G912" s="15" t="s">
        <v>17</v>
      </c>
      <c r="H912" s="15" t="s">
        <v>18</v>
      </c>
      <c r="I912" s="14" t="str">
        <f>IMAGE("https://upload.wikimedia.org/wikipedia/commons/7/7d/Flor_de_la_familia_Melastomataceae.png")</f>
        <v/>
      </c>
    </row>
    <row r="913" ht="36.0" customHeight="1">
      <c r="A913" s="16" t="str">
        <f>HYPERLINK("https://commons.wikimedia.org/wiki/User:" &amp; ENCODEURL("Romauribe"), "Romauribe")</f>
        <v>Romauribe</v>
      </c>
      <c r="B913" s="17" t="s">
        <v>1897</v>
      </c>
      <c r="C913" s="18">
        <v>46181.45520833333</v>
      </c>
      <c r="D913" s="17" t="s">
        <v>1898</v>
      </c>
      <c r="E913" s="19" t="s">
        <v>1899</v>
      </c>
      <c r="F913" s="20" t="s">
        <v>16</v>
      </c>
      <c r="G913" s="20" t="s">
        <v>17</v>
      </c>
      <c r="H913" s="20" t="s">
        <v>18</v>
      </c>
      <c r="I913" s="19" t="str">
        <f>IMAGE("https://upload.wikimedia.org/wikipedia/commons/d/d4/Flor_de_la_pasi%C3%B3n%2C_Colombia.jpg")</f>
        <v/>
      </c>
    </row>
    <row r="914" ht="36.0" customHeight="1">
      <c r="A914" s="10" t="str">
        <f>HYPERLINK("https://commons.wikimedia.org/wiki/User:" &amp; ENCODEURL("Yiyi93"), "Yiyi93")</f>
        <v>Yiyi93</v>
      </c>
      <c r="B914" s="11" t="s">
        <v>1900</v>
      </c>
      <c r="C914" s="12">
        <v>46163.581666666665</v>
      </c>
      <c r="D914" s="11" t="s">
        <v>1901</v>
      </c>
      <c r="E914" s="14" t="s">
        <v>29</v>
      </c>
      <c r="F914" s="14" t="s">
        <v>30</v>
      </c>
      <c r="G914" s="15" t="s">
        <v>17</v>
      </c>
      <c r="H914" s="15" t="s">
        <v>18</v>
      </c>
      <c r="I914" s="14" t="str">
        <f>IMAGE("https://upload.wikimedia.org/wikipedia/commons/4/44/Flor_de_la_reserva_naturla_de_guataqui_de_potosi.jpg")</f>
        <v/>
      </c>
    </row>
    <row r="915" ht="36.0" customHeight="1">
      <c r="A915" s="16" t="str">
        <f>HYPERLINK("https://commons.wikimedia.org/wiki/User:" &amp; ENCODEURL("Supertita"), "Supertita")</f>
        <v>Supertita</v>
      </c>
      <c r="B915" s="17" t="s">
        <v>1902</v>
      </c>
      <c r="C915" s="18">
        <v>46191.80782407407</v>
      </c>
      <c r="D915" s="17" t="s">
        <v>1903</v>
      </c>
      <c r="E915" s="19" t="s">
        <v>1772</v>
      </c>
      <c r="F915" s="20" t="s">
        <v>16</v>
      </c>
      <c r="G915" s="20" t="s">
        <v>17</v>
      </c>
      <c r="H915" s="20" t="s">
        <v>18</v>
      </c>
      <c r="I915" s="19" t="str">
        <f>IMAGE("https://upload.wikimedia.org/wikipedia/commons/7/70/Flor_de_nen%C3%BAfar_tropical_%28familia_Nymphaeaceae%29.jpg")</f>
        <v/>
      </c>
    </row>
    <row r="916" ht="36.0" customHeight="1">
      <c r="A916" s="10" t="str">
        <f>HYPERLINK("https://commons.wikimedia.org/wiki/User:" &amp; ENCODEURL("Nbareschu"), "Nbareschu")</f>
        <v>Nbareschu</v>
      </c>
      <c r="B916" s="11" t="s">
        <v>1904</v>
      </c>
      <c r="C916" s="12">
        <v>46149.42114583333</v>
      </c>
      <c r="D916" s="11" t="s">
        <v>1905</v>
      </c>
      <c r="E916" s="14" t="s">
        <v>1906</v>
      </c>
      <c r="F916" s="15" t="s">
        <v>16</v>
      </c>
      <c r="G916" s="15" t="s">
        <v>17</v>
      </c>
      <c r="H916" s="15" t="s">
        <v>18</v>
      </c>
      <c r="I916" s="14" t="str">
        <f>IMAGE("https://upload.wikimedia.org/wikipedia/commons/c/ce/Flor_de_pelo_de_%C3%A1ngel_en_la_reserva_Moravia.jpg")</f>
        <v/>
      </c>
    </row>
    <row r="917" ht="36.0" customHeight="1">
      <c r="A917" s="16" t="str">
        <f>HYPERLINK("https://commons.wikimedia.org/wiki/User:" &amp; ENCODEURL("Alzevi"), "Alzevi")</f>
        <v>Alzevi</v>
      </c>
      <c r="B917" s="17" t="s">
        <v>1907</v>
      </c>
      <c r="C917" s="18">
        <v>46149.55130787037</v>
      </c>
      <c r="D917" s="17" t="s">
        <v>1908</v>
      </c>
      <c r="E917" s="19" t="s">
        <v>29</v>
      </c>
      <c r="F917" s="19" t="s">
        <v>30</v>
      </c>
      <c r="G917" s="20" t="s">
        <v>17</v>
      </c>
      <c r="H917" s="20" t="s">
        <v>18</v>
      </c>
      <c r="I917" s="19" t="str">
        <f>IMAGE("https://upload.wikimedia.org/wikipedia/commons/6/6a/Flor_de_p%C3%A9talos_p%C3%BArpuras.jpg")</f>
        <v/>
      </c>
    </row>
    <row r="918" ht="36.0" customHeight="1">
      <c r="A918" s="10" t="str">
        <f>HYPERLINK("https://commons.wikimedia.org/wiki/User:" &amp; ENCODEURL("Nbareschu"), "Nbareschu")</f>
        <v>Nbareschu</v>
      </c>
      <c r="B918" s="11" t="s">
        <v>1909</v>
      </c>
      <c r="C918" s="12">
        <v>46149.42155092592</v>
      </c>
      <c r="D918" s="11" t="s">
        <v>1910</v>
      </c>
      <c r="E918" s="14" t="s">
        <v>1911</v>
      </c>
      <c r="F918" s="15" t="s">
        <v>16</v>
      </c>
      <c r="G918" s="15" t="s">
        <v>17</v>
      </c>
      <c r="H918" s="15" t="s">
        <v>18</v>
      </c>
      <c r="I918" s="14" t="str">
        <f>IMAGE("https://upload.wikimedia.org/wikipedia/commons/4/4a/Flor_de_tuno.jpg")</f>
        <v/>
      </c>
    </row>
    <row r="919" ht="36.0" customHeight="1">
      <c r="A919" s="16" t="str">
        <f t="shared" ref="A919:A921" si="127">HYPERLINK("https://commons.wikimedia.org/wiki/User:" &amp; ENCODEURL("Romauribe"), "Romauribe")</f>
        <v>Romauribe</v>
      </c>
      <c r="B919" s="17" t="s">
        <v>1912</v>
      </c>
      <c r="C919" s="18">
        <v>46180.42530092593</v>
      </c>
      <c r="D919" s="17" t="s">
        <v>1913</v>
      </c>
      <c r="E919" s="19" t="s">
        <v>29</v>
      </c>
      <c r="F919" s="19" t="s">
        <v>30</v>
      </c>
      <c r="G919" s="20" t="s">
        <v>17</v>
      </c>
      <c r="H919" s="20" t="s">
        <v>18</v>
      </c>
      <c r="I919" s="19" t="str">
        <f>IMAGE("https://upload.wikimedia.org/wikipedia/commons/9/94/Flor_de_un_d%C3%ADa%2C_Colombia.jpg")</f>
        <v/>
      </c>
    </row>
    <row r="920" ht="36.0" customHeight="1">
      <c r="A920" s="10" t="str">
        <f t="shared" si="127"/>
        <v>Romauribe</v>
      </c>
      <c r="B920" s="11" t="s">
        <v>1914</v>
      </c>
      <c r="C920" s="12">
        <v>46180.42530092593</v>
      </c>
      <c r="D920" s="11" t="s">
        <v>1915</v>
      </c>
      <c r="E920" s="14" t="s">
        <v>29</v>
      </c>
      <c r="F920" s="14" t="s">
        <v>30</v>
      </c>
      <c r="G920" s="15" t="s">
        <v>17</v>
      </c>
      <c r="H920" s="15" t="s">
        <v>18</v>
      </c>
      <c r="I920" s="14" t="str">
        <f>IMAGE("https://upload.wikimedia.org/wikipedia/commons/2/24/Flor_de_un_d%C3%ADa-Colombia.jpg")</f>
        <v/>
      </c>
    </row>
    <row r="921" ht="36.0" customHeight="1">
      <c r="A921" s="16" t="str">
        <f t="shared" si="127"/>
        <v>Romauribe</v>
      </c>
      <c r="B921" s="17" t="s">
        <v>1916</v>
      </c>
      <c r="C921" s="18">
        <v>46180.42530092593</v>
      </c>
      <c r="D921" s="17" t="s">
        <v>1915</v>
      </c>
      <c r="E921" s="19" t="s">
        <v>29</v>
      </c>
      <c r="F921" s="19" t="s">
        <v>30</v>
      </c>
      <c r="G921" s="20" t="s">
        <v>17</v>
      </c>
      <c r="H921" s="20" t="s">
        <v>18</v>
      </c>
      <c r="I921" s="19" t="str">
        <f>IMAGE("https://upload.wikimedia.org/wikipedia/commons/4/4a/Flor_de_un_d%C3%ADa%3B_Colombia.jpg")</f>
        <v/>
      </c>
    </row>
    <row r="922" ht="36.0" customHeight="1">
      <c r="A922" s="10" t="str">
        <f>HYPERLINK("https://commons.wikimedia.org/wiki/User:" &amp; ENCODEURL("XRkstudiox"), "XRkstudiox")</f>
        <v>XRkstudiox</v>
      </c>
      <c r="B922" s="11" t="s">
        <v>1917</v>
      </c>
      <c r="C922" s="12">
        <v>46203.71460648148</v>
      </c>
      <c r="D922" s="11" t="s">
        <v>415</v>
      </c>
      <c r="E922" s="14" t="s">
        <v>29</v>
      </c>
      <c r="F922" s="14" t="s">
        <v>30</v>
      </c>
      <c r="G922" s="15" t="s">
        <v>17</v>
      </c>
      <c r="H922" s="15" t="s">
        <v>18</v>
      </c>
      <c r="I922" s="14" t="str">
        <f>IMAGE("https://upload.wikimedia.org/wikipedia/commons/8/8f/Flor_del_In%C3%ADrida_-_Schoenocephalium_teretifolium.jpg")</f>
        <v/>
      </c>
    </row>
    <row r="923" ht="36.0" customHeight="1">
      <c r="A923" s="16" t="str">
        <f>HYPERLINK("https://commons.wikimedia.org/wiki/User:" &amp; ENCODEURL("Gilgomo9"), "Gilgomo9")</f>
        <v>Gilgomo9</v>
      </c>
      <c r="B923" s="17" t="s">
        <v>1918</v>
      </c>
      <c r="C923" s="18">
        <v>46144.439421296294</v>
      </c>
      <c r="D923" s="17" t="s">
        <v>918</v>
      </c>
      <c r="E923" s="19" t="s">
        <v>29</v>
      </c>
      <c r="F923" s="19" t="s">
        <v>30</v>
      </c>
      <c r="G923" s="20" t="s">
        <v>17</v>
      </c>
      <c r="H923" s="20" t="s">
        <v>18</v>
      </c>
      <c r="I923" s="19" t="str">
        <f>IMAGE("https://upload.wikimedia.org/wikipedia/commons/3/3c/Flor_en_Manos_de_Luisa.jpg")</f>
        <v/>
      </c>
    </row>
    <row r="924" ht="36.0" customHeight="1">
      <c r="A924" s="10" t="str">
        <f>HYPERLINK("https://commons.wikimedia.org/wiki/User:" &amp; ENCODEURL("Dyrt.yis"), "Dyrt.yis")</f>
        <v>Dyrt.yis</v>
      </c>
      <c r="B924" s="11" t="s">
        <v>1919</v>
      </c>
      <c r="C924" s="12">
        <v>46163.55280092593</v>
      </c>
      <c r="D924" s="11" t="s">
        <v>1920</v>
      </c>
      <c r="E924" s="14" t="s">
        <v>29</v>
      </c>
      <c r="F924" s="14" t="s">
        <v>30</v>
      </c>
      <c r="G924" s="15" t="s">
        <v>17</v>
      </c>
      <c r="H924" s="15" t="s">
        <v>18</v>
      </c>
      <c r="I924" s="14" t="str">
        <f>IMAGE("https://upload.wikimedia.org/wikipedia/commons/5/52/Flor_en_monserrate.jpg")</f>
        <v/>
      </c>
    </row>
    <row r="925" ht="36.0" customHeight="1">
      <c r="A925" s="16" t="str">
        <f>HYPERLINK("https://commons.wikimedia.org/wiki/User:" &amp; ENCODEURL("Karumain"), "Karumain")</f>
        <v>Karumain</v>
      </c>
      <c r="B925" s="17" t="s">
        <v>1921</v>
      </c>
      <c r="C925" s="18">
        <v>46163.515439814815</v>
      </c>
      <c r="D925" s="17" t="s">
        <v>1922</v>
      </c>
      <c r="E925" s="19" t="s">
        <v>29</v>
      </c>
      <c r="F925" s="19" t="s">
        <v>30</v>
      </c>
      <c r="G925" s="20" t="s">
        <v>17</v>
      </c>
      <c r="H925" s="20" t="s">
        <v>18</v>
      </c>
      <c r="I925" s="19" t="str">
        <f>IMAGE("https://upload.wikimedia.org/wikipedia/commons/9/93/Flor_junto_a_mariposa.jpg")</f>
        <v/>
      </c>
    </row>
    <row r="926" ht="36.0" customHeight="1">
      <c r="A926" s="10" t="str">
        <f>HYPERLINK("https://commons.wikimedia.org/wiki/User:" &amp; ENCODEURL("AmiGueko"), "AmiGueko")</f>
        <v>AmiGueko</v>
      </c>
      <c r="B926" s="11" t="s">
        <v>1923</v>
      </c>
      <c r="C926" s="12">
        <v>46177.87619212963</v>
      </c>
      <c r="D926" s="11" t="s">
        <v>1924</v>
      </c>
      <c r="E926" s="14" t="s">
        <v>103</v>
      </c>
      <c r="F926" s="15" t="s">
        <v>16</v>
      </c>
      <c r="G926" s="15" t="s">
        <v>17</v>
      </c>
      <c r="H926" s="15" t="s">
        <v>18</v>
      </c>
      <c r="I926" s="14" t="str">
        <f>IMAGE("https://upload.wikimedia.org/wikipedia/commons/8/85/Flor_macho_Ceiba_amarilla.jpg")</f>
        <v/>
      </c>
    </row>
    <row r="927" ht="36.0" customHeight="1">
      <c r="A927" s="16" t="str">
        <f>HYPERLINK("https://commons.wikimedia.org/wiki/User:" &amp; ENCODEURL("NMontoya (WMCO)"), "NMontoya (WMCO)")</f>
        <v>NMontoya (WMCO)</v>
      </c>
      <c r="B927" s="17" t="s">
        <v>1925</v>
      </c>
      <c r="C927" s="18">
        <v>46191.807754629626</v>
      </c>
      <c r="D927" s="17" t="s">
        <v>1926</v>
      </c>
      <c r="E927" s="19" t="s">
        <v>683</v>
      </c>
      <c r="F927" s="20" t="s">
        <v>16</v>
      </c>
      <c r="G927" s="20" t="s">
        <v>17</v>
      </c>
      <c r="H927" s="20" t="s">
        <v>18</v>
      </c>
      <c r="I927" s="19" t="str">
        <f>IMAGE("https://upload.wikimedia.org/wikipedia/commons/1/1d/Flor_morada_Aguile%C3%B1a_com%C3%BAn_%E2%80%93_G%C3%A9nero_Aquilegia_%E2%80%93_Familia_Ranunculaceae.png")</f>
        <v/>
      </c>
    </row>
    <row r="928" ht="36.0" customHeight="1">
      <c r="A928" s="10" t="str">
        <f>HYPERLINK("https://commons.wikimedia.org/wiki/User:" &amp; ENCODEURL("Karumain"), "Karumain")</f>
        <v>Karumain</v>
      </c>
      <c r="B928" s="11" t="s">
        <v>1927</v>
      </c>
      <c r="C928" s="12">
        <v>46163.55975694444</v>
      </c>
      <c r="D928" s="11" t="s">
        <v>1928</v>
      </c>
      <c r="E928" s="14" t="s">
        <v>29</v>
      </c>
      <c r="F928" s="14" t="s">
        <v>30</v>
      </c>
      <c r="G928" s="15" t="s">
        <v>17</v>
      </c>
      <c r="H928" s="15" t="s">
        <v>18</v>
      </c>
      <c r="I928" s="14" t="str">
        <f>IMAGE("https://upload.wikimedia.org/wikipedia/commons/f/f5/Flor_rosada_en_campo.jpg")</f>
        <v/>
      </c>
    </row>
    <row r="929" ht="36.0" customHeight="1">
      <c r="A929" s="16" t="str">
        <f>HYPERLINK("https://commons.wikimedia.org/wiki/User:" &amp; ENCODEURL("Vvelashue21"), "Vvelashue21")</f>
        <v>Vvelashue21</v>
      </c>
      <c r="B929" s="17" t="s">
        <v>1929</v>
      </c>
      <c r="C929" s="18">
        <v>46163.547951388886</v>
      </c>
      <c r="D929" s="17" t="s">
        <v>1930</v>
      </c>
      <c r="E929" s="19" t="s">
        <v>29</v>
      </c>
      <c r="F929" s="19" t="s">
        <v>30</v>
      </c>
      <c r="G929" s="20" t="s">
        <v>17</v>
      </c>
      <c r="H929" s="20" t="s">
        <v>18</v>
      </c>
      <c r="I929" s="19" t="str">
        <f>IMAGE("https://upload.wikimedia.org/wikipedia/commons/6/62/Flor_rosita.jpg")</f>
        <v/>
      </c>
    </row>
    <row r="930" ht="36.0" customHeight="1">
      <c r="A930" s="10" t="str">
        <f>HYPERLINK("https://commons.wikimedia.org/wiki/User:" &amp; ENCODEURL("Willandre1194"), "Willandre1194")</f>
        <v>Willandre1194</v>
      </c>
      <c r="B930" s="11" t="s">
        <v>1931</v>
      </c>
      <c r="C930" s="12">
        <v>46155.66082175926</v>
      </c>
      <c r="D930" s="11" t="s">
        <v>1932</v>
      </c>
      <c r="E930" s="14" t="s">
        <v>29</v>
      </c>
      <c r="F930" s="14" t="s">
        <v>30</v>
      </c>
      <c r="G930" s="15" t="s">
        <v>17</v>
      </c>
      <c r="H930" s="15" t="s">
        <v>18</v>
      </c>
      <c r="I930" s="14" t="str">
        <f>IMAGE("https://upload.wikimedia.org/wikipedia/commons/5/5e/Flora_Colombiana_Comfama.jpg")</f>
        <v/>
      </c>
    </row>
    <row r="931" ht="36.0" customHeight="1">
      <c r="A931" s="16" t="str">
        <f t="shared" ref="A931:A932" si="128">HYPERLINK("https://commons.wikimedia.org/wiki/User:" &amp; ENCODEURL("Nathaly 1106"), "Nathaly 1106")</f>
        <v>Nathaly 1106</v>
      </c>
      <c r="B931" s="17" t="s">
        <v>1933</v>
      </c>
      <c r="C931" s="18">
        <v>46147.609456018516</v>
      </c>
      <c r="D931" s="17" t="s">
        <v>1934</v>
      </c>
      <c r="E931" s="19" t="s">
        <v>29</v>
      </c>
      <c r="F931" s="19" t="s">
        <v>30</v>
      </c>
      <c r="G931" s="20" t="s">
        <v>17</v>
      </c>
      <c r="H931" s="20" t="s">
        <v>18</v>
      </c>
      <c r="I931" s="19" t="str">
        <f>IMAGE("https://upload.wikimedia.org/wikipedia/commons/8/8c/Floraci%C3%B3n_de_pendientes_de_la_Reina_-_Aljaba_%28Fuchsia_magellanica%29.jpg")</f>
        <v/>
      </c>
    </row>
    <row r="932" ht="36.0" customHeight="1">
      <c r="A932" s="10" t="str">
        <f t="shared" si="128"/>
        <v>Nathaly 1106</v>
      </c>
      <c r="B932" s="11" t="s">
        <v>1935</v>
      </c>
      <c r="C932" s="12">
        <v>46163.511412037034</v>
      </c>
      <c r="D932" s="11" t="s">
        <v>1936</v>
      </c>
      <c r="E932" s="14" t="s">
        <v>29</v>
      </c>
      <c r="F932" s="14" t="s">
        <v>30</v>
      </c>
      <c r="G932" s="15" t="s">
        <v>17</v>
      </c>
      <c r="H932" s="15" t="s">
        <v>18</v>
      </c>
      <c r="I932" s="14" t="str">
        <f>IMAGE("https://upload.wikimedia.org/wikipedia/commons/3/32/Flores_amarillas_de_jard%C3%ADn.jpg")</f>
        <v/>
      </c>
    </row>
    <row r="933" ht="36.0" customHeight="1">
      <c r="A933" s="16" t="str">
        <f>HYPERLINK("https://commons.wikimedia.org/wiki/User:" &amp; ENCODEURL("Torres María"), "Torres María")</f>
        <v>Torres María</v>
      </c>
      <c r="B933" s="17" t="s">
        <v>1937</v>
      </c>
      <c r="C933" s="18">
        <v>46157.639861111114</v>
      </c>
      <c r="D933" s="17" t="s">
        <v>1938</v>
      </c>
      <c r="E933" s="19" t="s">
        <v>29</v>
      </c>
      <c r="F933" s="19" t="s">
        <v>30</v>
      </c>
      <c r="G933" s="20" t="s">
        <v>17</v>
      </c>
      <c r="H933" s="20" t="s">
        <v>18</v>
      </c>
      <c r="I933" s="19" t="str">
        <f>IMAGE("https://upload.wikimedia.org/wikipedia/commons/6/64/Flores_amarillas_y_mariposa.jpg")</f>
        <v/>
      </c>
    </row>
    <row r="934" ht="36.0" customHeight="1">
      <c r="A934" s="10" t="str">
        <f>HYPERLINK("https://commons.wikimedia.org/wiki/User:" &amp; ENCODEURL("Dyrt.yis"), "Dyrt.yis")</f>
        <v>Dyrt.yis</v>
      </c>
      <c r="B934" s="11" t="s">
        <v>1939</v>
      </c>
      <c r="C934" s="12">
        <v>46163.55275462963</v>
      </c>
      <c r="D934" s="11" t="s">
        <v>1940</v>
      </c>
      <c r="E934" s="14" t="s">
        <v>29</v>
      </c>
      <c r="F934" s="14" t="s">
        <v>30</v>
      </c>
      <c r="G934" s="15" t="s">
        <v>17</v>
      </c>
      <c r="H934" s="15" t="s">
        <v>18</v>
      </c>
      <c r="I934" s="14" t="str">
        <f>IMAGE("https://upload.wikimedia.org/wikipedia/commons/d/db/Flores_amarrilas.jpg")</f>
        <v/>
      </c>
    </row>
    <row r="935" ht="36.0" customHeight="1">
      <c r="A935" s="16" t="str">
        <f>HYPERLINK("https://commons.wikimedia.org/wiki/User:" &amp; ENCODEURL("AlbruMar"), "AlbruMar")</f>
        <v>AlbruMar</v>
      </c>
      <c r="B935" s="17" t="s">
        <v>1941</v>
      </c>
      <c r="C935" s="18">
        <v>46149.9712037037</v>
      </c>
      <c r="D935" s="17" t="s">
        <v>1942</v>
      </c>
      <c r="E935" s="19" t="s">
        <v>29</v>
      </c>
      <c r="F935" s="19" t="s">
        <v>30</v>
      </c>
      <c r="G935" s="20" t="s">
        <v>17</v>
      </c>
      <c r="H935" s="20" t="s">
        <v>18</v>
      </c>
      <c r="I935" s="19" t="str">
        <f>IMAGE("https://upload.wikimedia.org/wikipedia/commons/e/eb/Flores_de_frailejon.jpg")</f>
        <v/>
      </c>
    </row>
    <row r="936" ht="36.0" customHeight="1">
      <c r="A936" s="10" t="str">
        <f>HYPERLINK("https://commons.wikimedia.org/wiki/User:" &amp; ENCODEURL("Nbareschu"), "Nbareschu")</f>
        <v>Nbareschu</v>
      </c>
      <c r="B936" s="11" t="s">
        <v>1943</v>
      </c>
      <c r="C936" s="12">
        <v>46149.421111111114</v>
      </c>
      <c r="D936" s="11" t="s">
        <v>1944</v>
      </c>
      <c r="E936" s="14" t="s">
        <v>1945</v>
      </c>
      <c r="F936" s="15" t="s">
        <v>16</v>
      </c>
      <c r="G936" s="15" t="s">
        <v>17</v>
      </c>
      <c r="H936" s="15" t="s">
        <v>18</v>
      </c>
      <c r="I936" s="14" t="str">
        <f>IMAGE("https://upload.wikimedia.org/wikipedia/commons/5/54/Flores_de_grandiflora.jpg")</f>
        <v/>
      </c>
    </row>
    <row r="937" ht="36.0" customHeight="1">
      <c r="A937" s="16" t="str">
        <f>HYPERLINK("https://commons.wikimedia.org/wiki/User:" &amp; ENCODEURL("Kitty Perez"), "Kitty Perez")</f>
        <v>Kitty Perez</v>
      </c>
      <c r="B937" s="17" t="s">
        <v>1946</v>
      </c>
      <c r="C937" s="18">
        <v>46196.60637731481</v>
      </c>
      <c r="D937" s="17" t="s">
        <v>1947</v>
      </c>
      <c r="E937" s="19" t="s">
        <v>29</v>
      </c>
      <c r="F937" s="19" t="s">
        <v>30</v>
      </c>
      <c r="G937" s="20" t="s">
        <v>17</v>
      </c>
      <c r="H937" s="20" t="s">
        <v>18</v>
      </c>
      <c r="I937" s="19" t="str">
        <f>IMAGE("https://upload.wikimedia.org/wikipedia/commons/6/6f/Flores_para_mis_amigas.jpg")</f>
        <v/>
      </c>
    </row>
    <row r="938" ht="36.0" customHeight="1">
      <c r="A938" s="10" t="str">
        <f t="shared" ref="A938:A939" si="129">HYPERLINK("https://commons.wikimedia.org/wiki/User:" &amp; ENCODEURL("Mottenpriesterin"), "Mottenpriesterin")</f>
        <v>Mottenpriesterin</v>
      </c>
      <c r="B938" s="11" t="s">
        <v>1948</v>
      </c>
      <c r="C938" s="12">
        <v>46202.919907407406</v>
      </c>
      <c r="D938" s="11" t="s">
        <v>1949</v>
      </c>
      <c r="E938" s="14" t="s">
        <v>29</v>
      </c>
      <c r="F938" s="14" t="s">
        <v>30</v>
      </c>
      <c r="G938" s="15" t="s">
        <v>17</v>
      </c>
      <c r="H938" s="15" t="s">
        <v>18</v>
      </c>
      <c r="I938" s="14" t="str">
        <f>IMAGE("https://upload.wikimedia.org/wikipedia/commons/4/4f/Flower_of_Prickly_Pear_Cactus_%28Opuntia%29%2C_near_Villa_de_Leyva%2C_2026.jpg")</f>
        <v/>
      </c>
    </row>
    <row r="939" ht="36.0" customHeight="1">
      <c r="A939" s="16" t="str">
        <f t="shared" si="129"/>
        <v>Mottenpriesterin</v>
      </c>
      <c r="B939" s="17" t="s">
        <v>1950</v>
      </c>
      <c r="C939" s="18">
        <v>46202.92003472222</v>
      </c>
      <c r="D939" s="17" t="s">
        <v>1951</v>
      </c>
      <c r="E939" s="19" t="s">
        <v>29</v>
      </c>
      <c r="F939" s="19" t="s">
        <v>30</v>
      </c>
      <c r="G939" s="20" t="s">
        <v>17</v>
      </c>
      <c r="H939" s="20" t="s">
        <v>18</v>
      </c>
      <c r="I939" s="19" t="str">
        <f>IMAGE("https://upload.wikimedia.org/wikipedia/commons/0/03/Flowering_shrub_on_an_arid_eroded_hillside_near_Villa_de_Leyva%2C_Colombia.jpg")</f>
        <v/>
      </c>
    </row>
    <row r="940" ht="36.0" customHeight="1">
      <c r="A940" s="10" t="str">
        <f t="shared" ref="A940:A941" si="130">HYPERLINK("https://commons.wikimedia.org/wiki/User:" &amp; ENCODEURL("JJCL09"), "JJCL09")</f>
        <v>JJCL09</v>
      </c>
      <c r="B940" s="11" t="s">
        <v>1952</v>
      </c>
      <c r="C940" s="12">
        <v>46147.88134259259</v>
      </c>
      <c r="D940" s="11" t="s">
        <v>1953</v>
      </c>
      <c r="E940" s="14" t="s">
        <v>1954</v>
      </c>
      <c r="F940" s="15" t="s">
        <v>16</v>
      </c>
      <c r="G940" s="15" t="s">
        <v>17</v>
      </c>
      <c r="H940" s="15" t="s">
        <v>18</v>
      </c>
      <c r="I940" s="14" t="str">
        <f>IMAGE("https://upload.wikimedia.org/wikipedia/commons/7/78/Flowery_plant.jpg")</f>
        <v/>
      </c>
    </row>
    <row r="941" ht="36.0" customHeight="1">
      <c r="A941" s="16" t="str">
        <f t="shared" si="130"/>
        <v>JJCL09</v>
      </c>
      <c r="B941" s="17" t="s">
        <v>1955</v>
      </c>
      <c r="C941" s="18">
        <v>46147.881423611114</v>
      </c>
      <c r="D941" s="17" t="s">
        <v>1956</v>
      </c>
      <c r="E941" s="19" t="s">
        <v>1957</v>
      </c>
      <c r="F941" s="20" t="s">
        <v>16</v>
      </c>
      <c r="G941" s="20" t="s">
        <v>17</v>
      </c>
      <c r="H941" s="20" t="s">
        <v>18</v>
      </c>
      <c r="I941" s="19" t="str">
        <f>IMAGE("https://upload.wikimedia.org/wikipedia/commons/8/80/Fog_in_the_Colombian_mountains.jpg")</f>
        <v/>
      </c>
    </row>
    <row r="942" ht="36.0" customHeight="1">
      <c r="A942" s="10" t="str">
        <f>HYPERLINK("https://commons.wikimedia.org/wiki/User:" &amp; ENCODEURL("Reduvida3"), "Reduvida3")</f>
        <v>Reduvida3</v>
      </c>
      <c r="B942" s="11" t="s">
        <v>1958</v>
      </c>
      <c r="C942" s="12">
        <v>46182.654398148145</v>
      </c>
      <c r="D942" s="11" t="s">
        <v>1959</v>
      </c>
      <c r="E942" s="14" t="s">
        <v>29</v>
      </c>
      <c r="F942" s="14" t="s">
        <v>30</v>
      </c>
      <c r="G942" s="15" t="s">
        <v>17</v>
      </c>
      <c r="H942" s="15" t="s">
        <v>18</v>
      </c>
      <c r="I942" s="14" t="str">
        <f>IMAGE("https://upload.wikimedia.org/wikipedia/commons/d/d5/Fork-tailed_Flycatcher_%28Tyrannus_savana%29_perched_on_an_electric_cable_at_Nuqu%C3%AD_Beach%2C_Choc%C3%B3%2C_Colombia.jpg")</f>
        <v/>
      </c>
    </row>
    <row r="943" ht="36.0" customHeight="1">
      <c r="A943" s="16" t="str">
        <f>HYPERLINK("https://commons.wikimedia.org/wiki/User:" &amp; ENCODEURL("Johan Andrés Toro"), "Johan Andrés Toro")</f>
        <v>Johan Andrés Toro</v>
      </c>
      <c r="B943" s="17" t="s">
        <v>1960</v>
      </c>
      <c r="C943" s="18">
        <v>46176.94578703704</v>
      </c>
      <c r="D943" s="17" t="s">
        <v>1961</v>
      </c>
      <c r="E943" s="19" t="s">
        <v>29</v>
      </c>
      <c r="F943" s="19" t="s">
        <v>30</v>
      </c>
      <c r="G943" s="20" t="s">
        <v>17</v>
      </c>
      <c r="H943" s="20" t="s">
        <v>18</v>
      </c>
      <c r="I943" s="19" t="str">
        <f>IMAGE("https://upload.wikimedia.org/wikipedia/commons/4/47/Formaciones_de_arcilla_gris_en_Los_Hoyos.jpg")</f>
        <v/>
      </c>
    </row>
    <row r="944" ht="36.0" customHeight="1">
      <c r="A944" s="10" t="str">
        <f>HYPERLINK("https://commons.wikimedia.org/wiki/User:" &amp; ENCODEURL("Cathetovar"), "Cathetovar")</f>
        <v>Cathetovar</v>
      </c>
      <c r="B944" s="11" t="s">
        <v>1962</v>
      </c>
      <c r="C944" s="12">
        <v>46195.78065972222</v>
      </c>
      <c r="D944" s="11" t="s">
        <v>1963</v>
      </c>
      <c r="E944" s="14" t="s">
        <v>1964</v>
      </c>
      <c r="F944" s="15" t="s">
        <v>16</v>
      </c>
      <c r="G944" s="15" t="s">
        <v>17</v>
      </c>
      <c r="H944" s="15" t="s">
        <v>18</v>
      </c>
      <c r="I944" s="14" t="str">
        <f>IMAGE("https://upload.wikimedia.org/wikipedia/commons/b/b2/Formaciones_rocosas_del_desierto_gris_de_la_Tatacoa.jpg")</f>
        <v/>
      </c>
    </row>
    <row r="945" ht="36.0" customHeight="1">
      <c r="A945" s="16" t="str">
        <f>HYPERLINK("https://commons.wikimedia.org/wiki/User:" &amp; ENCODEURL("Johan Andrés Toro"), "Johan Andrés Toro")</f>
        <v>Johan Andrés Toro</v>
      </c>
      <c r="B945" s="17" t="s">
        <v>1965</v>
      </c>
      <c r="C945" s="18">
        <v>46171.49070601852</v>
      </c>
      <c r="D945" s="17" t="s">
        <v>1966</v>
      </c>
      <c r="E945" s="19" t="s">
        <v>1967</v>
      </c>
      <c r="F945" s="20" t="s">
        <v>16</v>
      </c>
      <c r="G945" s="20" t="s">
        <v>17</v>
      </c>
      <c r="H945" s="20" t="s">
        <v>18</v>
      </c>
      <c r="I945" s="19" t="str">
        <f>IMAGE("https://upload.wikimedia.org/wikipedia/commons/7/7c/Formaci%C3%B3n_geol%C3%B3gica_de_los_Farallones_de_Sutatausa_bajo_cielo_tormentoso.jpg")</f>
        <v/>
      </c>
    </row>
    <row r="946" ht="36.0" customHeight="1">
      <c r="A946" s="10" t="str">
        <f>HYPERLINK("https://commons.wikimedia.org/wiki/User:" &amp; ENCODEURL("Juan Carlos Sáenz Rodríguez"), "Juan Carlos Sáenz Rodríguez")</f>
        <v>Juan Carlos Sáenz Rodríguez</v>
      </c>
      <c r="B946" s="11" t="s">
        <v>1968</v>
      </c>
      <c r="C946" s="12">
        <v>46194.5831712963</v>
      </c>
      <c r="D946" s="11" t="s">
        <v>1969</v>
      </c>
      <c r="E946" s="14" t="s">
        <v>29</v>
      </c>
      <c r="F946" s="14" t="s">
        <v>30</v>
      </c>
      <c r="G946" s="15" t="s">
        <v>17</v>
      </c>
      <c r="H946" s="15" t="s">
        <v>18</v>
      </c>
      <c r="I946" s="14" t="str">
        <f>IMAGE("https://upload.wikimedia.org/wikipedia/commons/3/39/Formaci%C3%B3n_rocosa%2C_sendero_Ritacuba_Blanco%2C_Parque_Nacional_Natural_El_Cocuy.jpg")</f>
        <v/>
      </c>
    </row>
    <row r="947" ht="36.0" customHeight="1">
      <c r="A947" s="16" t="str">
        <f>HYPERLINK("https://commons.wikimedia.org/wiki/User:" &amp; ENCODEURL("Dsjkkms"), "Dsjkkms")</f>
        <v>Dsjkkms</v>
      </c>
      <c r="B947" s="17" t="s">
        <v>1970</v>
      </c>
      <c r="C947" s="18">
        <v>46163.56542824074</v>
      </c>
      <c r="D947" s="17" t="s">
        <v>1971</v>
      </c>
      <c r="E947" s="19" t="s">
        <v>29</v>
      </c>
      <c r="F947" s="19" t="s">
        <v>30</v>
      </c>
      <c r="G947" s="20" t="s">
        <v>17</v>
      </c>
      <c r="H947" s="20" t="s">
        <v>18</v>
      </c>
      <c r="I947" s="19" t="str">
        <f>IMAGE("https://upload.wikimedia.org/wikipedia/commons/b/bd/Foto_de_un_hongo._Reserva_Natural_Guataqu%C3%AD_de_Potos%C3%AD.jpg")</f>
        <v/>
      </c>
    </row>
    <row r="948" ht="36.0" customHeight="1">
      <c r="A948" s="10" t="str">
        <f>HYPERLINK("https://commons.wikimedia.org/wiki/User:" &amp; ENCODEURL("Yiyi93"), "Yiyi93")</f>
        <v>Yiyi93</v>
      </c>
      <c r="B948" s="11" t="s">
        <v>1972</v>
      </c>
      <c r="C948" s="12">
        <v>46163.58152777778</v>
      </c>
      <c r="D948" s="11" t="s">
        <v>1973</v>
      </c>
      <c r="E948" s="14" t="s">
        <v>29</v>
      </c>
      <c r="F948" s="14" t="s">
        <v>30</v>
      </c>
      <c r="G948" s="15" t="s">
        <v>17</v>
      </c>
      <c r="H948" s="15" t="s">
        <v>18</v>
      </c>
      <c r="I948" s="14" t="str">
        <f>IMAGE("https://upload.wikimedia.org/wikipedia/commons/9/99/Foto_panor%C3%A1mica_de_Monserrate.jpg")</f>
        <v/>
      </c>
    </row>
    <row r="949" ht="36.0" customHeight="1">
      <c r="A949" s="16" t="str">
        <f>HYPERLINK("https://commons.wikimedia.org/wiki/User:" &amp; ENCODEURL("Kevynguz"), "Kevynguz")</f>
        <v>Kevynguz</v>
      </c>
      <c r="B949" s="17" t="s">
        <v>1974</v>
      </c>
      <c r="C949" s="18">
        <v>46203.98804398148</v>
      </c>
      <c r="D949" s="17" t="s">
        <v>1975</v>
      </c>
      <c r="E949" s="19" t="s">
        <v>29</v>
      </c>
      <c r="F949" s="19" t="s">
        <v>30</v>
      </c>
      <c r="G949" s="20" t="s">
        <v>17</v>
      </c>
      <c r="H949" s="20" t="s">
        <v>18</v>
      </c>
      <c r="I949" s="19" t="str">
        <f>IMAGE("https://upload.wikimedia.org/wikipedia/commons/0/0e/Fotococo.jpg")</f>
        <v/>
      </c>
    </row>
    <row r="950" ht="36.0" customHeight="1">
      <c r="A950" s="10" t="str">
        <f t="shared" ref="A950:A951" si="131">HYPERLINK("https://commons.wikimedia.org/wiki/User:" &amp; ENCODEURL("Bannanapeel96"), "Bannanapeel96")</f>
        <v>Bannanapeel96</v>
      </c>
      <c r="B950" s="11" t="s">
        <v>1976</v>
      </c>
      <c r="C950" s="12">
        <v>46176.68587962963</v>
      </c>
      <c r="D950" s="11" t="s">
        <v>1977</v>
      </c>
      <c r="E950" s="14" t="s">
        <v>29</v>
      </c>
      <c r="F950" s="14" t="s">
        <v>30</v>
      </c>
      <c r="G950" s="15" t="s">
        <v>17</v>
      </c>
      <c r="H950" s="15" t="s">
        <v>18</v>
      </c>
      <c r="I950" s="14" t="str">
        <f>IMAGE("https://upload.wikimedia.org/wikipedia/commons/4/4f/Fototreff_2025.04.20_08-33_26_edited.png")</f>
        <v/>
      </c>
    </row>
    <row r="951" ht="36.0" customHeight="1">
      <c r="A951" s="16" t="str">
        <f t="shared" si="131"/>
        <v>Bannanapeel96</v>
      </c>
      <c r="B951" s="17" t="s">
        <v>1978</v>
      </c>
      <c r="C951" s="18">
        <v>46176.688368055555</v>
      </c>
      <c r="D951" s="17" t="s">
        <v>1979</v>
      </c>
      <c r="E951" s="19" t="s">
        <v>29</v>
      </c>
      <c r="F951" s="19" t="s">
        <v>30</v>
      </c>
      <c r="G951" s="20" t="s">
        <v>17</v>
      </c>
      <c r="H951" s="20" t="s">
        <v>18</v>
      </c>
      <c r="I951" s="19" t="str">
        <f>IMAGE("https://upload.wikimedia.org/wikipedia/commons/4/40/Fototreff_2025.04.20_09-14_31_edited.png")</f>
        <v/>
      </c>
    </row>
    <row r="952" ht="36.0" customHeight="1">
      <c r="A952" s="10" t="str">
        <f>HYPERLINK("https://commons.wikimedia.org/wiki/User:" &amp; ENCODEURL("KingJo09"), "KingJo09")</f>
        <v>KingJo09</v>
      </c>
      <c r="B952" s="11" t="s">
        <v>1980</v>
      </c>
      <c r="C952" s="12">
        <v>46165.89083333333</v>
      </c>
      <c r="D952" s="11" t="s">
        <v>1981</v>
      </c>
      <c r="E952" s="14" t="s">
        <v>1220</v>
      </c>
      <c r="F952" s="15" t="s">
        <v>16</v>
      </c>
      <c r="G952" s="15" t="s">
        <v>17</v>
      </c>
      <c r="H952" s="15" t="s">
        <v>18</v>
      </c>
      <c r="I952" s="14" t="str">
        <f>IMAGE("https://upload.wikimedia.org/wikipedia/commons/6/63/Fractales_Verdes.jpg")</f>
        <v/>
      </c>
    </row>
    <row r="953" ht="36.0" customHeight="1">
      <c r="A953" s="16" t="str">
        <f>HYPERLINK("https://commons.wikimedia.org/wiki/User:" &amp; ENCODEURL("Eli 1967"), "Eli 1967")</f>
        <v>Eli 1967</v>
      </c>
      <c r="B953" s="17" t="s">
        <v>1982</v>
      </c>
      <c r="C953" s="18">
        <v>46163.51490740741</v>
      </c>
      <c r="D953" s="17" t="s">
        <v>1983</v>
      </c>
      <c r="E953" s="19" t="s">
        <v>29</v>
      </c>
      <c r="F953" s="19" t="s">
        <v>30</v>
      </c>
      <c r="G953" s="20" t="s">
        <v>17</v>
      </c>
      <c r="H953" s="20" t="s">
        <v>18</v>
      </c>
      <c r="I953" s="19" t="str">
        <f>IMAGE("https://upload.wikimedia.org/wikipedia/commons/1/1e/Frailejon_%28Espeletia_sp%29.jpg")</f>
        <v/>
      </c>
    </row>
    <row r="954" ht="36.0" customHeight="1">
      <c r="A954" s="10" t="str">
        <f>HYPERLINK("https://commons.wikimedia.org/wiki/User:" &amp; ENCODEURL("AlbruMar"), "AlbruMar")</f>
        <v>AlbruMar</v>
      </c>
      <c r="B954" s="11" t="s">
        <v>1984</v>
      </c>
      <c r="C954" s="12">
        <v>46149.97114583333</v>
      </c>
      <c r="D954" s="11" t="s">
        <v>1985</v>
      </c>
      <c r="E954" s="14" t="s">
        <v>29</v>
      </c>
      <c r="F954" s="14" t="s">
        <v>30</v>
      </c>
      <c r="G954" s="15" t="s">
        <v>17</v>
      </c>
      <c r="H954" s="15" t="s">
        <v>18</v>
      </c>
      <c r="I954" s="14" t="str">
        <f>IMAGE("https://upload.wikimedia.org/wikipedia/commons/d/d6/Frailejon_en_p%C3%A1ramo_nublado_-_Subida_volc%C3%A1n_Azufral.jpg")</f>
        <v/>
      </c>
    </row>
    <row r="955" ht="36.0" customHeight="1">
      <c r="A955" s="16" t="str">
        <f>HYPERLINK("https://commons.wikimedia.org/wiki/User:" &amp; ENCODEURL("Nbareschu"), "Nbareschu")</f>
        <v>Nbareschu</v>
      </c>
      <c r="B955" s="17" t="s">
        <v>1986</v>
      </c>
      <c r="C955" s="18">
        <v>46149.4215625</v>
      </c>
      <c r="D955" s="17" t="s">
        <v>1987</v>
      </c>
      <c r="E955" s="19" t="s">
        <v>1988</v>
      </c>
      <c r="F955" s="20" t="s">
        <v>16</v>
      </c>
      <c r="G955" s="20" t="s">
        <v>17</v>
      </c>
      <c r="H955" s="20" t="s">
        <v>18</v>
      </c>
      <c r="I955" s="19" t="str">
        <f>IMAGE("https://upload.wikimedia.org/wikipedia/commons/9/97/Frailejon_g%C3%BCican.jpg")</f>
        <v/>
      </c>
    </row>
    <row r="956" ht="36.0" customHeight="1">
      <c r="A956" s="10" t="str">
        <f>HYPERLINK("https://commons.wikimedia.org/wiki/User:" &amp; ENCODEURL("Luifereduardoo"), "Luifereduardoo")</f>
        <v>Luifereduardoo</v>
      </c>
      <c r="B956" s="11" t="s">
        <v>1989</v>
      </c>
      <c r="C956" s="12">
        <v>46164.55871527778</v>
      </c>
      <c r="D956" s="11" t="s">
        <v>1990</v>
      </c>
      <c r="E956" s="14" t="s">
        <v>1991</v>
      </c>
      <c r="F956" s="15" t="s">
        <v>16</v>
      </c>
      <c r="G956" s="15" t="s">
        <v>17</v>
      </c>
      <c r="H956" s="15" t="s">
        <v>18</v>
      </c>
      <c r="I956" s="14" t="str">
        <f>IMAGE("https://upload.wikimedia.org/wikipedia/commons/2/27/Frailejones_cocuy.jpg")</f>
        <v/>
      </c>
    </row>
    <row r="957" ht="36.0" customHeight="1">
      <c r="A957" s="16" t="str">
        <f>HYPERLINK("https://commons.wikimedia.org/wiki/User:" &amp; ENCODEURL("Juli 2000 her"), "Juli 2000 her")</f>
        <v>Juli 2000 her</v>
      </c>
      <c r="B957" s="17" t="s">
        <v>1992</v>
      </c>
      <c r="C957" s="18">
        <v>46189.05482638889</v>
      </c>
      <c r="D957" s="17" t="s">
        <v>1993</v>
      </c>
      <c r="E957" s="19" t="s">
        <v>29</v>
      </c>
      <c r="F957" s="19" t="s">
        <v>30</v>
      </c>
      <c r="G957" s="20" t="s">
        <v>17</v>
      </c>
      <c r="H957" s="20" t="s">
        <v>18</v>
      </c>
      <c r="I957" s="19" t="str">
        <f>IMAGE("https://upload.wikimedia.org/wikipedia/commons/a/a3/Frailejones_en_ecosistema_de_alta_monta%C3%B1a_en_el_Parque_Nacional_Natural_Chingaza.jpg")</f>
        <v/>
      </c>
    </row>
    <row r="958" ht="36.0" customHeight="1">
      <c r="A958" s="10" t="str">
        <f>HYPERLINK("https://commons.wikimedia.org/wiki/User:" &amp; ENCODEURL("AlbruMar"), "AlbruMar")</f>
        <v>AlbruMar</v>
      </c>
      <c r="B958" s="11" t="s">
        <v>1994</v>
      </c>
      <c r="C958" s="12">
        <v>46149.97119212963</v>
      </c>
      <c r="D958" s="11" t="s">
        <v>1995</v>
      </c>
      <c r="E958" s="14" t="s">
        <v>29</v>
      </c>
      <c r="F958" s="14" t="s">
        <v>30</v>
      </c>
      <c r="G958" s="15" t="s">
        <v>17</v>
      </c>
      <c r="H958" s="15" t="s">
        <v>18</v>
      </c>
      <c r="I958" s="14" t="str">
        <f>IMAGE("https://upload.wikimedia.org/wikipedia/commons/7/73/Frailejones_en_p%C3%A1ramo_nublado_-_Subida_volc%C3%A1n_Azufral.jpg")</f>
        <v/>
      </c>
    </row>
    <row r="959" ht="36.0" customHeight="1">
      <c r="A959" s="16" t="str">
        <f>HYPERLINK("https://commons.wikimedia.org/wiki/User:" &amp; ENCODEURL("Supertita"), "Supertita")</f>
        <v>Supertita</v>
      </c>
      <c r="B959" s="17" t="s">
        <v>1996</v>
      </c>
      <c r="C959" s="18">
        <v>46192.70741898148</v>
      </c>
      <c r="D959" s="17" t="s">
        <v>1997</v>
      </c>
      <c r="E959" s="19" t="s">
        <v>21</v>
      </c>
      <c r="F959" s="20" t="s">
        <v>16</v>
      </c>
      <c r="G959" s="20" t="s">
        <v>17</v>
      </c>
      <c r="H959" s="20" t="s">
        <v>18</v>
      </c>
      <c r="I959" s="19" t="str">
        <f>IMAGE("https://upload.wikimedia.org/wikipedia/commons/d/de/Frailejones_es_un_g%C3%A9nero_de_plantas_de_la_familia_Asteraceae.jpg")</f>
        <v/>
      </c>
    </row>
    <row r="960" ht="36.0" customHeight="1">
      <c r="A960" s="10" t="str">
        <f>HYPERLINK("https://commons.wikimedia.org/wiki/User:" &amp; ENCODEURL("Mfrancoavellaneda"), "Mfrancoavellaneda")</f>
        <v>Mfrancoavellaneda</v>
      </c>
      <c r="B960" s="11" t="s">
        <v>1998</v>
      </c>
      <c r="C960" s="12">
        <v>46203.838125</v>
      </c>
      <c r="D960" s="11" t="s">
        <v>1999</v>
      </c>
      <c r="E960" s="14" t="s">
        <v>29</v>
      </c>
      <c r="F960" s="14" t="s">
        <v>30</v>
      </c>
      <c r="G960" s="15" t="s">
        <v>17</v>
      </c>
      <c r="H960" s="15" t="s">
        <v>18</v>
      </c>
      <c r="I960" s="14" t="str">
        <f>IMAGE("https://upload.wikimedia.org/wikipedia/commons/1/1a/Frailejones_sierra_nevada_del_Cocuy_y_G%C3%BCic%C3%A1n.jpg")</f>
        <v/>
      </c>
    </row>
    <row r="961" ht="36.0" customHeight="1">
      <c r="A961" s="16" t="str">
        <f>HYPERLINK("https://commons.wikimedia.org/wiki/User:" &amp; ENCODEURL("SergioM01"), "SergioM01")</f>
        <v>SergioM01</v>
      </c>
      <c r="B961" s="17" t="s">
        <v>2000</v>
      </c>
      <c r="C961" s="18">
        <v>46197.70179398148</v>
      </c>
      <c r="D961" s="17" t="s">
        <v>2001</v>
      </c>
      <c r="E961" s="19" t="s">
        <v>2002</v>
      </c>
      <c r="F961" s="20" t="s">
        <v>16</v>
      </c>
      <c r="G961" s="20" t="s">
        <v>17</v>
      </c>
      <c r="H961" s="20" t="s">
        <v>18</v>
      </c>
      <c r="I961" s="19" t="str">
        <f>IMAGE("https://upload.wikimedia.org/wikipedia/commons/e/e6/Frailej%C3%B3n_2025-12-24.jpg")</f>
        <v/>
      </c>
    </row>
    <row r="962" ht="36.0" customHeight="1">
      <c r="A962" s="10" t="str">
        <f>HYPERLINK("https://commons.wikimedia.org/wiki/User:" &amp; ENCODEURL("Peperomia11"), "Peperomia11")</f>
        <v>Peperomia11</v>
      </c>
      <c r="B962" s="11" t="s">
        <v>2003</v>
      </c>
      <c r="C962" s="12">
        <v>46202.560162037036</v>
      </c>
      <c r="D962" s="11" t="s">
        <v>2004</v>
      </c>
      <c r="E962" s="14" t="s">
        <v>29</v>
      </c>
      <c r="F962" s="14" t="s">
        <v>30</v>
      </c>
      <c r="G962" s="15" t="s">
        <v>17</v>
      </c>
      <c r="H962" s="15" t="s">
        <v>18</v>
      </c>
      <c r="I962" s="14" t="str">
        <f>IMAGE("https://upload.wikimedia.org/wikipedia/commons/8/82/Frailej%C3%B3n_20260528_145157.jpg")</f>
        <v/>
      </c>
    </row>
    <row r="963" ht="36.0" customHeight="1">
      <c r="A963" s="16" t="str">
        <f>HYPERLINK("https://commons.wikimedia.org/wiki/User:" &amp; ENCODEURL("Sandramirezgiraldo"), "Sandramirezgiraldo")</f>
        <v>Sandramirezgiraldo</v>
      </c>
      <c r="B963" s="17" t="s">
        <v>2005</v>
      </c>
      <c r="C963" s="18">
        <v>46203.97702546296</v>
      </c>
      <c r="D963" s="17" t="s">
        <v>2006</v>
      </c>
      <c r="E963" s="19" t="s">
        <v>29</v>
      </c>
      <c r="F963" s="19" t="s">
        <v>30</v>
      </c>
      <c r="G963" s="20" t="s">
        <v>17</v>
      </c>
      <c r="H963" s="20" t="s">
        <v>18</v>
      </c>
      <c r="I963" s="19" t="str">
        <f>IMAGE("https://upload.wikimedia.org/wikipedia/commons/c/c9/Frailej%C3%B3n_P%C3%A1ramo_de_Belmira_Sandra_Ram%C3%ADrez_Giraldo.jpg")</f>
        <v/>
      </c>
    </row>
    <row r="964" ht="36.0" customHeight="1">
      <c r="A964" s="10" t="str">
        <f>HYPERLINK("https://commons.wikimedia.org/wiki/User:" &amp; ENCODEURL("Juli 2000 her"), "Juli 2000 her")</f>
        <v>Juli 2000 her</v>
      </c>
      <c r="B964" s="11" t="s">
        <v>2007</v>
      </c>
      <c r="C964" s="12">
        <v>46189.05482638889</v>
      </c>
      <c r="D964" s="11" t="s">
        <v>2008</v>
      </c>
      <c r="E964" s="14" t="s">
        <v>29</v>
      </c>
      <c r="F964" s="14" t="s">
        <v>30</v>
      </c>
      <c r="G964" s="15" t="s">
        <v>17</v>
      </c>
      <c r="H964" s="15" t="s">
        <v>18</v>
      </c>
      <c r="I964" s="14" t="str">
        <f>IMAGE("https://upload.wikimedia.org/wikipedia/commons/5/56/Frailej%C3%B3n_del_g%C3%A9nero_Espeletia_en_p%C3%A1ramo_de_Aquitania%2C_Boyac%C3%A1.jpg")</f>
        <v/>
      </c>
    </row>
    <row r="965" ht="36.0" customHeight="1">
      <c r="A965" s="16" t="str">
        <f>HYPERLINK("https://commons.wikimedia.org/wiki/User:" &amp; ENCODEURL("PauMU86"), "PauMU86")</f>
        <v>PauMU86</v>
      </c>
      <c r="B965" s="17" t="s">
        <v>2009</v>
      </c>
      <c r="C965" s="18">
        <v>46171.69049768519</v>
      </c>
      <c r="D965" s="17" t="s">
        <v>2010</v>
      </c>
      <c r="E965" s="19" t="s">
        <v>29</v>
      </c>
      <c r="F965" s="19" t="s">
        <v>30</v>
      </c>
      <c r="G965" s="20" t="s">
        <v>17</v>
      </c>
      <c r="H965" s="20" t="s">
        <v>18</v>
      </c>
      <c r="I965" s="19" t="str">
        <f>IMAGE("https://upload.wikimedia.org/wikipedia/commons/7/7e/Frailej%C3%B3n_en_Sumapaz.jpg")</f>
        <v/>
      </c>
    </row>
    <row r="966" ht="36.0" customHeight="1">
      <c r="A966" s="10" t="str">
        <f>HYPERLINK("https://commons.wikimedia.org/wiki/User:" &amp; ENCODEURL("Vvelashue21"), "Vvelashue21")</f>
        <v>Vvelashue21</v>
      </c>
      <c r="B966" s="11" t="s">
        <v>2011</v>
      </c>
      <c r="C966" s="12">
        <v>46163.547951388886</v>
      </c>
      <c r="D966" s="11" t="s">
        <v>2012</v>
      </c>
      <c r="E966" s="14" t="s">
        <v>29</v>
      </c>
      <c r="F966" s="14" t="s">
        <v>30</v>
      </c>
      <c r="G966" s="15" t="s">
        <v>17</v>
      </c>
      <c r="H966" s="15" t="s">
        <v>18</v>
      </c>
      <c r="I966" s="14" t="str">
        <f>IMAGE("https://upload.wikimedia.org/wikipedia/commons/0/00/Fronda.jpg")</f>
        <v/>
      </c>
    </row>
    <row r="967" ht="36.0" customHeight="1">
      <c r="A967" s="16" t="str">
        <f>HYPERLINK("https://commons.wikimedia.org/wiki/User:" &amp; ENCODEURL("KingJo09"), "KingJo09")</f>
        <v>KingJo09</v>
      </c>
      <c r="B967" s="17" t="s">
        <v>2013</v>
      </c>
      <c r="C967" s="18">
        <v>46165.89076388889</v>
      </c>
      <c r="D967" s="17" t="s">
        <v>2014</v>
      </c>
      <c r="E967" s="19" t="s">
        <v>1220</v>
      </c>
      <c r="F967" s="20" t="s">
        <v>16</v>
      </c>
      <c r="G967" s="20" t="s">
        <v>17</v>
      </c>
      <c r="H967" s="20" t="s">
        <v>18</v>
      </c>
      <c r="I967" s="19" t="str">
        <f>IMAGE("https://upload.wikimedia.org/wikipedia/commons/2/22/Fruto_ornamental_de_Solanum_pseudocapsicum_en_jard%C3%ADn_universitario.jpg")</f>
        <v/>
      </c>
    </row>
    <row r="968" ht="36.0" customHeight="1">
      <c r="A968" s="10" t="str">
        <f t="shared" ref="A968:A970" si="132">HYPERLINK("https://commons.wikimedia.org/wiki/User:" &amp; ENCODEURL("AmiGueko"), "AmiGueko")</f>
        <v>AmiGueko</v>
      </c>
      <c r="B968" s="11" t="s">
        <v>2015</v>
      </c>
      <c r="C968" s="12">
        <v>46166.55144675926</v>
      </c>
      <c r="D968" s="11" t="s">
        <v>2016</v>
      </c>
      <c r="E968" s="14" t="s">
        <v>2017</v>
      </c>
      <c r="F968" s="15" t="s">
        <v>16</v>
      </c>
      <c r="G968" s="15" t="s">
        <v>17</v>
      </c>
      <c r="H968" s="15" t="s">
        <v>18</v>
      </c>
      <c r="I968" s="14" t="str">
        <f>IMAGE("https://upload.wikimedia.org/wikipedia/commons/0/0d/Fucsia_%2819977%29.jpg")</f>
        <v/>
      </c>
    </row>
    <row r="969" ht="36.0" customHeight="1">
      <c r="A969" s="16" t="str">
        <f t="shared" si="132"/>
        <v>AmiGueko</v>
      </c>
      <c r="B969" s="17" t="s">
        <v>2018</v>
      </c>
      <c r="C969" s="18">
        <v>46166.55174768518</v>
      </c>
      <c r="D969" s="17" t="s">
        <v>2016</v>
      </c>
      <c r="E969" s="19" t="s">
        <v>2019</v>
      </c>
      <c r="F969" s="20" t="s">
        <v>16</v>
      </c>
      <c r="G969" s="20" t="s">
        <v>17</v>
      </c>
      <c r="H969" s="20" t="s">
        <v>18</v>
      </c>
      <c r="I969" s="19" t="str">
        <f>IMAGE("https://upload.wikimedia.org/wikipedia/commons/a/af/Fucsia_%2836752%29.jpg")</f>
        <v/>
      </c>
    </row>
    <row r="970" ht="36.0" customHeight="1">
      <c r="A970" s="10" t="str">
        <f t="shared" si="132"/>
        <v>AmiGueko</v>
      </c>
      <c r="B970" s="11" t="s">
        <v>2020</v>
      </c>
      <c r="C970" s="12">
        <v>46166.5515625</v>
      </c>
      <c r="D970" s="11" t="s">
        <v>2016</v>
      </c>
      <c r="E970" s="14" t="s">
        <v>2021</v>
      </c>
      <c r="F970" s="15" t="s">
        <v>16</v>
      </c>
      <c r="G970" s="15" t="s">
        <v>17</v>
      </c>
      <c r="H970" s="15" t="s">
        <v>18</v>
      </c>
      <c r="I970" s="14" t="str">
        <f>IMAGE("https://upload.wikimedia.org/wikipedia/commons/f/fa/Fucsia_%2840360%29.jpg")</f>
        <v/>
      </c>
    </row>
    <row r="971" ht="36.0" customHeight="1">
      <c r="A971" s="16" t="str">
        <f>HYPERLINK("https://commons.wikimedia.org/wiki/User:" &amp; ENCODEURL("Dalacuel"), "Dalacuel")</f>
        <v>Dalacuel</v>
      </c>
      <c r="B971" s="17" t="s">
        <v>2022</v>
      </c>
      <c r="C971" s="18">
        <v>46194.5987962963</v>
      </c>
      <c r="D971" s="17" t="s">
        <v>2023</v>
      </c>
      <c r="E971" s="19" t="s">
        <v>2024</v>
      </c>
      <c r="F971" s="20" t="s">
        <v>16</v>
      </c>
      <c r="G971" s="20" t="s">
        <v>17</v>
      </c>
      <c r="H971" s="20" t="s">
        <v>18</v>
      </c>
      <c r="I971" s="19" t="str">
        <f>IMAGE("https://upload.wikimedia.org/wikipedia/commons/0/0f/Fucsia_andina.jpg")</f>
        <v/>
      </c>
    </row>
    <row r="972" ht="36.0" customHeight="1">
      <c r="A972" s="10" t="str">
        <f>HYPERLINK("https://commons.wikimedia.org/wiki/User:" &amp; ENCODEURL("Anvar2420"), "Anvar2420")</f>
        <v>Anvar2420</v>
      </c>
      <c r="B972" s="11" t="s">
        <v>2025</v>
      </c>
      <c r="C972" s="12">
        <v>46163.55678240741</v>
      </c>
      <c r="D972" s="11" t="s">
        <v>2026</v>
      </c>
      <c r="E972" s="14" t="s">
        <v>29</v>
      </c>
      <c r="F972" s="14" t="s">
        <v>30</v>
      </c>
      <c r="G972" s="15" t="s">
        <v>17</v>
      </c>
      <c r="H972" s="15" t="s">
        <v>18</v>
      </c>
      <c r="I972" s="14" t="str">
        <f>IMAGE("https://upload.wikimedia.org/wikipedia/commons/4/48/Fucsia_arb%C3%B3rea.jpg")</f>
        <v/>
      </c>
    </row>
    <row r="973" ht="36.0" customHeight="1">
      <c r="A973" s="16" t="str">
        <f>HYPERLINK("https://commons.wikimedia.org/wiki/User:" &amp; ENCODEURL("DeibyJk"), "DeibyJk")</f>
        <v>DeibyJk</v>
      </c>
      <c r="B973" s="17" t="s">
        <v>2027</v>
      </c>
      <c r="C973" s="18">
        <v>46166.94190972222</v>
      </c>
      <c r="D973" s="17" t="s">
        <v>158</v>
      </c>
      <c r="E973" s="19" t="s">
        <v>29</v>
      </c>
      <c r="F973" s="19" t="s">
        <v>30</v>
      </c>
      <c r="G973" s="20" t="s">
        <v>17</v>
      </c>
      <c r="H973" s="20" t="s">
        <v>18</v>
      </c>
      <c r="I973" s="19" t="str">
        <f>IMAGE("https://upload.wikimedia.org/wikipedia/commons/4/4c/Fucsiashuila_05.jpg")</f>
        <v/>
      </c>
    </row>
    <row r="974" ht="36.0" customHeight="1">
      <c r="A974" s="10" t="str">
        <f>HYPERLINK("https://commons.wikimedia.org/wiki/User:" &amp; ENCODEURL("KingJo09"), "KingJo09")</f>
        <v>KingJo09</v>
      </c>
      <c r="B974" s="11" t="s">
        <v>2028</v>
      </c>
      <c r="C974" s="12">
        <v>46165.89083333333</v>
      </c>
      <c r="D974" s="11" t="s">
        <v>2029</v>
      </c>
      <c r="E974" s="14" t="s">
        <v>1220</v>
      </c>
      <c r="F974" s="15" t="s">
        <v>16</v>
      </c>
      <c r="G974" s="15" t="s">
        <v>17</v>
      </c>
      <c r="H974" s="15" t="s">
        <v>18</v>
      </c>
      <c r="I974" s="14" t="str">
        <f>IMAGE("https://upload.wikimedia.org/wikipedia/commons/7/71/Fuego_de_Jard%C3%ADn.jpg")</f>
        <v/>
      </c>
    </row>
    <row r="975" ht="36.0" customHeight="1">
      <c r="A975" s="16" t="str">
        <f>HYPERLINK("https://commons.wikimedia.org/wiki/User:" &amp; ENCODEURL("AntonioEliseo"), "AntonioEliseo")</f>
        <v>AntonioEliseo</v>
      </c>
      <c r="B975" s="17" t="s">
        <v>2030</v>
      </c>
      <c r="C975" s="18">
        <v>46203.84140046296</v>
      </c>
      <c r="D975" s="17" t="s">
        <v>2031</v>
      </c>
      <c r="E975" s="19" t="s">
        <v>2032</v>
      </c>
      <c r="F975" s="20" t="s">
        <v>16</v>
      </c>
      <c r="G975" s="20" t="s">
        <v>17</v>
      </c>
      <c r="H975" s="20" t="s">
        <v>18</v>
      </c>
      <c r="I975" s="19" t="str">
        <f>IMAGE("https://upload.wikimedia.org/wikipedia/commons/f/fe/F%C3%B3sil_de_Didymotis_sp._del_Grupo_Villeta.jpg")</f>
        <v/>
      </c>
    </row>
    <row r="976" ht="36.0" customHeight="1">
      <c r="A976" s="10" t="str">
        <f>HYPERLINK("https://commons.wikimedia.org/wiki/User:" &amp; ENCODEURL("Aldairsalas 2006"), "Aldairsalas 2006")</f>
        <v>Aldairsalas 2006</v>
      </c>
      <c r="B976" s="11" t="s">
        <v>2033</v>
      </c>
      <c r="C976" s="12">
        <v>46147.412199074075</v>
      </c>
      <c r="D976" s="11" t="s">
        <v>2034</v>
      </c>
      <c r="E976" s="14" t="s">
        <v>29</v>
      </c>
      <c r="F976" s="14" t="s">
        <v>30</v>
      </c>
      <c r="G976" s="15" t="s">
        <v>17</v>
      </c>
      <c r="H976" s="15" t="s">
        <v>18</v>
      </c>
      <c r="I976" s="14" t="str">
        <f>IMAGE("https://upload.wikimedia.org/wikipedia/commons/e/e0/Gallinazo_La_convenci%C3%B3n%2C_cusco.jpg")</f>
        <v/>
      </c>
    </row>
    <row r="977" ht="36.0" customHeight="1">
      <c r="A977" s="16" t="str">
        <f>HYPERLINK("https://commons.wikimedia.org/wiki/User:" &amp; ENCODEURL("Jcast07"), "Jcast07")</f>
        <v>Jcast07</v>
      </c>
      <c r="B977" s="17" t="s">
        <v>2035</v>
      </c>
      <c r="C977" s="18">
        <v>46198.806759259256</v>
      </c>
      <c r="D977" s="17" t="s">
        <v>2036</v>
      </c>
      <c r="E977" s="19" t="s">
        <v>2037</v>
      </c>
      <c r="F977" s="20" t="s">
        <v>16</v>
      </c>
      <c r="G977" s="20" t="s">
        <v>17</v>
      </c>
      <c r="H977" s="20" t="s">
        <v>18</v>
      </c>
      <c r="I977" s="19" t="str">
        <f>IMAGE("https://upload.wikimedia.org/wikipedia/commons/4/4a/Gallinazo_en_poste_de_luz.png")</f>
        <v/>
      </c>
    </row>
    <row r="978" ht="36.0" customHeight="1">
      <c r="A978" s="10" t="str">
        <f>HYPERLINK("https://commons.wikimedia.org/wiki/User:" &amp; ENCODEURL("Aldairsalas 2006"), "Aldairsalas 2006")</f>
        <v>Aldairsalas 2006</v>
      </c>
      <c r="B978" s="11" t="s">
        <v>2038</v>
      </c>
      <c r="C978" s="12">
        <v>46147.412199074075</v>
      </c>
      <c r="D978" s="11" t="s">
        <v>2039</v>
      </c>
      <c r="E978" s="14" t="s">
        <v>29</v>
      </c>
      <c r="F978" s="14" t="s">
        <v>30</v>
      </c>
      <c r="G978" s="15" t="s">
        <v>17</v>
      </c>
      <c r="H978" s="15" t="s">
        <v>18</v>
      </c>
      <c r="I978" s="14" t="str">
        <f>IMAGE("https://upload.wikimedia.org/wikipedia/commons/9/92/Gallito_ser_las_rocas%2C_cusco.jpg")</f>
        <v/>
      </c>
    </row>
    <row r="979" ht="36.0" customHeight="1">
      <c r="A979" s="16" t="str">
        <f>HYPERLINK("https://commons.wikimedia.org/wiki/User:" &amp; ENCODEURL("Mig.ast20"), "Mig.ast20")</f>
        <v>Mig.ast20</v>
      </c>
      <c r="B979" s="17" t="s">
        <v>2040</v>
      </c>
      <c r="C979" s="18">
        <v>46163.56998842592</v>
      </c>
      <c r="D979" s="17" t="s">
        <v>2041</v>
      </c>
      <c r="E979" s="19" t="s">
        <v>29</v>
      </c>
      <c r="F979" s="19" t="s">
        <v>30</v>
      </c>
      <c r="G979" s="20" t="s">
        <v>17</v>
      </c>
      <c r="H979" s="20" t="s">
        <v>18</v>
      </c>
      <c r="I979" s="19" t="str">
        <f>IMAGE("https://upload.wikimedia.org/wikipedia/commons/f/f0/Galopando_en_el_llano.jpg")</f>
        <v/>
      </c>
    </row>
    <row r="980" ht="36.0" customHeight="1">
      <c r="A980" s="10" t="str">
        <f>HYPERLINK("https://commons.wikimedia.org/wiki/User:" &amp; ENCODEURL("Mat1318"), "Mat1318")</f>
        <v>Mat1318</v>
      </c>
      <c r="B980" s="11" t="s">
        <v>2042</v>
      </c>
      <c r="C980" s="12">
        <v>46193.813993055555</v>
      </c>
      <c r="D980" s="11" t="s">
        <v>2043</v>
      </c>
      <c r="E980" s="14" t="s">
        <v>2044</v>
      </c>
      <c r="F980" s="15" t="s">
        <v>16</v>
      </c>
      <c r="G980" s="15" t="s">
        <v>17</v>
      </c>
      <c r="H980" s="15" t="s">
        <v>18</v>
      </c>
      <c r="I980" s="14" t="str">
        <f>IMAGE("https://upload.wikimedia.org/wikipedia/commons/5/56/Galvanes_%28Cachira_N.S%29.jpg")</f>
        <v/>
      </c>
    </row>
    <row r="981" ht="36.0" customHeight="1">
      <c r="A981" s="16" t="str">
        <f>HYPERLINK("https://commons.wikimedia.org/wiki/User:" &amp; ENCODEURL("Willandre1194"), "Willandre1194")</f>
        <v>Willandre1194</v>
      </c>
      <c r="B981" s="17" t="s">
        <v>2045</v>
      </c>
      <c r="C981" s="18">
        <v>46155.66091435185</v>
      </c>
      <c r="D981" s="17" t="s">
        <v>2046</v>
      </c>
      <c r="E981" s="19" t="s">
        <v>29</v>
      </c>
      <c r="F981" s="19" t="s">
        <v>30</v>
      </c>
      <c r="G981" s="20" t="s">
        <v>17</v>
      </c>
      <c r="H981" s="20" t="s">
        <v>18</v>
      </c>
      <c r="I981" s="19" t="str">
        <f>IMAGE("https://upload.wikimedia.org/wikipedia/commons/7/71/Ganado_en_La_uni%C3%B3n%2C_Valle_del_Cauca.jpg")</f>
        <v/>
      </c>
    </row>
    <row r="982" ht="36.0" customHeight="1">
      <c r="A982" s="10" t="str">
        <f>HYPERLINK("https://commons.wikimedia.org/wiki/User:" &amp; ENCODEURL("Nbareschu"), "Nbareschu")</f>
        <v>Nbareschu</v>
      </c>
      <c r="B982" s="11" t="s">
        <v>2047</v>
      </c>
      <c r="C982" s="12">
        <v>46149.42119212963</v>
      </c>
      <c r="D982" s="11" t="s">
        <v>2048</v>
      </c>
      <c r="E982" s="14" t="s">
        <v>2049</v>
      </c>
      <c r="F982" s="15" t="s">
        <v>16</v>
      </c>
      <c r="G982" s="15" t="s">
        <v>17</v>
      </c>
      <c r="H982" s="15" t="s">
        <v>18</v>
      </c>
      <c r="I982" s="14" t="str">
        <f>IMAGE("https://upload.wikimedia.org/wikipedia/commons/6/66/Gaque_doble.jpg")</f>
        <v/>
      </c>
    </row>
    <row r="983" ht="36.0" customHeight="1">
      <c r="A983" s="16" t="str">
        <f>HYPERLINK("https://commons.wikimedia.org/wiki/User:" &amp; ENCODEURL("Oscarvelascomora"), "Oscarvelascomora")</f>
        <v>Oscarvelascomora</v>
      </c>
      <c r="B983" s="17" t="s">
        <v>2050</v>
      </c>
      <c r="C983" s="18">
        <v>46151.683171296296</v>
      </c>
      <c r="D983" s="17" t="s">
        <v>2051</v>
      </c>
      <c r="E983" s="19" t="s">
        <v>29</v>
      </c>
      <c r="F983" s="19" t="s">
        <v>30</v>
      </c>
      <c r="G983" s="20" t="s">
        <v>17</v>
      </c>
      <c r="H983" s="20" t="s">
        <v>18</v>
      </c>
      <c r="I983" s="19" t="str">
        <f>IMAGE("https://upload.wikimedia.org/wikipedia/commons/9/9d/Garza_Real_rio_la_Vieja.jpg")</f>
        <v/>
      </c>
    </row>
    <row r="984" ht="36.0" customHeight="1">
      <c r="A984" s="10" t="str">
        <f>HYPERLINK("https://commons.wikimedia.org/wiki/User:" &amp; ENCODEURL("Romauribe"), "Romauribe")</f>
        <v>Romauribe</v>
      </c>
      <c r="B984" s="11" t="s">
        <v>2052</v>
      </c>
      <c r="C984" s="12">
        <v>46179.55605324074</v>
      </c>
      <c r="D984" s="11" t="s">
        <v>2053</v>
      </c>
      <c r="E984" s="14" t="s">
        <v>2054</v>
      </c>
      <c r="F984" s="15" t="s">
        <v>16</v>
      </c>
      <c r="G984" s="15" t="s">
        <v>17</v>
      </c>
      <c r="H984" s="15" t="s">
        <v>18</v>
      </c>
      <c r="I984" s="14" t="str">
        <f>IMAGE("https://upload.wikimedia.org/wikipedia/commons/2/22/Garza_blanca_en_Paipa%2C_Colombia.jpg")</f>
        <v/>
      </c>
    </row>
    <row r="985" ht="36.0" customHeight="1">
      <c r="A985" s="16" t="str">
        <f>HYPERLINK("https://commons.wikimedia.org/wiki/User:" &amp; ENCODEURL("XRkstudiox"), "XRkstudiox")</f>
        <v>XRkstudiox</v>
      </c>
      <c r="B985" s="17" t="s">
        <v>2055</v>
      </c>
      <c r="C985" s="18">
        <v>46203.71457175926</v>
      </c>
      <c r="D985" s="17" t="s">
        <v>2056</v>
      </c>
      <c r="E985" s="19" t="s">
        <v>29</v>
      </c>
      <c r="F985" s="19" t="s">
        <v>30</v>
      </c>
      <c r="G985" s="20" t="s">
        <v>17</v>
      </c>
      <c r="H985" s="20" t="s">
        <v>18</v>
      </c>
      <c r="I985" s="19" t="str">
        <f>IMAGE("https://upload.wikimedia.org/wikipedia/commons/2/26/Gaviota_Reidora_-_Chroicocephalus_ridibundus.jpg")</f>
        <v/>
      </c>
    </row>
    <row r="986" ht="36.0" customHeight="1">
      <c r="A986" s="10" t="str">
        <f>HYPERLINK("https://commons.wikimedia.org/wiki/User:" &amp; ENCODEURL("Dalacuel"), "Dalacuel")</f>
        <v>Dalacuel</v>
      </c>
      <c r="B986" s="11" t="s">
        <v>2057</v>
      </c>
      <c r="C986" s="12">
        <v>46194.59884259259</v>
      </c>
      <c r="D986" s="11" t="s">
        <v>2058</v>
      </c>
      <c r="E986" s="14" t="s">
        <v>2059</v>
      </c>
      <c r="F986" s="15" t="s">
        <v>16</v>
      </c>
      <c r="G986" s="15" t="s">
        <v>17</v>
      </c>
      <c r="H986" s="15" t="s">
        <v>18</v>
      </c>
      <c r="I986" s="14" t="str">
        <f>IMAGE("https://upload.wikimedia.org/wikipedia/commons/f/ff/Gazania_amarilla.jpg")</f>
        <v/>
      </c>
    </row>
    <row r="987" ht="36.0" customHeight="1">
      <c r="A987" s="16" t="str">
        <f>HYPERLINK("https://commons.wikimedia.org/wiki/User:" &amp; ENCODEURL("Atomini"), "Atomini")</f>
        <v>Atomini</v>
      </c>
      <c r="B987" s="17" t="s">
        <v>2060</v>
      </c>
      <c r="C987" s="18">
        <v>46203.445069444446</v>
      </c>
      <c r="D987" s="17" t="s">
        <v>2061</v>
      </c>
      <c r="E987" s="19" t="s">
        <v>29</v>
      </c>
      <c r="F987" s="19" t="s">
        <v>30</v>
      </c>
      <c r="G987" s="20" t="s">
        <v>17</v>
      </c>
      <c r="H987" s="20" t="s">
        <v>18</v>
      </c>
      <c r="I987" s="19" t="str">
        <f>IMAGE("https://upload.wikimedia.org/wikipedia/commons/d/d1/Gazania_flower_with_water_droplets.jpg")</f>
        <v/>
      </c>
    </row>
    <row r="988" ht="36.0" customHeight="1">
      <c r="A988" s="10" t="str">
        <f>HYPERLINK("https://commons.wikimedia.org/wiki/User:" &amp; ENCODEURL("Mar 21DS"), "Mar 21DS")</f>
        <v>Mar 21DS</v>
      </c>
      <c r="B988" s="11" t="s">
        <v>2062</v>
      </c>
      <c r="C988" s="12">
        <v>46163.524930555555</v>
      </c>
      <c r="D988" s="11" t="s">
        <v>2063</v>
      </c>
      <c r="E988" s="14" t="s">
        <v>29</v>
      </c>
      <c r="F988" s="14" t="s">
        <v>30</v>
      </c>
      <c r="G988" s="15" t="s">
        <v>17</v>
      </c>
      <c r="H988" s="15" t="s">
        <v>18</v>
      </c>
      <c r="I988" s="14" t="str">
        <f>IMAGE("https://upload.wikimedia.org/wikipedia/commons/5/56/Geranio_%28Pelargonium%29.jpg")</f>
        <v/>
      </c>
    </row>
    <row r="989" ht="36.0" customHeight="1">
      <c r="A989" s="16" t="str">
        <f>HYPERLINK("https://commons.wikimedia.org/wiki/User:" &amp; ENCODEURL("Dalacuel"), "Dalacuel")</f>
        <v>Dalacuel</v>
      </c>
      <c r="B989" s="17" t="s">
        <v>2064</v>
      </c>
      <c r="C989" s="18">
        <v>46194.598761574074</v>
      </c>
      <c r="D989" s="17" t="s">
        <v>2065</v>
      </c>
      <c r="E989" s="19" t="s">
        <v>2066</v>
      </c>
      <c r="F989" s="20" t="s">
        <v>16</v>
      </c>
      <c r="G989" s="20" t="s">
        <v>17</v>
      </c>
      <c r="H989" s="20" t="s">
        <v>18</v>
      </c>
      <c r="I989" s="19" t="str">
        <f>IMAGE("https://upload.wikimedia.org/wikipedia/commons/e/e0/Gerbera_blanca.jpg")</f>
        <v/>
      </c>
    </row>
    <row r="990" ht="36.0" customHeight="1">
      <c r="A990" s="10" t="str">
        <f>HYPERLINK("https://commons.wikimedia.org/wiki/User:" &amp; ENCODEURL("Mottenpriesterin"), "Mottenpriesterin")</f>
        <v>Mottenpriesterin</v>
      </c>
      <c r="B990" s="11" t="s">
        <v>2067</v>
      </c>
      <c r="C990" s="12">
        <v>46202.91986111111</v>
      </c>
      <c r="D990" s="11" t="s">
        <v>2068</v>
      </c>
      <c r="E990" s="14" t="s">
        <v>29</v>
      </c>
      <c r="F990" s="14" t="s">
        <v>30</v>
      </c>
      <c r="G990" s="15" t="s">
        <v>17</v>
      </c>
      <c r="H990" s="15" t="s">
        <v>18</v>
      </c>
      <c r="I990" s="14" t="str">
        <f>IMAGE("https://upload.wikimedia.org/wikipedia/commons/7/71/Giant_Dragon_Fruit_Blossom_%28Selenicereus%29%2C_near_Bogot%C3%A1%2C_2025.jpg")</f>
        <v/>
      </c>
    </row>
    <row r="991" ht="36.0" customHeight="1">
      <c r="A991" s="16" t="str">
        <f>HYPERLINK("https://commons.wikimedia.org/wiki/User:" &amp; ENCODEURL("JinM143"), "JinM143")</f>
        <v>JinM143</v>
      </c>
      <c r="B991" s="17" t="s">
        <v>2069</v>
      </c>
      <c r="C991" s="18">
        <v>46163.54335648148</v>
      </c>
      <c r="D991" s="17" t="s">
        <v>2070</v>
      </c>
      <c r="E991" s="19" t="s">
        <v>29</v>
      </c>
      <c r="F991" s="19" t="s">
        <v>30</v>
      </c>
      <c r="G991" s="20" t="s">
        <v>17</v>
      </c>
      <c r="H991" s="20" t="s">
        <v>18</v>
      </c>
      <c r="I991" s="19" t="str">
        <f>IMAGE("https://upload.wikimedia.org/wikipedia/commons/3/3d/Ginko_biloba_-_Julian_Barrera.jpg")</f>
        <v/>
      </c>
    </row>
    <row r="992" ht="36.0" customHeight="1">
      <c r="A992" s="10" t="str">
        <f>HYPERLINK("https://commons.wikimedia.org/wiki/User:" &amp; ENCODEURL("Juan Carlos Sáenz Rodríguez"), "Juan Carlos Sáenz Rodríguez")</f>
        <v>Juan Carlos Sáenz Rodríguez</v>
      </c>
      <c r="B992" s="11" t="s">
        <v>2071</v>
      </c>
      <c r="C992" s="12">
        <v>46194.583136574074</v>
      </c>
      <c r="D992" s="11" t="s">
        <v>2072</v>
      </c>
      <c r="E992" s="14" t="s">
        <v>29</v>
      </c>
      <c r="F992" s="14" t="s">
        <v>30</v>
      </c>
      <c r="G992" s="15" t="s">
        <v>17</v>
      </c>
      <c r="H992" s="15" t="s">
        <v>18</v>
      </c>
      <c r="I992" s="14" t="str">
        <f>IMAGE("https://upload.wikimedia.org/wikipedia/commons/d/d5/Girasol%2C_Guacamayas.jpg")</f>
        <v/>
      </c>
    </row>
    <row r="993" ht="36.0" customHeight="1">
      <c r="A993" s="16" t="str">
        <f>HYPERLINK("https://commons.wikimedia.org/wiki/User:" &amp; ENCODEURL("AmiGueko"), "AmiGueko")</f>
        <v>AmiGueko</v>
      </c>
      <c r="B993" s="17" t="s">
        <v>2073</v>
      </c>
      <c r="C993" s="18">
        <v>46177.876226851855</v>
      </c>
      <c r="D993" s="17" t="s">
        <v>2074</v>
      </c>
      <c r="E993" s="19" t="s">
        <v>103</v>
      </c>
      <c r="F993" s="20" t="s">
        <v>16</v>
      </c>
      <c r="G993" s="20" t="s">
        <v>17</v>
      </c>
      <c r="H993" s="20" t="s">
        <v>18</v>
      </c>
      <c r="I993" s="19" t="str">
        <f>IMAGE("https://upload.wikimedia.org/wikipedia/commons/5/57/Glandulas_ceiba_amarilla.jpg")</f>
        <v/>
      </c>
    </row>
    <row r="994" ht="36.0" customHeight="1">
      <c r="A994" s="10" t="str">
        <f>HYPERLINK("https://commons.wikimedia.org/wiki/User:" &amp; ENCODEURL("Dayrana Daniela Celedon Gamez"), "Dayrana Daniela Celedon Gamez")</f>
        <v>Dayrana Daniela Celedon Gamez</v>
      </c>
      <c r="B994" s="11" t="s">
        <v>2075</v>
      </c>
      <c r="C994" s="12">
        <v>46167.655636574076</v>
      </c>
      <c r="D994" s="11" t="s">
        <v>2076</v>
      </c>
      <c r="E994" s="14" t="s">
        <v>29</v>
      </c>
      <c r="F994" s="14" t="s">
        <v>30</v>
      </c>
      <c r="G994" s="15" t="s">
        <v>17</v>
      </c>
      <c r="H994" s="15" t="s">
        <v>18</v>
      </c>
      <c r="I994" s="14" t="str">
        <f>IMAGE("https://upload.wikimedia.org/wikipedia/commons/5/52/Glaucidium_brasilianum%2C_Colombia.jpg")</f>
        <v/>
      </c>
    </row>
    <row r="995" ht="36.0" customHeight="1">
      <c r="A995" s="16" t="str">
        <f>HYPERLINK("https://commons.wikimedia.org/wiki/User:" &amp; ENCODEURL("Supertita"), "Supertita")</f>
        <v>Supertita</v>
      </c>
      <c r="B995" s="17" t="s">
        <v>2077</v>
      </c>
      <c r="C995" s="18">
        <v>46192.60920138889</v>
      </c>
      <c r="D995" s="17" t="s">
        <v>2078</v>
      </c>
      <c r="E995" s="19" t="s">
        <v>604</v>
      </c>
      <c r="F995" s="20" t="s">
        <v>16</v>
      </c>
      <c r="G995" s="20" t="s">
        <v>17</v>
      </c>
      <c r="H995" s="20" t="s">
        <v>18</v>
      </c>
      <c r="I995" s="19" t="str">
        <f>IMAGE("https://upload.wikimedia.org/wikipedia/commons/0/0e/Golden_Kangaroo_Paw_%28Anigozanthos_pulcherrimus%29.tif")</f>
        <v/>
      </c>
    </row>
    <row r="996" ht="36.0" customHeight="1">
      <c r="A996" s="10" t="str">
        <f>HYPERLINK("https://commons.wikimedia.org/wiki/User:" &amp; ENCODEURL("Jhoan Bravo"), "Jhoan Bravo")</f>
        <v>Jhoan Bravo</v>
      </c>
      <c r="B996" s="11" t="s">
        <v>2079</v>
      </c>
      <c r="C996" s="12">
        <v>46202.513877314814</v>
      </c>
      <c r="D996" s="11" t="s">
        <v>2080</v>
      </c>
      <c r="E996" s="14" t="s">
        <v>29</v>
      </c>
      <c r="F996" s="14" t="s">
        <v>30</v>
      </c>
      <c r="G996" s="15" t="s">
        <v>17</v>
      </c>
      <c r="H996" s="15" t="s">
        <v>18</v>
      </c>
      <c r="I996" s="14" t="str">
        <f>IMAGE("https://upload.wikimedia.org/wikipedia/commons/9/9f/Golofa_sp._male_in_Nari%C3%B1o%2C_Colombia.jpg")</f>
        <v/>
      </c>
    </row>
    <row r="997" ht="36.0" customHeight="1">
      <c r="A997" s="16" t="str">
        <f>HYPERLINK("https://commons.wikimedia.org/wiki/User:" &amp; ENCODEURL("Nbareschu"), "Nbareschu")</f>
        <v>Nbareschu</v>
      </c>
      <c r="B997" s="17" t="s">
        <v>2081</v>
      </c>
      <c r="C997" s="18">
        <v>46149.42122685185</v>
      </c>
      <c r="D997" s="17" t="s">
        <v>2082</v>
      </c>
      <c r="E997" s="19" t="s">
        <v>2083</v>
      </c>
      <c r="F997" s="20" t="s">
        <v>16</v>
      </c>
      <c r="G997" s="20" t="s">
        <v>17</v>
      </c>
      <c r="H997" s="20" t="s">
        <v>18</v>
      </c>
      <c r="I997" s="19" t="str">
        <f>IMAGE("https://upload.wikimedia.org/wikipedia/commons/4/4e/Gordonia_en_la_reserva_el_gualiv%C3%A1.jpg")</f>
        <v/>
      </c>
    </row>
    <row r="998" ht="36.0" customHeight="1">
      <c r="A998" s="10" t="str">
        <f>HYPERLINK("https://commons.wikimedia.org/wiki/User:" &amp; ENCODEURL("Laura Milena Moyano Bautista"), "Laura Milena Moyano Bautista")</f>
        <v>Laura Milena Moyano Bautista</v>
      </c>
      <c r="B998" s="11" t="s">
        <v>2084</v>
      </c>
      <c r="C998" s="12">
        <v>46163.88868055555</v>
      </c>
      <c r="D998" s="11" t="s">
        <v>2085</v>
      </c>
      <c r="E998" s="14" t="s">
        <v>29</v>
      </c>
      <c r="F998" s="14" t="s">
        <v>30</v>
      </c>
      <c r="G998" s="15" t="s">
        <v>17</v>
      </c>
      <c r="H998" s="15" t="s">
        <v>18</v>
      </c>
      <c r="I998" s="14" t="str">
        <f>IMAGE("https://upload.wikimedia.org/wikipedia/commons/2/23/Gota_de_agua_2026.jpg")</f>
        <v/>
      </c>
    </row>
    <row r="999" ht="36.0" customHeight="1">
      <c r="A999" s="16" t="str">
        <f t="shared" ref="A999:A1000" si="133">HYPERLINK("https://commons.wikimedia.org/wiki/User:" &amp; ENCODEURL("Charlesjsharp"), "Charlesjsharp")</f>
        <v>Charlesjsharp</v>
      </c>
      <c r="B999" s="17" t="s">
        <v>2086</v>
      </c>
      <c r="C999" s="18">
        <v>46171.64865740741</v>
      </c>
      <c r="D999" s="17" t="s">
        <v>2087</v>
      </c>
      <c r="E999" s="19" t="s">
        <v>554</v>
      </c>
      <c r="F999" s="20" t="s">
        <v>16</v>
      </c>
      <c r="G999" s="20" t="s">
        <v>17</v>
      </c>
      <c r="H999" s="20" t="s">
        <v>18</v>
      </c>
      <c r="I999" s="19" t="str">
        <f>IMAGE("https://upload.wikimedia.org/wikipedia/commons/e/e0/Green-and-black_fruiteater_%28Pipreola_riefferii_riefferii%29_Caldas_2.jpg")</f>
        <v/>
      </c>
    </row>
    <row r="1000" ht="36.0" customHeight="1">
      <c r="A1000" s="10" t="str">
        <f t="shared" si="133"/>
        <v>Charlesjsharp</v>
      </c>
      <c r="B1000" s="11" t="s">
        <v>2088</v>
      </c>
      <c r="C1000" s="12">
        <v>46171.651712962965</v>
      </c>
      <c r="D1000" s="11" t="s">
        <v>2089</v>
      </c>
      <c r="E1000" s="14" t="s">
        <v>2090</v>
      </c>
      <c r="F1000" s="15" t="s">
        <v>16</v>
      </c>
      <c r="G1000" s="15" t="s">
        <v>17</v>
      </c>
      <c r="H1000" s="15" t="s">
        <v>18</v>
      </c>
      <c r="I1000" s="14" t="str">
        <f>IMAGE("https://upload.wikimedia.org/wikipedia/commons/a/ae/Grey-breasted_mountain_toucan_%28Andigena_hypoglauca%29_Caldas_5.jpg")</f>
        <v/>
      </c>
    </row>
    <row r="1001" ht="36.0" customHeight="1">
      <c r="A1001" s="16" t="str">
        <f>HYPERLINK("https://commons.wikimedia.org/wiki/User:" &amp; ENCODEURL("AmiGueko"), "AmiGueko")</f>
        <v>AmiGueko</v>
      </c>
      <c r="B1001" s="17" t="s">
        <v>2091</v>
      </c>
      <c r="C1001" s="18">
        <v>46165.93434027778</v>
      </c>
      <c r="D1001" s="17" t="s">
        <v>2092</v>
      </c>
      <c r="E1001" s="19" t="s">
        <v>2093</v>
      </c>
      <c r="F1001" s="20" t="s">
        <v>16</v>
      </c>
      <c r="G1001" s="20" t="s">
        <v>17</v>
      </c>
      <c r="H1001" s="20" t="s">
        <v>18</v>
      </c>
      <c r="I1001" s="19" t="str">
        <f>IMAGE("https://upload.wikimedia.org/wikipedia/commons/a/a9/Grillo_%2839545%29.jpg")</f>
        <v/>
      </c>
    </row>
    <row r="1002" ht="36.0" customHeight="1">
      <c r="A1002" s="10" t="str">
        <f>HYPERLINK("https://commons.wikimedia.org/wiki/User:" &amp; ENCODEURL("Estudiante0001"), "Estudiante0001")</f>
        <v>Estudiante0001</v>
      </c>
      <c r="B1002" s="11" t="s">
        <v>2094</v>
      </c>
      <c r="C1002" s="12">
        <v>46163.517013888886</v>
      </c>
      <c r="D1002" s="11" t="s">
        <v>2095</v>
      </c>
      <c r="E1002" s="14" t="s">
        <v>29</v>
      </c>
      <c r="F1002" s="14" t="s">
        <v>30</v>
      </c>
      <c r="G1002" s="15" t="s">
        <v>17</v>
      </c>
      <c r="H1002" s="15" t="s">
        <v>18</v>
      </c>
      <c r="I1002" s="14" t="str">
        <f>IMAGE("https://upload.wikimedia.org/wikipedia/commons/3/3d/Grillo_posado_en_una_hoja.jpg")</f>
        <v/>
      </c>
    </row>
    <row r="1003" ht="36.0" customHeight="1">
      <c r="A1003" s="16" t="str">
        <f>HYPERLINK("https://commons.wikimedia.org/wiki/User:" &amp; ENCODEURL("Jhas24.09"), "Jhas24.09")</f>
        <v>Jhas24.09</v>
      </c>
      <c r="B1003" s="17" t="s">
        <v>2096</v>
      </c>
      <c r="C1003" s="18">
        <v>46160.10125</v>
      </c>
      <c r="D1003" s="17" t="s">
        <v>2097</v>
      </c>
      <c r="E1003" s="19" t="s">
        <v>29</v>
      </c>
      <c r="F1003" s="19" t="s">
        <v>30</v>
      </c>
      <c r="G1003" s="20" t="s">
        <v>17</v>
      </c>
      <c r="H1003" s="20" t="s">
        <v>18</v>
      </c>
      <c r="I1003" s="19" t="str">
        <f>IMAGE("https://upload.wikimedia.org/wikipedia/commons/f/fb/Grillo_posando_en_una_hoja.jpg")</f>
        <v/>
      </c>
    </row>
    <row r="1004" ht="36.0" customHeight="1">
      <c r="A1004" s="10" t="str">
        <f>HYPERLINK("https://commons.wikimedia.org/wiki/User:" &amp; ENCODEURL("IvanVillacorte"), "IvanVillacorte")</f>
        <v>IvanVillacorte</v>
      </c>
      <c r="B1004" s="11" t="s">
        <v>2098</v>
      </c>
      <c r="C1004" s="12">
        <v>46162.826631944445</v>
      </c>
      <c r="D1004" s="11" t="s">
        <v>2099</v>
      </c>
      <c r="E1004" s="14" t="s">
        <v>29</v>
      </c>
      <c r="F1004" s="14" t="s">
        <v>30</v>
      </c>
      <c r="G1004" s="15" t="s">
        <v>17</v>
      </c>
      <c r="H1004" s="15" t="s">
        <v>18</v>
      </c>
      <c r="I1004" s="14" t="str">
        <f>IMAGE("https://upload.wikimedia.org/wikipedia/commons/c/cf/Grupo_de_Spinus_magellanicus_en_vegetaci%C3%B3n_arbustiva.jpg")</f>
        <v/>
      </c>
    </row>
    <row r="1005" ht="36.0" customHeight="1">
      <c r="A1005" s="16" t="str">
        <f>HYPERLINK("https://commons.wikimedia.org/wiki/User:" &amp; ENCODEURL("Karumain"), "Karumain")</f>
        <v>Karumain</v>
      </c>
      <c r="B1005" s="17" t="s">
        <v>2100</v>
      </c>
      <c r="C1005" s="18">
        <v>46163.55967592593</v>
      </c>
      <c r="D1005" s="17" t="s">
        <v>2101</v>
      </c>
      <c r="E1005" s="19" t="s">
        <v>29</v>
      </c>
      <c r="F1005" s="19" t="s">
        <v>30</v>
      </c>
      <c r="G1005" s="20" t="s">
        <v>17</v>
      </c>
      <c r="H1005" s="20" t="s">
        <v>18</v>
      </c>
      <c r="I1005" s="19" t="str">
        <f>IMAGE("https://upload.wikimedia.org/wikipedia/commons/d/dd/Grupo_de_flores_p%C3%BArpuras.jpg")</f>
        <v/>
      </c>
    </row>
    <row r="1006" ht="36.0" customHeight="1">
      <c r="A1006" s="10" t="str">
        <f>HYPERLINK("https://commons.wikimedia.org/wiki/User:" &amp; ENCODEURL("Daijiruu"), "Daijiruu")</f>
        <v>Daijiruu</v>
      </c>
      <c r="B1006" s="11" t="s">
        <v>2102</v>
      </c>
      <c r="C1006" s="12">
        <v>46163.52804398148</v>
      </c>
      <c r="D1006" s="11" t="s">
        <v>2103</v>
      </c>
      <c r="E1006" s="14" t="s">
        <v>29</v>
      </c>
      <c r="F1006" s="14" t="s">
        <v>30</v>
      </c>
      <c r="G1006" s="15" t="s">
        <v>17</v>
      </c>
      <c r="H1006" s="15" t="s">
        <v>18</v>
      </c>
      <c r="I1006" s="14" t="str">
        <f>IMAGE("https://upload.wikimedia.org/wikipedia/commons/2/2d/Guacamaya_Colombiana.jpg")</f>
        <v/>
      </c>
    </row>
    <row r="1007" ht="36.0" customHeight="1">
      <c r="A1007" s="16" t="str">
        <f t="shared" ref="A1007:A1008" si="134">HYPERLINK("https://commons.wikimedia.org/wiki/User:" &amp; ENCODEURL("XRkstudiox"), "XRkstudiox")</f>
        <v>XRkstudiox</v>
      </c>
      <c r="B1007" s="17" t="s">
        <v>2104</v>
      </c>
      <c r="C1007" s="18">
        <v>46203.71469907407</v>
      </c>
      <c r="D1007" s="17" t="s">
        <v>415</v>
      </c>
      <c r="E1007" s="19" t="s">
        <v>29</v>
      </c>
      <c r="F1007" s="19" t="s">
        <v>30</v>
      </c>
      <c r="G1007" s="20" t="s">
        <v>17</v>
      </c>
      <c r="H1007" s="20" t="s">
        <v>18</v>
      </c>
      <c r="I1007" s="19" t="str">
        <f>IMAGE("https://upload.wikimedia.org/wikipedia/commons/3/36/Guacamayo_Escarlata_-_Ara_macao.jpg")</f>
        <v/>
      </c>
    </row>
    <row r="1008" ht="36.0" customHeight="1">
      <c r="A1008" s="10" t="str">
        <f t="shared" si="134"/>
        <v>XRkstudiox</v>
      </c>
      <c r="B1008" s="11" t="s">
        <v>2105</v>
      </c>
      <c r="C1008" s="12">
        <v>46203.71462962963</v>
      </c>
      <c r="D1008" s="11" t="s">
        <v>415</v>
      </c>
      <c r="E1008" s="14" t="s">
        <v>29</v>
      </c>
      <c r="F1008" s="14" t="s">
        <v>30</v>
      </c>
      <c r="G1008" s="15" t="s">
        <v>17</v>
      </c>
      <c r="H1008" s="15" t="s">
        <v>18</v>
      </c>
      <c r="I1008" s="14" t="str">
        <f>IMAGE("https://upload.wikimedia.org/wikipedia/commons/c/c6/Guacamayo_azul_y_amarillo_-_Ara_ararauna.jpg")</f>
        <v/>
      </c>
    </row>
    <row r="1009" ht="36.0" customHeight="1">
      <c r="A1009" s="16" t="str">
        <f t="shared" ref="A1009:A1011" si="135">HYPERLINK("https://commons.wikimedia.org/wiki/User:" &amp; ENCODEURL("AmiGueko"), "AmiGueko")</f>
        <v>AmiGueko</v>
      </c>
      <c r="B1009" s="17" t="s">
        <v>2106</v>
      </c>
      <c r="C1009" s="18">
        <v>46177.89833333333</v>
      </c>
      <c r="D1009" s="17" t="s">
        <v>2107</v>
      </c>
      <c r="E1009" s="19" t="s">
        <v>2108</v>
      </c>
      <c r="F1009" s="20" t="s">
        <v>16</v>
      </c>
      <c r="G1009" s="20" t="s">
        <v>17</v>
      </c>
      <c r="H1009" s="20" t="s">
        <v>18</v>
      </c>
      <c r="I1009" s="19" t="str">
        <f>IMAGE("https://upload.wikimedia.org/wikipedia/commons/5/51/Guaco1.jpg")</f>
        <v/>
      </c>
    </row>
    <row r="1010" ht="36.0" customHeight="1">
      <c r="A1010" s="10" t="str">
        <f t="shared" si="135"/>
        <v>AmiGueko</v>
      </c>
      <c r="B1010" s="11" t="s">
        <v>2109</v>
      </c>
      <c r="C1010" s="12">
        <v>46177.898356481484</v>
      </c>
      <c r="D1010" s="11" t="s">
        <v>2107</v>
      </c>
      <c r="E1010" s="14" t="s">
        <v>2108</v>
      </c>
      <c r="F1010" s="15" t="s">
        <v>16</v>
      </c>
      <c r="G1010" s="15" t="s">
        <v>17</v>
      </c>
      <c r="H1010" s="15" t="s">
        <v>18</v>
      </c>
      <c r="I1010" s="14" t="str">
        <f>IMAGE("https://upload.wikimedia.org/wikipedia/commons/4/4a/Guaco2.jpg")</f>
        <v/>
      </c>
    </row>
    <row r="1011" ht="36.0" customHeight="1">
      <c r="A1011" s="16" t="str">
        <f t="shared" si="135"/>
        <v>AmiGueko</v>
      </c>
      <c r="B1011" s="17" t="s">
        <v>2110</v>
      </c>
      <c r="C1011" s="18">
        <v>46177.87621527778</v>
      </c>
      <c r="D1011" s="17" t="s">
        <v>2111</v>
      </c>
      <c r="E1011" s="19" t="s">
        <v>103</v>
      </c>
      <c r="F1011" s="20" t="s">
        <v>16</v>
      </c>
      <c r="G1011" s="20" t="s">
        <v>17</v>
      </c>
      <c r="H1011" s="20" t="s">
        <v>18</v>
      </c>
      <c r="I1011" s="19" t="str">
        <f>IMAGE("https://upload.wikimedia.org/wikipedia/commons/e/ea/Guaco_mayo_de_2026.jpg")</f>
        <v/>
      </c>
    </row>
    <row r="1012" ht="36.0" customHeight="1">
      <c r="A1012" s="10" t="str">
        <f t="shared" ref="A1012:A1013" si="136">HYPERLINK("https://commons.wikimedia.org/wiki/User:" &amp; ENCODEURL("Joseeem"), "Joseeem")</f>
        <v>Joseeem</v>
      </c>
      <c r="B1012" s="11" t="s">
        <v>2112</v>
      </c>
      <c r="C1012" s="12">
        <v>46156.94497685185</v>
      </c>
      <c r="D1012" s="11" t="s">
        <v>2113</v>
      </c>
      <c r="E1012" s="14" t="s">
        <v>29</v>
      </c>
      <c r="F1012" s="14" t="s">
        <v>30</v>
      </c>
      <c r="G1012" s="15" t="s">
        <v>17</v>
      </c>
      <c r="H1012" s="15" t="s">
        <v>18</v>
      </c>
      <c r="I1012" s="14" t="str">
        <f>IMAGE("https://upload.wikimedia.org/wikipedia/commons/2/27/Guajira_Beaches.jpg")</f>
        <v/>
      </c>
    </row>
    <row r="1013" ht="36.0" customHeight="1">
      <c r="A1013" s="16" t="str">
        <f t="shared" si="136"/>
        <v>Joseeem</v>
      </c>
      <c r="B1013" s="17" t="s">
        <v>2114</v>
      </c>
      <c r="C1013" s="18">
        <v>46156.94501157408</v>
      </c>
      <c r="D1013" s="17" t="s">
        <v>2115</v>
      </c>
      <c r="E1013" s="19" t="s">
        <v>29</v>
      </c>
      <c r="F1013" s="19" t="s">
        <v>30</v>
      </c>
      <c r="G1013" s="20" t="s">
        <v>17</v>
      </c>
      <c r="H1013" s="20" t="s">
        <v>18</v>
      </c>
      <c r="I1013" s="19" t="str">
        <f>IMAGE("https://upload.wikimedia.org/wikipedia/commons/a/a2/Guajira_Colombia.jpg")</f>
        <v/>
      </c>
    </row>
    <row r="1014" ht="36.0" customHeight="1">
      <c r="A1014" s="10" t="str">
        <f>HYPERLINK("https://commons.wikimedia.org/wiki/User:" &amp; ENCODEURL("Oscarvelascomora"), "Oscarvelascomora")</f>
        <v>Oscarvelascomora</v>
      </c>
      <c r="B1014" s="11" t="s">
        <v>2116</v>
      </c>
      <c r="C1014" s="12">
        <v>46151.683125</v>
      </c>
      <c r="D1014" s="11" t="s">
        <v>2117</v>
      </c>
      <c r="E1014" s="14" t="s">
        <v>29</v>
      </c>
      <c r="F1014" s="14" t="s">
        <v>30</v>
      </c>
      <c r="G1014" s="15" t="s">
        <v>17</v>
      </c>
      <c r="H1014" s="15" t="s">
        <v>18</v>
      </c>
      <c r="I1014" s="14" t="str">
        <f>IMAGE("https://upload.wikimedia.org/wikipedia/commons/7/76/Guajira_desierto.jpg")</f>
        <v/>
      </c>
    </row>
    <row r="1015" ht="36.0" customHeight="1">
      <c r="A1015" s="16" t="str">
        <f>HYPERLINK("https://commons.wikimedia.org/wiki/User:" &amp; ENCODEURL("AmiGueko"), "AmiGueko")</f>
        <v>AmiGueko</v>
      </c>
      <c r="B1015" s="17" t="s">
        <v>2118</v>
      </c>
      <c r="C1015" s="18">
        <v>46178.395949074074</v>
      </c>
      <c r="D1015" s="17" t="s">
        <v>2119</v>
      </c>
      <c r="E1015" s="19" t="s">
        <v>103</v>
      </c>
      <c r="F1015" s="20" t="s">
        <v>16</v>
      </c>
      <c r="G1015" s="20" t="s">
        <v>17</v>
      </c>
      <c r="H1015" s="20" t="s">
        <v>18</v>
      </c>
      <c r="I1015" s="19" t="str">
        <f>IMAGE("https://upload.wikimedia.org/wikipedia/commons/6/62/Guama_mayo_de_2026.jpg")</f>
        <v/>
      </c>
    </row>
    <row r="1016" ht="36.0" customHeight="1">
      <c r="A1016" s="10" t="str">
        <f>HYPERLINK("https://commons.wikimedia.org/wiki/User:" &amp; ENCODEURL("LentedeBerilo"), "LentedeBerilo")</f>
        <v>LentedeBerilo</v>
      </c>
      <c r="B1016" s="11" t="s">
        <v>2120</v>
      </c>
      <c r="C1016" s="12">
        <v>46190.74193287037</v>
      </c>
      <c r="D1016" s="11" t="s">
        <v>2121</v>
      </c>
      <c r="E1016" s="14" t="s">
        <v>2122</v>
      </c>
      <c r="F1016" s="15" t="s">
        <v>16</v>
      </c>
      <c r="G1016" s="15" t="s">
        <v>17</v>
      </c>
      <c r="H1016" s="15" t="s">
        <v>18</v>
      </c>
      <c r="I1016" s="14" t="str">
        <f>IMAGE("https://upload.wikimedia.org/wikipedia/commons/3/30/Guardianes_del_agua_en_el_PNN_Purac%C3%A9.jpg")</f>
        <v/>
      </c>
    </row>
    <row r="1017" ht="36.0" customHeight="1">
      <c r="A1017" s="16" t="str">
        <f t="shared" ref="A1017:A1022" si="137">HYPERLINK("https://commons.wikimedia.org/wiki/User:" &amp; ENCODEURL("Claudia.L Rueda.L"), "Claudia.L Rueda.L")</f>
        <v>Claudia.L Rueda.L</v>
      </c>
      <c r="B1017" s="17" t="s">
        <v>2123</v>
      </c>
      <c r="C1017" s="18">
        <v>46167.522361111114</v>
      </c>
      <c r="D1017" s="17" t="s">
        <v>2124</v>
      </c>
      <c r="E1017" s="19" t="s">
        <v>29</v>
      </c>
      <c r="F1017" s="19" t="s">
        <v>30</v>
      </c>
      <c r="G1017" s="20" t="s">
        <v>17</v>
      </c>
      <c r="H1017" s="20" t="s">
        <v>18</v>
      </c>
      <c r="I1017" s="19" t="str">
        <f>IMAGE("https://upload.wikimedia.org/wikipedia/commons/8/8f/Guardianes_del_piedemonte_llanero_01.png")</f>
        <v/>
      </c>
    </row>
    <row r="1018" ht="36.0" customHeight="1">
      <c r="A1018" s="10" t="str">
        <f t="shared" si="137"/>
        <v>Claudia.L Rueda.L</v>
      </c>
      <c r="B1018" s="11" t="s">
        <v>2125</v>
      </c>
      <c r="C1018" s="12">
        <v>46167.52239583333</v>
      </c>
      <c r="D1018" s="11" t="s">
        <v>2124</v>
      </c>
      <c r="E1018" s="14" t="s">
        <v>29</v>
      </c>
      <c r="F1018" s="14" t="s">
        <v>30</v>
      </c>
      <c r="G1018" s="15" t="s">
        <v>17</v>
      </c>
      <c r="H1018" s="15" t="s">
        <v>18</v>
      </c>
      <c r="I1018" s="14" t="str">
        <f>IMAGE("https://upload.wikimedia.org/wikipedia/commons/9/96/Guardianes_del_piedemonte_llanero_02.png")</f>
        <v/>
      </c>
    </row>
    <row r="1019" ht="36.0" customHeight="1">
      <c r="A1019" s="16" t="str">
        <f t="shared" si="137"/>
        <v>Claudia.L Rueda.L</v>
      </c>
      <c r="B1019" s="17" t="s">
        <v>2126</v>
      </c>
      <c r="C1019" s="18">
        <v>46167.522372685184</v>
      </c>
      <c r="D1019" s="17" t="s">
        <v>2127</v>
      </c>
      <c r="E1019" s="19" t="s">
        <v>29</v>
      </c>
      <c r="F1019" s="19" t="s">
        <v>30</v>
      </c>
      <c r="G1019" s="20" t="s">
        <v>17</v>
      </c>
      <c r="H1019" s="20" t="s">
        <v>18</v>
      </c>
      <c r="I1019" s="19" t="str">
        <f>IMAGE("https://upload.wikimedia.org/wikipedia/commons/1/1c/Guardianes_del_piedemonte_llanero_03.png")</f>
        <v/>
      </c>
    </row>
    <row r="1020" ht="36.0" customHeight="1">
      <c r="A1020" s="10" t="str">
        <f t="shared" si="137"/>
        <v>Claudia.L Rueda.L</v>
      </c>
      <c r="B1020" s="11" t="s">
        <v>2128</v>
      </c>
      <c r="C1020" s="12">
        <v>46167.52241898148</v>
      </c>
      <c r="D1020" s="11" t="s">
        <v>2127</v>
      </c>
      <c r="E1020" s="14" t="s">
        <v>29</v>
      </c>
      <c r="F1020" s="14" t="s">
        <v>30</v>
      </c>
      <c r="G1020" s="15" t="s">
        <v>17</v>
      </c>
      <c r="H1020" s="15" t="s">
        <v>18</v>
      </c>
      <c r="I1020" s="14" t="str">
        <f>IMAGE("https://upload.wikimedia.org/wikipedia/commons/d/de/Guardianes_del_piedemonte_llanero_04.png")</f>
        <v/>
      </c>
    </row>
    <row r="1021" ht="36.0" customHeight="1">
      <c r="A1021" s="16" t="str">
        <f t="shared" si="137"/>
        <v>Claudia.L Rueda.L</v>
      </c>
      <c r="B1021" s="17" t="s">
        <v>2129</v>
      </c>
      <c r="C1021" s="18">
        <v>46167.52245370371</v>
      </c>
      <c r="D1021" s="17" t="s">
        <v>2130</v>
      </c>
      <c r="E1021" s="19" t="s">
        <v>29</v>
      </c>
      <c r="F1021" s="19" t="s">
        <v>30</v>
      </c>
      <c r="G1021" s="20" t="s">
        <v>17</v>
      </c>
      <c r="H1021" s="20" t="s">
        <v>18</v>
      </c>
      <c r="I1021" s="19" t="str">
        <f>IMAGE("https://upload.wikimedia.org/wikipedia/commons/2/2e/Guardianes_del_piedemonte_llanero_05.png")</f>
        <v/>
      </c>
    </row>
    <row r="1022" ht="36.0" customHeight="1">
      <c r="A1022" s="10" t="str">
        <f t="shared" si="137"/>
        <v>Claudia.L Rueda.L</v>
      </c>
      <c r="B1022" s="11" t="s">
        <v>2131</v>
      </c>
      <c r="C1022" s="12">
        <v>46167.52244212963</v>
      </c>
      <c r="D1022" s="11" t="s">
        <v>2130</v>
      </c>
      <c r="E1022" s="14" t="s">
        <v>29</v>
      </c>
      <c r="F1022" s="14" t="s">
        <v>30</v>
      </c>
      <c r="G1022" s="15" t="s">
        <v>17</v>
      </c>
      <c r="H1022" s="15" t="s">
        <v>18</v>
      </c>
      <c r="I1022" s="14" t="str">
        <f>IMAGE("https://upload.wikimedia.org/wikipedia/commons/0/01/Guardianes_del_piedemonte_llanero_06.png")</f>
        <v/>
      </c>
    </row>
    <row r="1023" ht="36.0" customHeight="1">
      <c r="A1023" s="16" t="str">
        <f>HYPERLINK("https://commons.wikimedia.org/wiki/User:" &amp; ENCODEURL("Halleyuncometafotografo"), "Halleyuncometafotografo")</f>
        <v>Halleyuncometafotografo</v>
      </c>
      <c r="B1023" s="17" t="s">
        <v>2132</v>
      </c>
      <c r="C1023" s="18">
        <v>46203.89847222222</v>
      </c>
      <c r="D1023" s="17" t="s">
        <v>2133</v>
      </c>
      <c r="E1023" s="19" t="s">
        <v>2134</v>
      </c>
      <c r="F1023" s="20" t="s">
        <v>16</v>
      </c>
      <c r="G1023" s="20" t="s">
        <v>17</v>
      </c>
      <c r="H1023" s="20" t="s">
        <v>18</v>
      </c>
      <c r="I1023" s="19" t="str">
        <f>IMAGE("https://upload.wikimedia.org/wikipedia/commons/f/fa/Guardianes_en_familia.jpg")</f>
        <v/>
      </c>
    </row>
    <row r="1024" ht="36.0" customHeight="1">
      <c r="A1024" s="10" t="str">
        <f>HYPERLINK("https://commons.wikimedia.org/wiki/User:" &amp; ENCODEURL("Maarianacruzm"), "Maarianacruzm")</f>
        <v>Maarianacruzm</v>
      </c>
      <c r="B1024" s="11" t="s">
        <v>2135</v>
      </c>
      <c r="C1024" s="12">
        <v>46203.98012731481</v>
      </c>
      <c r="D1024" s="11" t="s">
        <v>2136</v>
      </c>
      <c r="E1024" s="14" t="s">
        <v>29</v>
      </c>
      <c r="F1024" s="14" t="s">
        <v>30</v>
      </c>
      <c r="G1024" s="15" t="s">
        <v>17</v>
      </c>
      <c r="H1024" s="15" t="s">
        <v>18</v>
      </c>
      <c r="I1024" s="14" t="str">
        <f>IMAGE("https://upload.wikimedia.org/wikipedia/commons/0/07/Guardi%C3%A1n_de_las_alturas_Paramunas.jpg")</f>
        <v/>
      </c>
    </row>
    <row r="1025" ht="36.0" customHeight="1">
      <c r="A1025" s="16" t="str">
        <f>HYPERLINK("https://commons.wikimedia.org/wiki/User:" &amp; ENCODEURL("Allysami2215"), "Allysami2215")</f>
        <v>Allysami2215</v>
      </c>
      <c r="B1025" s="17" t="s">
        <v>2137</v>
      </c>
      <c r="C1025" s="18">
        <v>46147.85181712963</v>
      </c>
      <c r="D1025" s="17" t="s">
        <v>2138</v>
      </c>
      <c r="E1025" s="19" t="s">
        <v>29</v>
      </c>
      <c r="F1025" s="19" t="s">
        <v>30</v>
      </c>
      <c r="G1025" s="20" t="s">
        <v>17</v>
      </c>
      <c r="H1025" s="20" t="s">
        <v>18</v>
      </c>
      <c r="I1025" s="19" t="str">
        <f>IMAGE("https://upload.wikimedia.org/wikipedia/commons/4/44/Guatape_mirador.jpg")</f>
        <v/>
      </c>
    </row>
    <row r="1026" ht="36.0" customHeight="1">
      <c r="A1026" s="10" t="str">
        <f>HYPERLINK("https://commons.wikimedia.org/wiki/User:" &amp; ENCODEURL("AmiGueko"), "AmiGueko")</f>
        <v>AmiGueko</v>
      </c>
      <c r="B1026" s="11" t="s">
        <v>2139</v>
      </c>
      <c r="C1026" s="12">
        <v>46151.28508101852</v>
      </c>
      <c r="D1026" s="11" t="s">
        <v>2140</v>
      </c>
      <c r="E1026" s="14" t="s">
        <v>2141</v>
      </c>
      <c r="F1026" s="15" t="s">
        <v>16</v>
      </c>
      <c r="G1026" s="15" t="s">
        <v>17</v>
      </c>
      <c r="H1026" s="15" t="s">
        <v>18</v>
      </c>
      <c r="I1026" s="14" t="str">
        <f>IMAGE("https://upload.wikimedia.org/wikipedia/commons/f/ff/Guayac%C3%A1n_amarillo.jpg")</f>
        <v/>
      </c>
    </row>
    <row r="1027" ht="36.0" customHeight="1">
      <c r="A1027" s="16" t="str">
        <f t="shared" ref="A1027:A1028" si="138">HYPERLINK("https://commons.wikimedia.org/wiki/User:" &amp; ENCODEURL("Nathaly 1106"), "Nathaly 1106")</f>
        <v>Nathaly 1106</v>
      </c>
      <c r="B1027" s="17" t="s">
        <v>2142</v>
      </c>
      <c r="C1027" s="18">
        <v>46147.67114583333</v>
      </c>
      <c r="D1027" s="17" t="s">
        <v>2143</v>
      </c>
      <c r="E1027" s="19" t="s">
        <v>29</v>
      </c>
      <c r="F1027" s="19" t="s">
        <v>30</v>
      </c>
      <c r="G1027" s="20" t="s">
        <v>17</v>
      </c>
      <c r="H1027" s="20" t="s">
        <v>18</v>
      </c>
      <c r="I1027" s="19" t="str">
        <f>IMAGE("https://upload.wikimedia.org/wikipedia/commons/1/19/Guayac%C3%A1n_de_Manizales.jpg")</f>
        <v/>
      </c>
    </row>
    <row r="1028" ht="36.0" customHeight="1">
      <c r="A1028" s="10" t="str">
        <f t="shared" si="138"/>
        <v>Nathaly 1106</v>
      </c>
      <c r="B1028" s="11" t="s">
        <v>2144</v>
      </c>
      <c r="C1028" s="12">
        <v>46147.62671296296</v>
      </c>
      <c r="D1028" s="11" t="s">
        <v>2145</v>
      </c>
      <c r="E1028" s="14" t="s">
        <v>29</v>
      </c>
      <c r="F1028" s="14" t="s">
        <v>30</v>
      </c>
      <c r="G1028" s="15" t="s">
        <v>17</v>
      </c>
      <c r="H1028" s="15" t="s">
        <v>18</v>
      </c>
      <c r="I1028" s="14" t="str">
        <f>IMAGE("https://upload.wikimedia.org/wikipedia/commons/4/40/Guayac%C3%A1n_de_Manizales_%28Lythraceae%29.jpg")</f>
        <v/>
      </c>
    </row>
    <row r="1029" ht="36.0" customHeight="1">
      <c r="A1029" s="16" t="str">
        <f>HYPERLINK("https://commons.wikimedia.org/wiki/User:" &amp; ENCODEURL("Juan Carlos Sáenz Rodríguez"), "Juan Carlos Sáenz Rodríguez")</f>
        <v>Juan Carlos Sáenz Rodríguez</v>
      </c>
      <c r="B1029" s="17" t="s">
        <v>2146</v>
      </c>
      <c r="C1029" s="18">
        <v>46194.583287037036</v>
      </c>
      <c r="D1029" s="17" t="s">
        <v>2147</v>
      </c>
      <c r="E1029" s="19" t="s">
        <v>29</v>
      </c>
      <c r="F1029" s="19" t="s">
        <v>30</v>
      </c>
      <c r="G1029" s="20" t="s">
        <v>17</v>
      </c>
      <c r="H1029" s="20" t="s">
        <v>18</v>
      </c>
      <c r="I1029" s="19" t="str">
        <f>IMAGE("https://upload.wikimedia.org/wikipedia/commons/6/69/Guayac%C3%A1n_rosado.jpg")</f>
        <v/>
      </c>
    </row>
    <row r="1030" ht="36.0" customHeight="1">
      <c r="A1030" s="10" t="str">
        <f t="shared" ref="A1030:A1032" si="139">HYPERLINK("https://commons.wikimedia.org/wiki/User:" &amp; ENCODEURL("AmiGueko"), "AmiGueko")</f>
        <v>AmiGueko</v>
      </c>
      <c r="B1030" s="11" t="s">
        <v>2148</v>
      </c>
      <c r="C1030" s="12">
        <v>46166.588587962964</v>
      </c>
      <c r="D1030" s="11" t="s">
        <v>2149</v>
      </c>
      <c r="E1030" s="14" t="s">
        <v>2150</v>
      </c>
      <c r="F1030" s="15" t="s">
        <v>16</v>
      </c>
      <c r="G1030" s="15" t="s">
        <v>17</v>
      </c>
      <c r="H1030" s="15" t="s">
        <v>18</v>
      </c>
      <c r="I1030" s="14" t="str">
        <f>IMAGE("https://upload.wikimedia.org/wikipedia/commons/4/4c/Gusano_medidor.jpg")</f>
        <v/>
      </c>
    </row>
    <row r="1031" ht="36.0" customHeight="1">
      <c r="A1031" s="16" t="str">
        <f t="shared" si="139"/>
        <v>AmiGueko</v>
      </c>
      <c r="B1031" s="17" t="s">
        <v>2151</v>
      </c>
      <c r="C1031" s="18">
        <v>46166.58877314815</v>
      </c>
      <c r="D1031" s="17" t="s">
        <v>2149</v>
      </c>
      <c r="E1031" s="19" t="s">
        <v>2152</v>
      </c>
      <c r="F1031" s="20" t="s">
        <v>16</v>
      </c>
      <c r="G1031" s="20" t="s">
        <v>17</v>
      </c>
      <c r="H1031" s="20" t="s">
        <v>18</v>
      </c>
      <c r="I1031" s="19" t="str">
        <f>IMAGE("https://upload.wikimedia.org/wikipedia/commons/e/e7/Gusano_medidor_%2830062%29.jpg")</f>
        <v/>
      </c>
    </row>
    <row r="1032" ht="36.0" customHeight="1">
      <c r="A1032" s="10" t="str">
        <f t="shared" si="139"/>
        <v>AmiGueko</v>
      </c>
      <c r="B1032" s="11" t="s">
        <v>2153</v>
      </c>
      <c r="C1032" s="12">
        <v>46166.58868055556</v>
      </c>
      <c r="D1032" s="11" t="s">
        <v>2149</v>
      </c>
      <c r="E1032" s="14" t="s">
        <v>2154</v>
      </c>
      <c r="F1032" s="15" t="s">
        <v>16</v>
      </c>
      <c r="G1032" s="15" t="s">
        <v>17</v>
      </c>
      <c r="H1032" s="15" t="s">
        <v>18</v>
      </c>
      <c r="I1032" s="14" t="str">
        <f>IMAGE("https://upload.wikimedia.org/wikipedia/commons/8/83/Gusano_medidor_%2891486%29.jpg")</f>
        <v/>
      </c>
    </row>
    <row r="1033" ht="36.0" customHeight="1">
      <c r="A1033" s="16" t="str">
        <f>HYPERLINK("https://commons.wikimedia.org/wiki/User:" &amp; ENCODEURL("Mathias David P"), "Mathias David P")</f>
        <v>Mathias David P</v>
      </c>
      <c r="B1033" s="17" t="s">
        <v>2155</v>
      </c>
      <c r="C1033" s="18">
        <v>46201.75438657407</v>
      </c>
      <c r="D1033" s="17" t="s">
        <v>2156</v>
      </c>
      <c r="E1033" s="19" t="s">
        <v>29</v>
      </c>
      <c r="F1033" s="19" t="s">
        <v>30</v>
      </c>
      <c r="G1033" s="20" t="s">
        <v>17</v>
      </c>
      <c r="H1033" s="20" t="s">
        <v>18</v>
      </c>
      <c r="I1033" s="19" t="str">
        <f>IMAGE("https://upload.wikimedia.org/wikipedia/commons/3/3c/Gusano_rojo_me_observa.png")</f>
        <v/>
      </c>
    </row>
    <row r="1034" ht="36.0" customHeight="1">
      <c r="A1034" s="10" t="str">
        <f>HYPERLINK("https://commons.wikimedia.org/wiki/User:" &amp; ENCODEURL("Nbareschu"), "Nbareschu")</f>
        <v>Nbareschu</v>
      </c>
      <c r="B1034" s="11" t="s">
        <v>2157</v>
      </c>
      <c r="C1034" s="12">
        <v>46149.42136574074</v>
      </c>
      <c r="D1034" s="11" t="s">
        <v>2158</v>
      </c>
      <c r="E1034" s="14" t="s">
        <v>2159</v>
      </c>
      <c r="F1034" s="15" t="s">
        <v>16</v>
      </c>
      <c r="G1034" s="15" t="s">
        <v>17</v>
      </c>
      <c r="H1034" s="15" t="s">
        <v>18</v>
      </c>
      <c r="I1034" s="14" t="str">
        <f>IMAGE("https://upload.wikimedia.org/wikipedia/commons/d/d6/Guzmania_reserva_Moravia.jpg")</f>
        <v/>
      </c>
    </row>
    <row r="1035" ht="36.0" customHeight="1">
      <c r="A1035" s="16" t="str">
        <f>HYPERLINK("https://commons.wikimedia.org/wiki/User:" &amp; ENCODEURL("Eumastacidae"), "Eumastacidae")</f>
        <v>Eumastacidae</v>
      </c>
      <c r="B1035" s="17" t="s">
        <v>2160</v>
      </c>
      <c r="C1035" s="18">
        <v>46163.54549768518</v>
      </c>
      <c r="D1035" s="17" t="s">
        <v>2161</v>
      </c>
      <c r="E1035" s="19" t="s">
        <v>29</v>
      </c>
      <c r="F1035" s="19" t="s">
        <v>30</v>
      </c>
      <c r="G1035" s="20" t="s">
        <v>17</v>
      </c>
      <c r="H1035" s="20" t="s">
        <v>18</v>
      </c>
      <c r="I1035" s="19" t="str">
        <f>IMAGE("https://upload.wikimedia.org/wikipedia/commons/4/4c/Guzmania_sp._en_el_JBB.jpg")</f>
        <v/>
      </c>
    </row>
    <row r="1036" ht="36.0" customHeight="1">
      <c r="A1036" s="10" t="str">
        <f>HYPERLINK("https://commons.wikimedia.org/wiki/User:" &amp; ENCODEURL("LentedeBerilo"), "LentedeBerilo")</f>
        <v>LentedeBerilo</v>
      </c>
      <c r="B1036" s="11" t="s">
        <v>2162</v>
      </c>
      <c r="C1036" s="12">
        <v>46190.74181712963</v>
      </c>
      <c r="D1036" s="11" t="s">
        <v>2163</v>
      </c>
      <c r="E1036" s="14" t="s">
        <v>2164</v>
      </c>
      <c r="F1036" s="15" t="s">
        <v>16</v>
      </c>
      <c r="G1036" s="15" t="s">
        <v>17</v>
      </c>
      <c r="H1036" s="15" t="s">
        <v>18</v>
      </c>
      <c r="I1036" s="14" t="str">
        <f>IMAGE("https://upload.wikimedia.org/wikipedia/commons/1/13/Habitantes_de_la_marea_en_Gorgona.jpg")</f>
        <v/>
      </c>
    </row>
    <row r="1037" ht="36.0" customHeight="1">
      <c r="A1037" s="16" t="str">
        <f>HYPERLINK("https://commons.wikimedia.org/wiki/User:" &amp; ENCODEURL("Nathaly 1106"), "Nathaly 1106")</f>
        <v>Nathaly 1106</v>
      </c>
      <c r="B1037" s="17" t="s">
        <v>2165</v>
      </c>
      <c r="C1037" s="18">
        <v>46148.61923611111</v>
      </c>
      <c r="D1037" s="17" t="s">
        <v>2166</v>
      </c>
      <c r="E1037" s="19" t="s">
        <v>29</v>
      </c>
      <c r="F1037" s="19" t="s">
        <v>30</v>
      </c>
      <c r="G1037" s="20" t="s">
        <v>17</v>
      </c>
      <c r="H1037" s="20" t="s">
        <v>18</v>
      </c>
      <c r="I1037" s="19" t="str">
        <f>IMAGE("https://upload.wikimedia.org/wikipedia/commons/2/26/Haya_com%C3%BAn_%28Fagus_sylvatica%29.jpg")</f>
        <v/>
      </c>
    </row>
    <row r="1038" ht="36.0" customHeight="1">
      <c r="A1038" s="10" t="str">
        <f>HYPERLINK("https://commons.wikimedia.org/wiki/User:" &amp; ENCODEURL("AmiGueko"), "AmiGueko")</f>
        <v>AmiGueko</v>
      </c>
      <c r="B1038" s="11" t="s">
        <v>2167</v>
      </c>
      <c r="C1038" s="12">
        <v>46177.89834490741</v>
      </c>
      <c r="D1038" s="11" t="s">
        <v>2168</v>
      </c>
      <c r="E1038" s="14" t="s">
        <v>2108</v>
      </c>
      <c r="F1038" s="15" t="s">
        <v>16</v>
      </c>
      <c r="G1038" s="15" t="s">
        <v>17</v>
      </c>
      <c r="H1038" s="15" t="s">
        <v>18</v>
      </c>
      <c r="I1038" s="14" t="str">
        <f>IMAGE("https://upload.wikimedia.org/wikipedia/commons/0/07/Hayo_mayo_de_2026.jpg")</f>
        <v/>
      </c>
    </row>
    <row r="1039" ht="36.0" customHeight="1">
      <c r="A1039" s="16" t="str">
        <f>HYPERLINK("https://commons.wikimedia.org/wiki/User:" &amp; ENCODEURL("AnaPereaRo"), "AnaPereaRo")</f>
        <v>AnaPereaRo</v>
      </c>
      <c r="B1039" s="17" t="s">
        <v>2169</v>
      </c>
      <c r="C1039" s="18">
        <v>46203.979583333334</v>
      </c>
      <c r="D1039" s="17" t="s">
        <v>2170</v>
      </c>
      <c r="E1039" s="19" t="s">
        <v>29</v>
      </c>
      <c r="F1039" s="19" t="s">
        <v>30</v>
      </c>
      <c r="G1039" s="20" t="s">
        <v>17</v>
      </c>
      <c r="H1039" s="20" t="s">
        <v>18</v>
      </c>
      <c r="I1039" s="19" t="str">
        <f>IMAGE("https://upload.wikimedia.org/wikipedia/commons/7/7d/Helecho_-_h%C3%BAmedal_Santa_Mar%C3%ADa_del_Lago%2C_Bogot%C3%A1%2C_Colombia.jpg")</f>
        <v/>
      </c>
    </row>
    <row r="1040" ht="36.0" customHeight="1">
      <c r="A1040" s="10" t="str">
        <f t="shared" ref="A1040:A1041" si="140">HYPERLINK("https://commons.wikimedia.org/wiki/User:" &amp; ENCODEURL("Nathaly 1106"), "Nathaly 1106")</f>
        <v>Nathaly 1106</v>
      </c>
      <c r="B1040" s="11" t="s">
        <v>2171</v>
      </c>
      <c r="C1040" s="12">
        <v>46147.60940972222</v>
      </c>
      <c r="D1040" s="11" t="s">
        <v>2172</v>
      </c>
      <c r="E1040" s="14" t="s">
        <v>29</v>
      </c>
      <c r="F1040" s="14" t="s">
        <v>30</v>
      </c>
      <c r="G1040" s="15" t="s">
        <v>17</v>
      </c>
      <c r="H1040" s="15" t="s">
        <v>18</v>
      </c>
      <c r="I1040" s="14" t="str">
        <f>IMAGE("https://upload.wikimedia.org/wikipedia/commons/c/c2/Helecho_de_Boston_%28Nephrolepis_exaltata%29.jpg")</f>
        <v/>
      </c>
    </row>
    <row r="1041" ht="36.0" customHeight="1">
      <c r="A1041" s="16" t="str">
        <f t="shared" si="140"/>
        <v>Nathaly 1106</v>
      </c>
      <c r="B1041" s="17" t="s">
        <v>2173</v>
      </c>
      <c r="C1041" s="18">
        <v>46147.60938657408</v>
      </c>
      <c r="D1041" s="17" t="s">
        <v>2174</v>
      </c>
      <c r="E1041" s="19" t="s">
        <v>29</v>
      </c>
      <c r="F1041" s="19" t="s">
        <v>30</v>
      </c>
      <c r="G1041" s="20" t="s">
        <v>17</v>
      </c>
      <c r="H1041" s="20" t="s">
        <v>18</v>
      </c>
      <c r="I1041" s="19" t="str">
        <f>IMAGE("https://upload.wikimedia.org/wikipedia/commons/6/62/Helechos_de_Boston_%28Nephrolepis_exaltata%29.jpg")</f>
        <v/>
      </c>
    </row>
    <row r="1042" ht="36.0" customHeight="1">
      <c r="A1042" s="10" t="str">
        <f>HYPERLINK("https://commons.wikimedia.org/wiki/User:" &amp; ENCODEURL("AmiGueko"), "AmiGueko")</f>
        <v>AmiGueko</v>
      </c>
      <c r="B1042" s="11" t="s">
        <v>2175</v>
      </c>
      <c r="C1042" s="12">
        <v>46177.898368055554</v>
      </c>
      <c r="D1042" s="11" t="s">
        <v>2176</v>
      </c>
      <c r="E1042" s="14" t="s">
        <v>2108</v>
      </c>
      <c r="F1042" s="15" t="s">
        <v>16</v>
      </c>
      <c r="G1042" s="15" t="s">
        <v>17</v>
      </c>
      <c r="H1042" s="15" t="s">
        <v>18</v>
      </c>
      <c r="I1042" s="14" t="str">
        <f>IMAGE("https://upload.wikimedia.org/wikipedia/commons/f/f0/Helechos_mayo_2026.jpg")</f>
        <v/>
      </c>
    </row>
    <row r="1043" ht="36.0" customHeight="1">
      <c r="A1043" s="16" t="str">
        <f t="shared" ref="A1043:A1044" si="141">HYPERLINK("https://commons.wikimedia.org/wiki/User:" &amp; ENCODEURL("Supertita"), "Supertita")</f>
        <v>Supertita</v>
      </c>
      <c r="B1043" s="17" t="s">
        <v>2177</v>
      </c>
      <c r="C1043" s="18">
        <v>46191.90542824074</v>
      </c>
      <c r="D1043" s="17" t="s">
        <v>2178</v>
      </c>
      <c r="E1043" s="19" t="s">
        <v>15</v>
      </c>
      <c r="F1043" s="20" t="s">
        <v>16</v>
      </c>
      <c r="G1043" s="20" t="s">
        <v>17</v>
      </c>
      <c r="H1043" s="20" t="s">
        <v>18</v>
      </c>
      <c r="I1043" s="19" t="str">
        <f>IMAGE("https://upload.wikimedia.org/wikipedia/commons/a/ae/Heliconia_psittacorum_-_Heliconiaceae.jpg")</f>
        <v/>
      </c>
    </row>
    <row r="1044" ht="36.0" customHeight="1">
      <c r="A1044" s="10" t="str">
        <f t="shared" si="141"/>
        <v>Supertita</v>
      </c>
      <c r="B1044" s="11" t="s">
        <v>2179</v>
      </c>
      <c r="C1044" s="12">
        <v>46192.65461805555</v>
      </c>
      <c r="D1044" s="11" t="s">
        <v>2180</v>
      </c>
      <c r="E1044" s="14" t="s">
        <v>249</v>
      </c>
      <c r="F1044" s="15" t="s">
        <v>16</v>
      </c>
      <c r="G1044" s="15" t="s">
        <v>17</v>
      </c>
      <c r="H1044" s="15" t="s">
        <v>18</v>
      </c>
      <c r="I1044" s="14" t="str">
        <f>IMAGE("https://upload.wikimedia.org/wikipedia/commons/5/5e/Heliconia_rostrata-Platanillo_colgante.jpg")</f>
        <v/>
      </c>
    </row>
    <row r="1045" ht="36.0" customHeight="1">
      <c r="A1045" s="16" t="str">
        <f>HYPERLINK("https://commons.wikimedia.org/wiki/User:" &amp; ENCODEURL("Nathaly 1106"), "Nathaly 1106")</f>
        <v>Nathaly 1106</v>
      </c>
      <c r="B1045" s="17" t="s">
        <v>2181</v>
      </c>
      <c r="C1045" s="18">
        <v>46146.626655092594</v>
      </c>
      <c r="D1045" s="17" t="s">
        <v>2182</v>
      </c>
      <c r="E1045" s="19" t="s">
        <v>29</v>
      </c>
      <c r="F1045" s="19" t="s">
        <v>30</v>
      </c>
      <c r="G1045" s="20" t="s">
        <v>17</v>
      </c>
      <c r="H1045" s="20" t="s">
        <v>18</v>
      </c>
      <c r="I1045" s="19" t="str">
        <f>IMAGE("https://upload.wikimedia.org/wikipedia/commons/0/07/Heliconia_rostrata_-_Platanillo.jpg")</f>
        <v/>
      </c>
    </row>
    <row r="1046" ht="36.0" customHeight="1">
      <c r="A1046" s="10" t="str">
        <f>HYPERLINK("https://commons.wikimedia.org/wiki/User:" &amp; ENCODEURL("Jukaper23"), "Jukaper23")</f>
        <v>Jukaper23</v>
      </c>
      <c r="B1046" s="11" t="s">
        <v>2183</v>
      </c>
      <c r="C1046" s="12">
        <v>46201.53696759259</v>
      </c>
      <c r="D1046" s="11" t="s">
        <v>2184</v>
      </c>
      <c r="E1046" s="14" t="s">
        <v>29</v>
      </c>
      <c r="F1046" s="14" t="s">
        <v>30</v>
      </c>
      <c r="G1046" s="15" t="s">
        <v>17</v>
      </c>
      <c r="H1046" s="15" t="s">
        <v>18</v>
      </c>
      <c r="I1046" s="14" t="str">
        <f>IMAGE("https://upload.wikimedia.org/wikipedia/commons/8/83/Heliconius_Melpomene_2026-05-24.jpg")</f>
        <v/>
      </c>
    </row>
    <row r="1047" ht="36.0" customHeight="1">
      <c r="A1047" s="16" t="str">
        <f>HYPERLINK("https://commons.wikimedia.org/wiki/User:" &amp; ENCODEURL("Dalacuel"), "Dalacuel")</f>
        <v>Dalacuel</v>
      </c>
      <c r="B1047" s="17" t="s">
        <v>2185</v>
      </c>
      <c r="C1047" s="18">
        <v>46194.598715277774</v>
      </c>
      <c r="D1047" s="17" t="s">
        <v>2186</v>
      </c>
      <c r="E1047" s="19" t="s">
        <v>2187</v>
      </c>
      <c r="F1047" s="20" t="s">
        <v>16</v>
      </c>
      <c r="G1047" s="20" t="s">
        <v>17</v>
      </c>
      <c r="H1047" s="20" t="s">
        <v>18</v>
      </c>
      <c r="I1047" s="19" t="str">
        <f>IMAGE("https://upload.wikimedia.org/wikipedia/commons/4/4b/Heliotropio.jpg")</f>
        <v/>
      </c>
    </row>
    <row r="1048" ht="36.0" customHeight="1">
      <c r="A1048" s="10" t="str">
        <f>HYPERLINK("https://commons.wikimedia.org/wiki/User:" &amp; ENCODEURL("IvanVillacorte"), "IvanVillacorte")</f>
        <v>IvanVillacorte</v>
      </c>
      <c r="B1048" s="11" t="s">
        <v>2188</v>
      </c>
      <c r="C1048" s="12">
        <v>46162.83726851852</v>
      </c>
      <c r="D1048" s="11" t="s">
        <v>2189</v>
      </c>
      <c r="E1048" s="14" t="s">
        <v>29</v>
      </c>
      <c r="F1048" s="14" t="s">
        <v>30</v>
      </c>
      <c r="G1048" s="15" t="s">
        <v>17</v>
      </c>
      <c r="H1048" s="15" t="s">
        <v>18</v>
      </c>
      <c r="I1048" s="14" t="str">
        <f>IMAGE("https://upload.wikimedia.org/wikipedia/commons/b/ba/Hembra_de_Falco_sparverius_en_percha_natural_en_h%C3%A1bitat_abierto.jpg")</f>
        <v/>
      </c>
    </row>
    <row r="1049" ht="36.0" customHeight="1">
      <c r="A1049" s="16" t="str">
        <f>HYPERLINK("https://commons.wikimedia.org/wiki/User:" &amp; ENCODEURL("Sanfelpa"), "Sanfelpa")</f>
        <v>Sanfelpa</v>
      </c>
      <c r="B1049" s="17" t="s">
        <v>2190</v>
      </c>
      <c r="C1049" s="18">
        <v>46194.302719907406</v>
      </c>
      <c r="D1049" s="17" t="s">
        <v>2191</v>
      </c>
      <c r="E1049" s="19" t="s">
        <v>29</v>
      </c>
      <c r="F1049" s="19" t="s">
        <v>30</v>
      </c>
      <c r="G1049" s="20" t="s">
        <v>17</v>
      </c>
      <c r="H1049" s="20" t="s">
        <v>18</v>
      </c>
      <c r="I1049" s="19" t="str">
        <f>IMAGE("https://upload.wikimedia.org/wikipedia/commons/f/f0/Hembra_euphonia_piqigruesa_construyendo_su_nido.jpg")</f>
        <v/>
      </c>
    </row>
    <row r="1050" ht="36.0" customHeight="1">
      <c r="A1050" s="10" t="str">
        <f>HYPERLINK("https://commons.wikimedia.org/wiki/User:" &amp; ENCODEURL("Judcar"), "Judcar")</f>
        <v>Judcar</v>
      </c>
      <c r="B1050" s="11" t="s">
        <v>2192</v>
      </c>
      <c r="C1050" s="12">
        <v>46163.55262731481</v>
      </c>
      <c r="D1050" s="11" t="s">
        <v>2193</v>
      </c>
      <c r="E1050" s="14" t="s">
        <v>29</v>
      </c>
      <c r="F1050" s="14" t="s">
        <v>30</v>
      </c>
      <c r="G1050" s="15" t="s">
        <v>17</v>
      </c>
      <c r="H1050" s="15" t="s">
        <v>18</v>
      </c>
      <c r="I1050" s="14" t="str">
        <f>IMAGE("https://upload.wikimedia.org/wikipedia/commons/5/5a/Hem%C3%ADptero_Magnolia.jpg")</f>
        <v/>
      </c>
    </row>
    <row r="1051" ht="36.0" customHeight="1">
      <c r="A1051" s="16" t="str">
        <f>HYPERLINK("https://commons.wikimedia.org/wiki/User:" &amp; ENCODEURL("Rodrigomacrophoto"), "Rodrigomacrophoto")</f>
        <v>Rodrigomacrophoto</v>
      </c>
      <c r="B1051" s="17" t="s">
        <v>2194</v>
      </c>
      <c r="C1051" s="18">
        <v>46146.83770833333</v>
      </c>
      <c r="D1051" s="17" t="s">
        <v>2195</v>
      </c>
      <c r="E1051" s="19" t="s">
        <v>2196</v>
      </c>
      <c r="F1051" s="20" t="s">
        <v>16</v>
      </c>
      <c r="G1051" s="20" t="s">
        <v>17</v>
      </c>
      <c r="H1051" s="20" t="s">
        <v>18</v>
      </c>
      <c r="I1051" s="19" t="str">
        <f>IMAGE("https://upload.wikimedia.org/wikipedia/commons/4/41/Heranice_sp.jpg")</f>
        <v/>
      </c>
    </row>
    <row r="1052" ht="36.0" customHeight="1">
      <c r="A1052" s="10" t="str">
        <f>HYPERLINK("https://commons.wikimedia.org/wiki/User:" &amp; ENCODEURL("María Victoria Alzate Acevedo"), "María Victoria Alzate Acevedo")</f>
        <v>María Victoria Alzate Acevedo</v>
      </c>
      <c r="B1052" s="11" t="s">
        <v>2197</v>
      </c>
      <c r="C1052" s="12">
        <v>46166.64313657407</v>
      </c>
      <c r="D1052" s="11" t="s">
        <v>2198</v>
      </c>
      <c r="E1052" s="14" t="s">
        <v>29</v>
      </c>
      <c r="F1052" s="14" t="s">
        <v>30</v>
      </c>
      <c r="G1052" s="15" t="s">
        <v>17</v>
      </c>
      <c r="H1052" s="15" t="s">
        <v>18</v>
      </c>
      <c r="I1052" s="14" t="str">
        <f>IMAGE("https://upload.wikimedia.org/wikipedia/commons/c/c5/HERMOSA_IGUANA_COLOMBIA.jpg")</f>
        <v/>
      </c>
    </row>
    <row r="1053" ht="36.0" customHeight="1">
      <c r="A1053" s="16" t="str">
        <f>HYPERLINK("https://commons.wikimedia.org/wiki/User:" &amp; ENCODEURL("Dayrana Daniela Celedon Gamez"), "Dayrana Daniela Celedon Gamez")</f>
        <v>Dayrana Daniela Celedon Gamez</v>
      </c>
      <c r="B1053" s="17" t="s">
        <v>2199</v>
      </c>
      <c r="C1053" s="18">
        <v>46167.655694444446</v>
      </c>
      <c r="D1053" s="17" t="s">
        <v>2200</v>
      </c>
      <c r="E1053" s="19" t="s">
        <v>29</v>
      </c>
      <c r="F1053" s="19" t="s">
        <v>30</v>
      </c>
      <c r="G1053" s="20" t="s">
        <v>17</v>
      </c>
      <c r="H1053" s="20" t="s">
        <v>18</v>
      </c>
      <c r="I1053" s="19" t="str">
        <f>IMAGE("https://upload.wikimedia.org/wikipedia/commons/5/5c/Hesperoburhinus_bistriatus.png")</f>
        <v/>
      </c>
    </row>
    <row r="1054" ht="36.0" customHeight="1">
      <c r="A1054" s="10" t="str">
        <f>HYPERLINK("https://commons.wikimedia.org/wiki/User:" &amp; ENCODEURL("Mar 21DS"), "Mar 21DS")</f>
        <v>Mar 21DS</v>
      </c>
      <c r="B1054" s="11" t="s">
        <v>2201</v>
      </c>
      <c r="C1054" s="12">
        <v>46163.524930555555</v>
      </c>
      <c r="D1054" s="11" t="s">
        <v>2202</v>
      </c>
      <c r="E1054" s="14" t="s">
        <v>29</v>
      </c>
      <c r="F1054" s="14" t="s">
        <v>30</v>
      </c>
      <c r="G1054" s="15" t="s">
        <v>17</v>
      </c>
      <c r="H1054" s="15" t="s">
        <v>18</v>
      </c>
      <c r="I1054" s="14" t="str">
        <f>IMAGE("https://upload.wikimedia.org/wikipedia/commons/5/5d/Hibisco_%28Hibiscus_rosa-sinensis%29.jpg")</f>
        <v/>
      </c>
    </row>
    <row r="1055" ht="36.0" customHeight="1">
      <c r="A1055" s="16" t="str">
        <f>HYPERLINK("https://commons.wikimedia.org/wiki/User:" &amp; ENCODEURL("Supertita"), "Supertita")</f>
        <v>Supertita</v>
      </c>
      <c r="B1055" s="17" t="s">
        <v>2203</v>
      </c>
      <c r="C1055" s="18">
        <v>46191.90545138889</v>
      </c>
      <c r="D1055" s="17" t="s">
        <v>2204</v>
      </c>
      <c r="E1055" s="19" t="s">
        <v>15</v>
      </c>
      <c r="F1055" s="20" t="s">
        <v>16</v>
      </c>
      <c r="G1055" s="20" t="s">
        <v>17</v>
      </c>
      <c r="H1055" s="20" t="s">
        <v>18</v>
      </c>
      <c r="I1055" s="19" t="str">
        <f>IMAGE("https://upload.wikimedia.org/wikipedia/commons/1/11/Hibiscus_plant_in_the_early_stages_of_blooming.jpg")</f>
        <v/>
      </c>
    </row>
    <row r="1056" ht="36.0" customHeight="1">
      <c r="A1056" s="10" t="str">
        <f>HYPERLINK("https://commons.wikimedia.org/wiki/User:" &amp; ENCODEURL("Nathaly 1106"), "Nathaly 1106")</f>
        <v>Nathaly 1106</v>
      </c>
      <c r="B1056" s="11" t="s">
        <v>2205</v>
      </c>
      <c r="C1056" s="12">
        <v>46147.67134259259</v>
      </c>
      <c r="D1056" s="11" t="s">
        <v>2206</v>
      </c>
      <c r="E1056" s="14" t="s">
        <v>29</v>
      </c>
      <c r="F1056" s="14" t="s">
        <v>30</v>
      </c>
      <c r="G1056" s="15" t="s">
        <v>17</v>
      </c>
      <c r="H1056" s="15" t="s">
        <v>18</v>
      </c>
      <c r="I1056" s="14" t="str">
        <f>IMAGE("https://upload.wikimedia.org/wikipedia/commons/a/a2/Hibiscus_rosa_%28Malvaceae%29.jpg")</f>
        <v/>
      </c>
    </row>
    <row r="1057" ht="36.0" customHeight="1">
      <c r="A1057" s="16" t="str">
        <f>HYPERLINK("https://commons.wikimedia.org/wiki/User:" &amp; ENCODEURL("Jukaper23"), "Jukaper23")</f>
        <v>Jukaper23</v>
      </c>
      <c r="B1057" s="17" t="s">
        <v>2207</v>
      </c>
      <c r="C1057" s="18">
        <v>46201.53696759259</v>
      </c>
      <c r="D1057" s="17" t="s">
        <v>2208</v>
      </c>
      <c r="E1057" s="19" t="s">
        <v>29</v>
      </c>
      <c r="F1057" s="19" t="s">
        <v>30</v>
      </c>
      <c r="G1057" s="20" t="s">
        <v>17</v>
      </c>
      <c r="H1057" s="20" t="s">
        <v>18</v>
      </c>
      <c r="I1057" s="19" t="str">
        <f>IMAGE("https://upload.wikimedia.org/wikipedia/commons/1/18/Hibiscus_rosa_sinensis_-_cayena_-_2026-06-18.jpg")</f>
        <v/>
      </c>
    </row>
    <row r="1058" ht="36.0" customHeight="1">
      <c r="A1058" s="10" t="str">
        <f>HYPERLINK("https://commons.wikimedia.org/wiki/User:" &amp; ENCODEURL("NunuAiyi"), "NunuAiyi")</f>
        <v>NunuAiyi</v>
      </c>
      <c r="B1058" s="11" t="s">
        <v>2209</v>
      </c>
      <c r="C1058" s="12">
        <v>46203.85869212963</v>
      </c>
      <c r="D1058" s="11" t="s">
        <v>2210</v>
      </c>
      <c r="E1058" s="14" t="s">
        <v>29</v>
      </c>
      <c r="F1058" s="14" t="s">
        <v>30</v>
      </c>
      <c r="G1058" s="15" t="s">
        <v>17</v>
      </c>
      <c r="H1058" s="15" t="s">
        <v>18</v>
      </c>
      <c r="I1058" s="14" t="str">
        <f>IMAGE("https://upload.wikimedia.org/wikipedia/commons/2/28/Hidalus_herois_en_Colombia.jpg")</f>
        <v/>
      </c>
    </row>
    <row r="1059" ht="36.0" customHeight="1">
      <c r="A1059" s="16" t="str">
        <f>HYPERLINK("https://commons.wikimedia.org/wiki/User:" &amp; ENCODEURL("Nbareschu"), "Nbareschu")</f>
        <v>Nbareschu</v>
      </c>
      <c r="B1059" s="17" t="s">
        <v>2211</v>
      </c>
      <c r="C1059" s="18">
        <v>46149.42151620371</v>
      </c>
      <c r="D1059" s="17" t="s">
        <v>2212</v>
      </c>
      <c r="E1059" s="19" t="s">
        <v>2213</v>
      </c>
      <c r="F1059" s="20" t="s">
        <v>16</v>
      </c>
      <c r="G1059" s="20" t="s">
        <v>17</v>
      </c>
      <c r="H1059" s="20" t="s">
        <v>18</v>
      </c>
      <c r="I1059" s="19" t="str">
        <f>IMAGE("https://upload.wikimedia.org/wikipedia/commons/1/16/Hielo_briophyta.jpg")</f>
        <v/>
      </c>
    </row>
    <row r="1060" ht="36.0" customHeight="1">
      <c r="A1060" s="10" t="str">
        <f>HYPERLINK("https://commons.wikimedia.org/wiki/User:" &amp; ENCODEURL("Mottenpriesterin"), "Mottenpriesterin")</f>
        <v>Mottenpriesterin</v>
      </c>
      <c r="B1060" s="11" t="s">
        <v>2214</v>
      </c>
      <c r="C1060" s="12">
        <v>46202.91976851852</v>
      </c>
      <c r="D1060" s="11" t="s">
        <v>2215</v>
      </c>
      <c r="E1060" s="14" t="s">
        <v>29</v>
      </c>
      <c r="F1060" s="14" t="s">
        <v>30</v>
      </c>
      <c r="G1060" s="15" t="s">
        <v>17</v>
      </c>
      <c r="H1060" s="15" t="s">
        <v>18</v>
      </c>
      <c r="I1060" s="14" t="str">
        <f>IMAGE("https://upload.wikimedia.org/wikipedia/commons/a/a8/Highland_Sunflower_%28Asteraceae%29%2C_on_the_way_from_Minca_to_Cerro_Kennedy%2C_2025.jpg")</f>
        <v/>
      </c>
    </row>
    <row r="1061" ht="36.0" customHeight="1">
      <c r="A1061" s="16" t="str">
        <f>HYPERLINK("https://commons.wikimedia.org/wiki/User:" &amp; ENCODEURL("Willandre1194"), "Willandre1194")</f>
        <v>Willandre1194</v>
      </c>
      <c r="B1061" s="17" t="s">
        <v>2216</v>
      </c>
      <c r="C1061" s="18">
        <v>46155.660833333335</v>
      </c>
      <c r="D1061" s="17" t="s">
        <v>2217</v>
      </c>
      <c r="E1061" s="19" t="s">
        <v>29</v>
      </c>
      <c r="F1061" s="19" t="s">
        <v>30</v>
      </c>
      <c r="G1061" s="20" t="s">
        <v>17</v>
      </c>
      <c r="H1061" s="20" t="s">
        <v>18</v>
      </c>
      <c r="I1061" s="19" t="str">
        <f>IMAGE("https://upload.wikimedia.org/wikipedia/commons/5/53/Hipopotamos_Colombianos.jpg")</f>
        <v/>
      </c>
    </row>
    <row r="1062" ht="36.0" customHeight="1">
      <c r="A1062" s="10" t="str">
        <f t="shared" ref="A1062:A1065" si="142">HYPERLINK("https://commons.wikimedia.org/wiki/User:" &amp; ENCODEURL("Noeliachalfoun"), "Noeliachalfoun")</f>
        <v>Noeliachalfoun</v>
      </c>
      <c r="B1062" s="11" t="s">
        <v>2218</v>
      </c>
      <c r="C1062" s="12">
        <v>46182.685949074075</v>
      </c>
      <c r="D1062" s="11" t="s">
        <v>2219</v>
      </c>
      <c r="E1062" s="14" t="s">
        <v>29</v>
      </c>
      <c r="F1062" s="14" t="s">
        <v>30</v>
      </c>
      <c r="G1062" s="15" t="s">
        <v>17</v>
      </c>
      <c r="H1062" s="15" t="s">
        <v>18</v>
      </c>
      <c r="I1062" s="14" t="str">
        <f>IMAGE("https://upload.wikimedia.org/wikipedia/commons/e/e7/Hoatzin-Parque_Nacional_Natural_Sierra_de_la_Macarena-Colombia-1.jpg")</f>
        <v/>
      </c>
    </row>
    <row r="1063" ht="36.0" customHeight="1">
      <c r="A1063" s="16" t="str">
        <f t="shared" si="142"/>
        <v>Noeliachalfoun</v>
      </c>
      <c r="B1063" s="17" t="s">
        <v>2220</v>
      </c>
      <c r="C1063" s="18">
        <v>46182.685949074075</v>
      </c>
      <c r="D1063" s="17" t="s">
        <v>2219</v>
      </c>
      <c r="E1063" s="19" t="s">
        <v>29</v>
      </c>
      <c r="F1063" s="19" t="s">
        <v>30</v>
      </c>
      <c r="G1063" s="20" t="s">
        <v>17</v>
      </c>
      <c r="H1063" s="20" t="s">
        <v>18</v>
      </c>
      <c r="I1063" s="19" t="str">
        <f>IMAGE("https://upload.wikimedia.org/wikipedia/commons/1/13/Hoatzin-Parque_Nacional_Natural_Sierra_de_la_Macarena-Colombia-2.jpg")</f>
        <v/>
      </c>
    </row>
    <row r="1064" ht="36.0" customHeight="1">
      <c r="A1064" s="10" t="str">
        <f t="shared" si="142"/>
        <v>Noeliachalfoun</v>
      </c>
      <c r="B1064" s="11" t="s">
        <v>2221</v>
      </c>
      <c r="C1064" s="12">
        <v>46182.685949074075</v>
      </c>
      <c r="D1064" s="11" t="s">
        <v>2219</v>
      </c>
      <c r="E1064" s="14" t="s">
        <v>29</v>
      </c>
      <c r="F1064" s="14" t="s">
        <v>30</v>
      </c>
      <c r="G1064" s="15" t="s">
        <v>17</v>
      </c>
      <c r="H1064" s="15" t="s">
        <v>18</v>
      </c>
      <c r="I1064" s="14" t="str">
        <f>IMAGE("https://upload.wikimedia.org/wikipedia/commons/1/13/Hoatzin-Parque_Nacional_Natural_Sierra_de_la_Macarena-Colombia-3.jpg")</f>
        <v/>
      </c>
    </row>
    <row r="1065" ht="36.0" customHeight="1">
      <c r="A1065" s="16" t="str">
        <f t="shared" si="142"/>
        <v>Noeliachalfoun</v>
      </c>
      <c r="B1065" s="17" t="s">
        <v>2222</v>
      </c>
      <c r="C1065" s="18">
        <v>46182.6859837963</v>
      </c>
      <c r="D1065" s="17" t="s">
        <v>2219</v>
      </c>
      <c r="E1065" s="19" t="s">
        <v>29</v>
      </c>
      <c r="F1065" s="19" t="s">
        <v>30</v>
      </c>
      <c r="G1065" s="20" t="s">
        <v>17</v>
      </c>
      <c r="H1065" s="20" t="s">
        <v>18</v>
      </c>
      <c r="I1065" s="19" t="str">
        <f>IMAGE("https://upload.wikimedia.org/wikipedia/commons/0/0e/Hoatzin-Parque_Nacional_Natural_Sierra_de_la_Macarena-Colombia-4.jpg")</f>
        <v/>
      </c>
    </row>
    <row r="1066" ht="36.0" customHeight="1">
      <c r="A1066" s="10" t="str">
        <f>HYPERLINK("https://commons.wikimedia.org/wiki/User:" &amp; ENCODEURL("Laupedrazaa"), "Laupedrazaa")</f>
        <v>Laupedrazaa</v>
      </c>
      <c r="B1066" s="11" t="s">
        <v>2223</v>
      </c>
      <c r="C1066" s="12">
        <v>46167.862905092596</v>
      </c>
      <c r="D1066" s="11" t="s">
        <v>2224</v>
      </c>
      <c r="E1066" s="14" t="s">
        <v>29</v>
      </c>
      <c r="F1066" s="14" t="s">
        <v>30</v>
      </c>
      <c r="G1066" s="15" t="s">
        <v>17</v>
      </c>
      <c r="H1066" s="15" t="s">
        <v>18</v>
      </c>
      <c r="I1066" s="14" t="str">
        <f>IMAGE("https://upload.wikimedia.org/wikipedia/commons/b/be/Hogar%2C_dulce_Santander.jpg")</f>
        <v/>
      </c>
    </row>
    <row r="1067" ht="36.0" customHeight="1">
      <c r="A1067" s="16" t="str">
        <f>HYPERLINK("https://commons.wikimedia.org/wiki/User:" &amp; ENCODEURL("Jhas24.09"), "Jhas24.09")</f>
        <v>Jhas24.09</v>
      </c>
      <c r="B1067" s="17" t="s">
        <v>2225</v>
      </c>
      <c r="C1067" s="18">
        <v>46160.10152777778</v>
      </c>
      <c r="D1067" s="17" t="s">
        <v>2226</v>
      </c>
      <c r="E1067" s="19" t="s">
        <v>29</v>
      </c>
      <c r="F1067" s="19" t="s">
        <v>30</v>
      </c>
      <c r="G1067" s="20" t="s">
        <v>17</v>
      </c>
      <c r="H1067" s="20" t="s">
        <v>18</v>
      </c>
      <c r="I1067" s="19" t="str">
        <f>IMAGE("https://upload.wikimedia.org/wikipedia/commons/1/1f/Hoja_con_nervaduras.jpg")</f>
        <v/>
      </c>
    </row>
    <row r="1068" ht="36.0" customHeight="1">
      <c r="A1068" s="10" t="str">
        <f>HYPERLINK("https://commons.wikimedia.org/wiki/User:" &amp; ENCODEURL("NMontoya (WMCO)"), "NMontoya (WMCO)")</f>
        <v>NMontoya (WMCO)</v>
      </c>
      <c r="B1068" s="11" t="s">
        <v>2227</v>
      </c>
      <c r="C1068" s="12">
        <v>46191.80771990741</v>
      </c>
      <c r="D1068" s="11" t="s">
        <v>2228</v>
      </c>
      <c r="E1068" s="14" t="s">
        <v>683</v>
      </c>
      <c r="F1068" s="15" t="s">
        <v>16</v>
      </c>
      <c r="G1068" s="15" t="s">
        <v>17</v>
      </c>
      <c r="H1068" s="15" t="s">
        <v>18</v>
      </c>
      <c r="I1068" s="14" t="str">
        <f>IMAGE("https://upload.wikimedia.org/wikipedia/commons/8/81/Hoja_simple_del_g%C3%A9nero_Asplundia.jpg")</f>
        <v/>
      </c>
    </row>
    <row r="1069" ht="36.0" customHeight="1">
      <c r="A1069" s="16" t="str">
        <f>HYPERLINK("https://commons.wikimedia.org/wiki/User:" &amp; ENCODEURL("Jhas24.09"), "Jhas24.09")</f>
        <v>Jhas24.09</v>
      </c>
      <c r="B1069" s="17" t="s">
        <v>2229</v>
      </c>
      <c r="C1069" s="18">
        <v>46160.10167824074</v>
      </c>
      <c r="D1069" s="17" t="s">
        <v>2230</v>
      </c>
      <c r="E1069" s="19" t="s">
        <v>29</v>
      </c>
      <c r="F1069" s="19" t="s">
        <v>30</v>
      </c>
      <c r="G1069" s="20" t="s">
        <v>17</v>
      </c>
      <c r="H1069" s="20" t="s">
        <v>18</v>
      </c>
      <c r="I1069" s="19" t="str">
        <f>IMAGE("https://upload.wikimedia.org/wikipedia/commons/9/9d/Hojas_con_gotas_de_lluvia.jpg")</f>
        <v/>
      </c>
    </row>
    <row r="1070" ht="36.0" customHeight="1">
      <c r="A1070" s="10" t="str">
        <f>HYPERLINK("https://commons.wikimedia.org/wiki/User:" &amp; ENCODEURL("NMontoya (WMCO)"), "NMontoya (WMCO)")</f>
        <v>NMontoya (WMCO)</v>
      </c>
      <c r="B1070" s="11" t="s">
        <v>2231</v>
      </c>
      <c r="C1070" s="12">
        <v>46191.80771990741</v>
      </c>
      <c r="D1070" s="11" t="s">
        <v>2232</v>
      </c>
      <c r="E1070" s="14" t="s">
        <v>683</v>
      </c>
      <c r="F1070" s="15" t="s">
        <v>16</v>
      </c>
      <c r="G1070" s="15" t="s">
        <v>17</v>
      </c>
      <c r="H1070" s="15" t="s">
        <v>18</v>
      </c>
      <c r="I1070" s="14" t="str">
        <f>IMAGE("https://upload.wikimedia.org/wikipedia/commons/b/bd/Hojas_con_hendiduras_o_bordes_irregulares.jpg")</f>
        <v/>
      </c>
    </row>
    <row r="1071" ht="36.0" customHeight="1">
      <c r="A1071" s="16" t="str">
        <f t="shared" ref="A1071:A1074" si="143">HYPERLINK("https://commons.wikimedia.org/wiki/User:" &amp; ENCODEURL("Jhas24.09"), "Jhas24.09")</f>
        <v>Jhas24.09</v>
      </c>
      <c r="B1071" s="17" t="s">
        <v>2233</v>
      </c>
      <c r="C1071" s="18">
        <v>46160.101111111115</v>
      </c>
      <c r="D1071" s="17" t="s">
        <v>2234</v>
      </c>
      <c r="E1071" s="19" t="s">
        <v>29</v>
      </c>
      <c r="F1071" s="19" t="s">
        <v>30</v>
      </c>
      <c r="G1071" s="20" t="s">
        <v>17</v>
      </c>
      <c r="H1071" s="20" t="s">
        <v>18</v>
      </c>
      <c r="I1071" s="19" t="str">
        <f>IMAGE("https://upload.wikimedia.org/wikipedia/commons/8/8f/Hojas_h%C3%BAmedas_despu%C3%A9s_de_la_lluvia.jpg")</f>
        <v/>
      </c>
    </row>
    <row r="1072" ht="36.0" customHeight="1">
      <c r="A1072" s="10" t="str">
        <f t="shared" si="143"/>
        <v>Jhas24.09</v>
      </c>
      <c r="B1072" s="11" t="s">
        <v>2235</v>
      </c>
      <c r="C1072" s="12">
        <v>46160.10162037037</v>
      </c>
      <c r="D1072" s="11" t="s">
        <v>2236</v>
      </c>
      <c r="E1072" s="14" t="s">
        <v>29</v>
      </c>
      <c r="F1072" s="14" t="s">
        <v>30</v>
      </c>
      <c r="G1072" s="15" t="s">
        <v>17</v>
      </c>
      <c r="H1072" s="15" t="s">
        <v>18</v>
      </c>
      <c r="I1072" s="14" t="str">
        <f>IMAGE("https://upload.wikimedia.org/wikipedia/commons/d/da/Hojas_pinnadas.jpg")</f>
        <v/>
      </c>
    </row>
    <row r="1073" ht="36.0" customHeight="1">
      <c r="A1073" s="16" t="str">
        <f t="shared" si="143"/>
        <v>Jhas24.09</v>
      </c>
      <c r="B1073" s="17" t="s">
        <v>2237</v>
      </c>
      <c r="C1073" s="18">
        <v>46160.101539351854</v>
      </c>
      <c r="D1073" s="17" t="s">
        <v>2236</v>
      </c>
      <c r="E1073" s="19" t="s">
        <v>29</v>
      </c>
      <c r="F1073" s="19" t="s">
        <v>30</v>
      </c>
      <c r="G1073" s="20" t="s">
        <v>17</v>
      </c>
      <c r="H1073" s="20" t="s">
        <v>18</v>
      </c>
      <c r="I1073" s="19" t="str">
        <f>IMAGE("https://upload.wikimedia.org/wikipedia/commons/d/d7/Hojas_pinnadas_en_bosque_h%C3%BAmedo.jpg")</f>
        <v/>
      </c>
    </row>
    <row r="1074" ht="36.0" customHeight="1">
      <c r="A1074" s="10" t="str">
        <f t="shared" si="143"/>
        <v>Jhas24.09</v>
      </c>
      <c r="B1074" s="11" t="s">
        <v>2238</v>
      </c>
      <c r="C1074" s="12">
        <v>46160.10173611111</v>
      </c>
      <c r="D1074" s="11" t="s">
        <v>2236</v>
      </c>
      <c r="E1074" s="14" t="s">
        <v>29</v>
      </c>
      <c r="F1074" s="14" t="s">
        <v>30</v>
      </c>
      <c r="G1074" s="15" t="s">
        <v>17</v>
      </c>
      <c r="H1074" s="15" t="s">
        <v>18</v>
      </c>
      <c r="I1074" s="14" t="str">
        <f>IMAGE("https://upload.wikimedia.org/wikipedia/commons/f/fe/Hojas_pinnadas_en_el_bosque.jpg")</f>
        <v/>
      </c>
    </row>
    <row r="1075" ht="36.0" customHeight="1">
      <c r="A1075" s="16" t="str">
        <f>HYPERLINK("https://commons.wikimedia.org/wiki/User:" &amp; ENCODEURL("Estudiante0001"), "Estudiante0001")</f>
        <v>Estudiante0001</v>
      </c>
      <c r="B1075" s="17" t="s">
        <v>2239</v>
      </c>
      <c r="C1075" s="18">
        <v>46163.51704861111</v>
      </c>
      <c r="D1075" s="17" t="s">
        <v>2240</v>
      </c>
      <c r="E1075" s="19" t="s">
        <v>2241</v>
      </c>
      <c r="F1075" s="20" t="s">
        <v>16</v>
      </c>
      <c r="G1075" s="20" t="s">
        <v>17</v>
      </c>
      <c r="H1075" s="20" t="s">
        <v>18</v>
      </c>
      <c r="I1075" s="19" t="str">
        <f>IMAGE("https://upload.wikimedia.org/wikipedia/commons/5/51/Hongo_de_la_Reserva_El_Zoque.jpg")</f>
        <v/>
      </c>
    </row>
    <row r="1076" ht="36.0" customHeight="1">
      <c r="A1076" s="10" t="str">
        <f>HYPERLINK("https://commons.wikimedia.org/wiki/User:" &amp; ENCODEURL("Yiyi93"), "Yiyi93")</f>
        <v>Yiyi93</v>
      </c>
      <c r="B1076" s="11" t="s">
        <v>2242</v>
      </c>
      <c r="C1076" s="12">
        <v>46163.53219907408</v>
      </c>
      <c r="D1076" s="11" t="s">
        <v>1901</v>
      </c>
      <c r="E1076" s="14" t="s">
        <v>29</v>
      </c>
      <c r="F1076" s="14" t="s">
        <v>30</v>
      </c>
      <c r="G1076" s="15" t="s">
        <v>17</v>
      </c>
      <c r="H1076" s="15" t="s">
        <v>18</v>
      </c>
      <c r="I1076" s="14" t="str">
        <f>IMAGE("https://upload.wikimedia.org/wikipedia/commons/a/a7/Hongo_de_la_reserva_natural_Guataqu%C3%AD.jpg")</f>
        <v/>
      </c>
    </row>
    <row r="1077" ht="36.0" customHeight="1">
      <c r="A1077" s="16" t="str">
        <f>HYPERLINK("https://commons.wikimedia.org/wiki/User:" &amp; ENCODEURL("Alzevi"), "Alzevi")</f>
        <v>Alzevi</v>
      </c>
      <c r="B1077" s="17" t="s">
        <v>2243</v>
      </c>
      <c r="C1077" s="18">
        <v>46149.55134259259</v>
      </c>
      <c r="D1077" s="17" t="s">
        <v>2244</v>
      </c>
      <c r="E1077" s="19" t="s">
        <v>29</v>
      </c>
      <c r="F1077" s="19" t="s">
        <v>30</v>
      </c>
      <c r="G1077" s="20" t="s">
        <v>17</v>
      </c>
      <c r="H1077" s="20" t="s">
        <v>18</v>
      </c>
      <c r="I1077" s="19" t="str">
        <f>IMAGE("https://upload.wikimedia.org/wikipedia/commons/6/64/Hongo_del_artista.jpg")</f>
        <v/>
      </c>
    </row>
    <row r="1078" ht="36.0" customHeight="1">
      <c r="A1078" s="10" t="str">
        <f>HYPERLINK("https://commons.wikimedia.org/wiki/User:" &amp; ENCODEURL("Estudiante0001"), "Estudiante0001")</f>
        <v>Estudiante0001</v>
      </c>
      <c r="B1078" s="11" t="s">
        <v>2245</v>
      </c>
      <c r="C1078" s="12">
        <v>46163.55556712963</v>
      </c>
      <c r="D1078" s="11" t="s">
        <v>2246</v>
      </c>
      <c r="E1078" s="14" t="s">
        <v>29</v>
      </c>
      <c r="F1078" s="14" t="s">
        <v>30</v>
      </c>
      <c r="G1078" s="15" t="s">
        <v>17</v>
      </c>
      <c r="H1078" s="15" t="s">
        <v>18</v>
      </c>
      <c r="I1078" s="14" t="str">
        <f>IMAGE("https://upload.wikimedia.org/wikipedia/commons/6/60/Hongo_en_Cu%C3%ADtiva_Boyac%C3%A1.jpg")</f>
        <v/>
      </c>
    </row>
    <row r="1079" ht="36.0" customHeight="1">
      <c r="A1079" s="16" t="str">
        <f>HYPERLINK("https://commons.wikimedia.org/wiki/User:" &amp; ENCODEURL("PauMU86"), "PauMU86")</f>
        <v>PauMU86</v>
      </c>
      <c r="B1079" s="17" t="s">
        <v>2247</v>
      </c>
      <c r="C1079" s="18">
        <v>46171.690567129626</v>
      </c>
      <c r="D1079" s="17" t="s">
        <v>2248</v>
      </c>
      <c r="E1079" s="19" t="s">
        <v>29</v>
      </c>
      <c r="F1079" s="19" t="s">
        <v>30</v>
      </c>
      <c r="G1079" s="20" t="s">
        <v>17</v>
      </c>
      <c r="H1079" s="20" t="s">
        <v>18</v>
      </c>
      <c r="I1079" s="19" t="str">
        <f>IMAGE("https://upload.wikimedia.org/wikipedia/commons/e/ea/Hongo_en_Paipa.jpg")</f>
        <v/>
      </c>
    </row>
    <row r="1080" ht="36.0" customHeight="1">
      <c r="A1080" s="10" t="str">
        <f t="shared" ref="A1080:A1081" si="144">HYPERLINK("https://commons.wikimedia.org/wiki/User:" &amp; ENCODEURL("Estudiante0001"), "Estudiante0001")</f>
        <v>Estudiante0001</v>
      </c>
      <c r="B1080" s="11" t="s">
        <v>2249</v>
      </c>
      <c r="C1080" s="12">
        <v>46163.555601851855</v>
      </c>
      <c r="D1080" s="11" t="s">
        <v>2250</v>
      </c>
      <c r="E1080" s="14" t="s">
        <v>2251</v>
      </c>
      <c r="F1080" s="15" t="s">
        <v>16</v>
      </c>
      <c r="G1080" s="15" t="s">
        <v>17</v>
      </c>
      <c r="H1080" s="15" t="s">
        <v>18</v>
      </c>
      <c r="I1080" s="14" t="str">
        <f>IMAGE("https://upload.wikimedia.org/wikipedia/commons/4/44/Hongo_en_hojarasca_en_Cu%C3%ADtiva_Boyac%C3%A1.jpg")</f>
        <v/>
      </c>
    </row>
    <row r="1081" ht="36.0" customHeight="1">
      <c r="A1081" s="16" t="str">
        <f t="shared" si="144"/>
        <v>Estudiante0001</v>
      </c>
      <c r="B1081" s="17" t="s">
        <v>2252</v>
      </c>
      <c r="C1081" s="18">
        <v>46163.55569444445</v>
      </c>
      <c r="D1081" s="17" t="s">
        <v>2253</v>
      </c>
      <c r="E1081" s="19" t="s">
        <v>2254</v>
      </c>
      <c r="F1081" s="20" t="s">
        <v>16</v>
      </c>
      <c r="G1081" s="20" t="s">
        <v>17</v>
      </c>
      <c r="H1081" s="20" t="s">
        <v>18</v>
      </c>
      <c r="I1081" s="19" t="str">
        <f>IMAGE("https://upload.wikimedia.org/wikipedia/commons/5/57/Hongo_fructificados_en_un_tronco.jpg")</f>
        <v/>
      </c>
    </row>
    <row r="1082" ht="36.0" customHeight="1">
      <c r="A1082" s="10" t="str">
        <f t="shared" ref="A1082:A1083" si="145">HYPERLINK("https://commons.wikimedia.org/wiki/User:" &amp; ENCODEURL("Sophy Martinez"), "Sophy Martinez")</f>
        <v>Sophy Martinez</v>
      </c>
      <c r="B1082" s="11" t="s">
        <v>2255</v>
      </c>
      <c r="C1082" s="12">
        <v>46202.0306712963</v>
      </c>
      <c r="D1082" s="11" t="s">
        <v>2256</v>
      </c>
      <c r="E1082" s="14" t="s">
        <v>2257</v>
      </c>
      <c r="F1082" s="15" t="s">
        <v>16</v>
      </c>
      <c r="G1082" s="15" t="s">
        <v>17</v>
      </c>
      <c r="H1082" s="15" t="s">
        <v>18</v>
      </c>
      <c r="I1082" s="14" t="str">
        <f>IMAGE("https://upload.wikimedia.org/wikipedia/commons/a/a6/Hongo_matamoscas_%28Amanita_muscaria%29.jpg")</f>
        <v/>
      </c>
    </row>
    <row r="1083" ht="36.0" customHeight="1">
      <c r="A1083" s="16" t="str">
        <f t="shared" si="145"/>
        <v>Sophy Martinez</v>
      </c>
      <c r="B1083" s="17" t="s">
        <v>2258</v>
      </c>
      <c r="C1083" s="18">
        <v>46202.06943287037</v>
      </c>
      <c r="D1083" s="17" t="s">
        <v>2259</v>
      </c>
      <c r="E1083" s="19" t="s">
        <v>2260</v>
      </c>
      <c r="F1083" s="20" t="s">
        <v>16</v>
      </c>
      <c r="G1083" s="20" t="s">
        <v>17</v>
      </c>
      <c r="H1083" s="20" t="s">
        <v>18</v>
      </c>
      <c r="I1083" s="19" t="str">
        <f>IMAGE("https://upload.wikimedia.org/wikipedia/commons/2/2d/Hongo_poroso_naranja_%28Favolaschia_sp.%29.jpg")</f>
        <v/>
      </c>
    </row>
    <row r="1084" ht="36.0" customHeight="1">
      <c r="A1084" s="10" t="str">
        <f>HYPERLINK("https://commons.wikimedia.org/wiki/User:" &amp; ENCODEURL("Nbareschu"), "Nbareschu")</f>
        <v>Nbareschu</v>
      </c>
      <c r="B1084" s="11" t="s">
        <v>2261</v>
      </c>
      <c r="C1084" s="12">
        <v>46149.42103009259</v>
      </c>
      <c r="D1084" s="11" t="s">
        <v>2262</v>
      </c>
      <c r="E1084" s="14" t="s">
        <v>2263</v>
      </c>
      <c r="F1084" s="15" t="s">
        <v>16</v>
      </c>
      <c r="G1084" s="15" t="s">
        <v>17</v>
      </c>
      <c r="H1084" s="15" t="s">
        <v>18</v>
      </c>
      <c r="I1084" s="14" t="str">
        <f>IMAGE("https://upload.wikimedia.org/wikipedia/commons/3/3d/Hongo_sp.jpg")</f>
        <v/>
      </c>
    </row>
    <row r="1085" ht="36.0" customHeight="1">
      <c r="A1085" s="16" t="str">
        <f>HYPERLINK("https://commons.wikimedia.org/wiki/User:" &amp; ENCODEURL("Yiyi93"), "Yiyi93")</f>
        <v>Yiyi93</v>
      </c>
      <c r="B1085" s="17" t="s">
        <v>2264</v>
      </c>
      <c r="C1085" s="18">
        <v>46163.58159722222</v>
      </c>
      <c r="D1085" s="17" t="s">
        <v>2265</v>
      </c>
      <c r="E1085" s="19" t="s">
        <v>29</v>
      </c>
      <c r="F1085" s="19" t="s">
        <v>30</v>
      </c>
      <c r="G1085" s="20" t="s">
        <v>17</v>
      </c>
      <c r="H1085" s="20" t="s">
        <v>18</v>
      </c>
      <c r="I1085" s="19" t="str">
        <f>IMAGE("https://upload.wikimedia.org/wikipedia/commons/b/bb/Hongo_tomadas_desde_la_reserva_natural_de_guataqui_de_potos%C3%AD.jpg")</f>
        <v/>
      </c>
    </row>
    <row r="1086" ht="36.0" customHeight="1">
      <c r="A1086" s="10" t="str">
        <f>HYPERLINK("https://commons.wikimedia.org/wiki/User:" &amp; ENCODEURL("Estudiante0001"), "Estudiante0001")</f>
        <v>Estudiante0001</v>
      </c>
      <c r="B1086" s="11" t="s">
        <v>2266</v>
      </c>
      <c r="C1086" s="12">
        <v>46163.517164351855</v>
      </c>
      <c r="D1086" s="11" t="s">
        <v>2267</v>
      </c>
      <c r="E1086" s="14" t="s">
        <v>2268</v>
      </c>
      <c r="F1086" s="15" t="s">
        <v>16</v>
      </c>
      <c r="G1086" s="15" t="s">
        <v>17</v>
      </c>
      <c r="H1086" s="15" t="s">
        <v>18</v>
      </c>
      <c r="I1086" s="14" t="str">
        <f>IMAGE("https://upload.wikimedia.org/wikipedia/commons/7/7a/Hongos_de_Iza%2C_Boyac%C3%A1.jpg")</f>
        <v/>
      </c>
    </row>
    <row r="1087" ht="36.0" customHeight="1">
      <c r="A1087" s="16" t="str">
        <f>HYPERLINK("https://commons.wikimedia.org/wiki/User:" &amp; ENCODEURL("Yiyi93"), "Yiyi93")</f>
        <v>Yiyi93</v>
      </c>
      <c r="B1087" s="17" t="s">
        <v>2269</v>
      </c>
      <c r="C1087" s="18">
        <v>46163.581666666665</v>
      </c>
      <c r="D1087" s="17" t="s">
        <v>1901</v>
      </c>
      <c r="E1087" s="19" t="s">
        <v>29</v>
      </c>
      <c r="F1087" s="19" t="s">
        <v>30</v>
      </c>
      <c r="G1087" s="20" t="s">
        <v>17</v>
      </c>
      <c r="H1087" s="20" t="s">
        <v>18</v>
      </c>
      <c r="I1087" s="19" t="str">
        <f>IMAGE("https://upload.wikimedia.org/wikipedia/commons/b/be/Hongos_de_guataqui_de_potosi.jpg")</f>
        <v/>
      </c>
    </row>
    <row r="1088" ht="36.0" customHeight="1">
      <c r="A1088" s="10" t="str">
        <f>HYPERLINK("https://commons.wikimedia.org/wiki/User:" &amp; ENCODEURL("Nbareschu"), "Nbareschu")</f>
        <v>Nbareschu</v>
      </c>
      <c r="B1088" s="11" t="s">
        <v>2270</v>
      </c>
      <c r="C1088" s="12">
        <v>46149.42115740741</v>
      </c>
      <c r="D1088" s="11" t="s">
        <v>2271</v>
      </c>
      <c r="E1088" s="14" t="s">
        <v>2272</v>
      </c>
      <c r="F1088" s="15" t="s">
        <v>16</v>
      </c>
      <c r="G1088" s="15" t="s">
        <v>17</v>
      </c>
      <c r="H1088" s="15" t="s">
        <v>18</v>
      </c>
      <c r="I1088" s="14" t="str">
        <f>IMAGE("https://upload.wikimedia.org/wikipedia/commons/4/47/Hongos_en_la_cascada_la_abuela.jpg")</f>
        <v/>
      </c>
    </row>
    <row r="1089" ht="36.0" customHeight="1">
      <c r="A1089" s="16" t="str">
        <f>HYPERLINK("https://commons.wikimedia.org/wiki/User:" &amp; ENCODEURL("Zolsemiya"), "Zolsemiya")</f>
        <v>Zolsemiya</v>
      </c>
      <c r="B1089" s="17" t="s">
        <v>2273</v>
      </c>
      <c r="C1089" s="18">
        <v>46203.74916666667</v>
      </c>
      <c r="D1089" s="17" t="s">
        <v>2274</v>
      </c>
      <c r="E1089" s="19" t="s">
        <v>1430</v>
      </c>
      <c r="F1089" s="20" t="s">
        <v>16</v>
      </c>
      <c r="G1089" s="20" t="s">
        <v>17</v>
      </c>
      <c r="H1089" s="20" t="s">
        <v>18</v>
      </c>
      <c r="I1089" s="19" t="str">
        <f>IMAGE("https://upload.wikimedia.org/wikipedia/commons/3/32/Hongos_laminares.jpg")</f>
        <v/>
      </c>
    </row>
    <row r="1090" ht="36.0" customHeight="1">
      <c r="A1090" s="10" t="str">
        <f>HYPERLINK("https://commons.wikimedia.org/wiki/User:" &amp; ENCODEURL("Jhas24.09"), "Jhas24.09")</f>
        <v>Jhas24.09</v>
      </c>
      <c r="B1090" s="11" t="s">
        <v>2275</v>
      </c>
      <c r="C1090" s="12">
        <v>46160.101689814815</v>
      </c>
      <c r="D1090" s="11" t="s">
        <v>2276</v>
      </c>
      <c r="E1090" s="14" t="s">
        <v>29</v>
      </c>
      <c r="F1090" s="14" t="s">
        <v>30</v>
      </c>
      <c r="G1090" s="15" t="s">
        <v>17</v>
      </c>
      <c r="H1090" s="15" t="s">
        <v>18</v>
      </c>
      <c r="I1090" s="14" t="str">
        <f>IMAGE("https://upload.wikimedia.org/wikipedia/commons/8/80/Hongos_sobre_tronco_en_descomposici%C3%B3n.jpg")</f>
        <v/>
      </c>
    </row>
    <row r="1091" ht="36.0" customHeight="1">
      <c r="A1091" s="16" t="str">
        <f t="shared" ref="A1091:A1092" si="146">HYPERLINK("https://commons.wikimedia.org/wiki/User:" &amp; ENCODEURL("Elibasan"), "Elibasan")</f>
        <v>Elibasan</v>
      </c>
      <c r="B1091" s="17" t="s">
        <v>2277</v>
      </c>
      <c r="C1091" s="18">
        <v>46193.45425925926</v>
      </c>
      <c r="D1091" s="17" t="s">
        <v>2278</v>
      </c>
      <c r="E1091" s="19" t="s">
        <v>29</v>
      </c>
      <c r="F1091" s="19" t="s">
        <v>30</v>
      </c>
      <c r="G1091" s="20" t="s">
        <v>17</v>
      </c>
      <c r="H1091" s="20" t="s">
        <v>18</v>
      </c>
      <c r="I1091" s="19" t="str">
        <f>IMAGE("https://upload.wikimedia.org/wikipedia/commons/8/8d/Honguito_de_luz.jpg")</f>
        <v/>
      </c>
    </row>
    <row r="1092" ht="36.0" customHeight="1">
      <c r="A1092" s="10" t="str">
        <f t="shared" si="146"/>
        <v>Elibasan</v>
      </c>
      <c r="B1092" s="11" t="s">
        <v>2279</v>
      </c>
      <c r="C1092" s="12">
        <v>46193.45421296296</v>
      </c>
      <c r="D1092" s="11" t="s">
        <v>2280</v>
      </c>
      <c r="E1092" s="14" t="s">
        <v>29</v>
      </c>
      <c r="F1092" s="14" t="s">
        <v>30</v>
      </c>
      <c r="G1092" s="15" t="s">
        <v>17</v>
      </c>
      <c r="H1092" s="15" t="s">
        <v>18</v>
      </c>
      <c r="I1092" s="14" t="str">
        <f>IMAGE("https://upload.wikimedia.org/wikipedia/commons/9/96/Honguito_del_camino.jpg")</f>
        <v/>
      </c>
    </row>
    <row r="1093" ht="36.0" customHeight="1">
      <c r="A1093" s="16" t="str">
        <f>HYPERLINK("https://commons.wikimedia.org/wiki/User:" &amp; ENCODEURL("ANDRESMNDOZA"), "ANDRESMNDOZA")</f>
        <v>ANDRESMNDOZA</v>
      </c>
      <c r="B1093" s="17" t="s">
        <v>2281</v>
      </c>
      <c r="C1093" s="18">
        <v>46157.61447916667</v>
      </c>
      <c r="D1093" s="17" t="s">
        <v>2282</v>
      </c>
      <c r="E1093" s="19" t="s">
        <v>29</v>
      </c>
      <c r="F1093" s="19" t="s">
        <v>30</v>
      </c>
      <c r="G1093" s="20" t="s">
        <v>17</v>
      </c>
      <c r="H1093" s="20" t="s">
        <v>18</v>
      </c>
      <c r="I1093" s="19" t="str">
        <f>IMAGE("https://upload.wikimedia.org/wikipedia/commons/b/b7/Hora_dorada_en_Tecate%2C_Baja_California%2C_M%C3%A9xico.jpg")</f>
        <v/>
      </c>
    </row>
    <row r="1094" ht="36.0" customHeight="1">
      <c r="A1094" s="10" t="str">
        <f>HYPERLINK("https://commons.wikimedia.org/wiki/User:" &amp; ENCODEURL("Elprofeta91"), "Elprofeta91")</f>
        <v>Elprofeta91</v>
      </c>
      <c r="B1094" s="11" t="s">
        <v>2283</v>
      </c>
      <c r="C1094" s="12">
        <v>46147.790821759256</v>
      </c>
      <c r="D1094" s="11" t="s">
        <v>32</v>
      </c>
      <c r="E1094" s="14" t="s">
        <v>2284</v>
      </c>
      <c r="F1094" s="15" t="s">
        <v>16</v>
      </c>
      <c r="G1094" s="15" t="s">
        <v>17</v>
      </c>
      <c r="H1094" s="15" t="s">
        <v>18</v>
      </c>
      <c r="I1094" s="14" t="str">
        <f>IMAGE("https://upload.wikimedia.org/wikipedia/commons/c/c7/Horizonte_en_Nech%C3%AD.jpg")</f>
        <v/>
      </c>
    </row>
    <row r="1095" ht="36.0" customHeight="1">
      <c r="A1095" s="16" t="str">
        <f>HYPERLINK("https://commons.wikimedia.org/wiki/User:" &amp; ENCODEURL("Halleyuncometafotografo"), "Halleyuncometafotografo")</f>
        <v>Halleyuncometafotografo</v>
      </c>
      <c r="B1095" s="17" t="s">
        <v>2285</v>
      </c>
      <c r="C1095" s="18">
        <v>46203.89858796296</v>
      </c>
      <c r="D1095" s="17" t="s">
        <v>2286</v>
      </c>
      <c r="E1095" s="19" t="s">
        <v>29</v>
      </c>
      <c r="F1095" s="19" t="s">
        <v>30</v>
      </c>
      <c r="G1095" s="20" t="s">
        <v>17</v>
      </c>
      <c r="H1095" s="20" t="s">
        <v>18</v>
      </c>
      <c r="I1095" s="19" t="str">
        <f>IMAGE("https://upload.wikimedia.org/wikipedia/commons/d/d7/Horizonte_lunar.jpg")</f>
        <v/>
      </c>
    </row>
    <row r="1096" ht="36.0" customHeight="1">
      <c r="A1096" s="10" t="str">
        <f t="shared" ref="A1096:A1097" si="147">HYPERLINK("https://commons.wikimedia.org/wiki/User:" &amp; ENCODEURL("Jhas24.09"), "Jhas24.09")</f>
        <v>Jhas24.09</v>
      </c>
      <c r="B1096" s="11" t="s">
        <v>2287</v>
      </c>
      <c r="C1096" s="12">
        <v>46160.10114583333</v>
      </c>
      <c r="D1096" s="11" t="s">
        <v>2288</v>
      </c>
      <c r="E1096" s="14" t="s">
        <v>29</v>
      </c>
      <c r="F1096" s="14" t="s">
        <v>30</v>
      </c>
      <c r="G1096" s="15" t="s">
        <v>17</v>
      </c>
      <c r="H1096" s="15" t="s">
        <v>18</v>
      </c>
      <c r="I1096" s="14" t="str">
        <f>IMAGE("https://upload.wikimedia.org/wikipedia/commons/a/a4/Hormiga_recolectando_alimento.jpg")</f>
        <v/>
      </c>
    </row>
    <row r="1097" ht="36.0" customHeight="1">
      <c r="A1097" s="16" t="str">
        <f t="shared" si="147"/>
        <v>Jhas24.09</v>
      </c>
      <c r="B1097" s="17" t="s">
        <v>2289</v>
      </c>
      <c r="C1097" s="18">
        <v>46160.10113425926</v>
      </c>
      <c r="D1097" s="17" t="s">
        <v>2290</v>
      </c>
      <c r="E1097" s="19" t="s">
        <v>29</v>
      </c>
      <c r="F1097" s="19" t="s">
        <v>30</v>
      </c>
      <c r="G1097" s="20" t="s">
        <v>17</v>
      </c>
      <c r="H1097" s="20" t="s">
        <v>18</v>
      </c>
      <c r="I1097" s="19" t="str">
        <f>IMAGE("https://upload.wikimedia.org/wikipedia/commons/5/56/Hormigas_en_una_flor.jpg")</f>
        <v/>
      </c>
    </row>
    <row r="1098" ht="36.0" customHeight="1">
      <c r="A1098" s="10" t="str">
        <f>HYPERLINK("https://commons.wikimedia.org/wiki/User:" &amp; ENCODEURL("Avargasc1"), "Avargasc1")</f>
        <v>Avargasc1</v>
      </c>
      <c r="B1098" s="11" t="s">
        <v>2291</v>
      </c>
      <c r="C1098" s="12">
        <v>46171.41064814815</v>
      </c>
      <c r="D1098" s="11" t="s">
        <v>2292</v>
      </c>
      <c r="E1098" s="14" t="s">
        <v>29</v>
      </c>
      <c r="F1098" s="14" t="s">
        <v>30</v>
      </c>
      <c r="G1098" s="15" t="s">
        <v>17</v>
      </c>
      <c r="H1098" s="15" t="s">
        <v>18</v>
      </c>
      <c r="I1098" s="14" t="str">
        <f>IMAGE("https://upload.wikimedia.org/wikipedia/commons/7/79/Hormiguero_Tiznado.jpg")</f>
        <v/>
      </c>
    </row>
    <row r="1099" ht="36.0" customHeight="1">
      <c r="A1099" s="16" t="str">
        <f>HYPERLINK("https://commons.wikimedia.org/wiki/User:" &amp; ENCODEURL("NataMendietaOrtega"), "NataMendietaOrtega")</f>
        <v>NataMendietaOrtega</v>
      </c>
      <c r="B1099" s="17" t="s">
        <v>2293</v>
      </c>
      <c r="C1099" s="18">
        <v>46163.50439814815</v>
      </c>
      <c r="D1099" s="17" t="s">
        <v>2294</v>
      </c>
      <c r="E1099" s="19" t="s">
        <v>29</v>
      </c>
      <c r="F1099" s="19" t="s">
        <v>30</v>
      </c>
      <c r="G1099" s="20" t="s">
        <v>17</v>
      </c>
      <c r="H1099" s="20" t="s">
        <v>18</v>
      </c>
      <c r="I1099" s="19" t="str">
        <f>IMAGE("https://upload.wikimedia.org/wikipedia/commons/2/24/Hotel_Continental_Bogot%C3%A1%2C_Colombia.jpg")</f>
        <v/>
      </c>
    </row>
    <row r="1100" ht="36.0" customHeight="1">
      <c r="A1100" s="10" t="str">
        <f>HYPERLINK("https://commons.wikimedia.org/wiki/User:" &amp; ENCODEURL("SoyElMaloColon"), "SoyElMaloColon")</f>
        <v>SoyElMaloColon</v>
      </c>
      <c r="B1100" s="11" t="s">
        <v>2295</v>
      </c>
      <c r="C1100" s="12">
        <v>46163.113958333335</v>
      </c>
      <c r="D1100" s="11" t="s">
        <v>2296</v>
      </c>
      <c r="E1100" s="14" t="s">
        <v>29</v>
      </c>
      <c r="F1100" s="14" t="s">
        <v>30</v>
      </c>
      <c r="G1100" s="15" t="s">
        <v>17</v>
      </c>
      <c r="H1100" s="15" t="s">
        <v>18</v>
      </c>
      <c r="I1100" s="14" t="str">
        <f>IMAGE("https://upload.wikimedia.org/wikipedia/commons/2/21/House_Over_the_Clouds.jpg")</f>
        <v/>
      </c>
    </row>
    <row r="1101" ht="36.0" customHeight="1">
      <c r="A1101" s="16" t="str">
        <f>HYPERLINK("https://commons.wikimedia.org/wiki/User:" &amp; ENCODEURL("Reduvida3"), "Reduvida3")</f>
        <v>Reduvida3</v>
      </c>
      <c r="B1101" s="17" t="s">
        <v>2297</v>
      </c>
      <c r="C1101" s="18">
        <v>46182.65460648148</v>
      </c>
      <c r="D1101" s="17" t="s">
        <v>2298</v>
      </c>
      <c r="E1101" s="19" t="s">
        <v>29</v>
      </c>
      <c r="F1101" s="19" t="s">
        <v>30</v>
      </c>
      <c r="G1101" s="20" t="s">
        <v>17</v>
      </c>
      <c r="H1101" s="20" t="s">
        <v>18</v>
      </c>
      <c r="I1101" s="19" t="str">
        <f>IMAGE("https://upload.wikimedia.org/wikipedia/commons/3/34/Hudsonian_Whimbrel_%28Numenius_hudsonicus%29_in_Nuqu%C3%AD%2C_Choc%C3%B3%2C_Colombia.jpg")</f>
        <v/>
      </c>
    </row>
    <row r="1102" ht="36.0" customHeight="1">
      <c r="A1102" s="10" t="str">
        <f>HYPERLINK("https://commons.wikimedia.org/wiki/User:" &amp; ENCODEURL("Laupedrazaa"), "Laupedrazaa")</f>
        <v>Laupedrazaa</v>
      </c>
      <c r="B1102" s="11" t="s">
        <v>2299</v>
      </c>
      <c r="C1102" s="12">
        <v>46167.851956018516</v>
      </c>
      <c r="D1102" s="11" t="s">
        <v>2300</v>
      </c>
      <c r="E1102" s="14" t="s">
        <v>29</v>
      </c>
      <c r="F1102" s="14" t="s">
        <v>30</v>
      </c>
      <c r="G1102" s="15" t="s">
        <v>17</v>
      </c>
      <c r="H1102" s="15" t="s">
        <v>18</v>
      </c>
      <c r="I1102" s="14" t="str">
        <f>IMAGE("https://upload.wikimedia.org/wikipedia/commons/2/2e/Huellas_de_tranquilidad.jpg")</f>
        <v/>
      </c>
    </row>
    <row r="1103" ht="36.0" customHeight="1">
      <c r="A1103" s="16" t="str">
        <f>HYPERLINK("https://commons.wikimedia.org/wiki/User:" &amp; ENCODEURL("Nbareschu"), "Nbareschu")</f>
        <v>Nbareschu</v>
      </c>
      <c r="B1103" s="17" t="s">
        <v>2301</v>
      </c>
      <c r="C1103" s="18">
        <v>46149.42140046296</v>
      </c>
      <c r="D1103" s="17" t="s">
        <v>2302</v>
      </c>
      <c r="E1103" s="19" t="s">
        <v>2303</v>
      </c>
      <c r="F1103" s="20" t="s">
        <v>16</v>
      </c>
      <c r="G1103" s="20" t="s">
        <v>17</v>
      </c>
      <c r="H1103" s="20" t="s">
        <v>18</v>
      </c>
      <c r="I1103" s="19" t="str">
        <f>IMAGE("https://upload.wikimedia.org/wikipedia/commons/8/89/Huevos_de_aire.jpg")</f>
        <v/>
      </c>
    </row>
    <row r="1104" ht="36.0" customHeight="1">
      <c r="A1104" s="10" t="str">
        <f>HYPERLINK("https://commons.wikimedia.org/wiki/User:" &amp; ENCODEURL("Joseeem"), "Joseeem")</f>
        <v>Joseeem</v>
      </c>
      <c r="B1104" s="11" t="s">
        <v>2304</v>
      </c>
      <c r="C1104" s="12">
        <v>46156.9447337963</v>
      </c>
      <c r="D1104" s="11" t="s">
        <v>2305</v>
      </c>
      <c r="E1104" s="14" t="s">
        <v>29</v>
      </c>
      <c r="F1104" s="14" t="s">
        <v>30</v>
      </c>
      <c r="G1104" s="15" t="s">
        <v>17</v>
      </c>
      <c r="H1104" s="15" t="s">
        <v>18</v>
      </c>
      <c r="I1104" s="14" t="str">
        <f>IMAGE("https://upload.wikimedia.org/wikipedia/commons/2/2c/Huila_Colombia.jpg")</f>
        <v/>
      </c>
    </row>
    <row r="1105" ht="36.0" customHeight="1">
      <c r="A1105" s="16" t="str">
        <f>HYPERLINK("https://commons.wikimedia.org/wiki/User:" &amp; ENCODEURL("PauMU86"), "PauMU86")</f>
        <v>PauMU86</v>
      </c>
      <c r="B1105" s="17" t="s">
        <v>2306</v>
      </c>
      <c r="C1105" s="18">
        <v>46171.69049768519</v>
      </c>
      <c r="D1105" s="17" t="s">
        <v>2307</v>
      </c>
      <c r="E1105" s="19" t="s">
        <v>29</v>
      </c>
      <c r="F1105" s="19" t="s">
        <v>30</v>
      </c>
      <c r="G1105" s="20" t="s">
        <v>17</v>
      </c>
      <c r="H1105" s="20" t="s">
        <v>18</v>
      </c>
      <c r="I1105" s="19" t="str">
        <f>IMAGE("https://upload.wikimedia.org/wikipedia/commons/1/1c/Humedal_C%C3%B3rdoba.jpg")</f>
        <v/>
      </c>
    </row>
    <row r="1106" ht="36.0" customHeight="1">
      <c r="A1106" s="10" t="str">
        <f>HYPERLINK("https://commons.wikimedia.org/wiki/User:" &amp; ENCODEURL("Gojan222"), "Gojan222")</f>
        <v>Gojan222</v>
      </c>
      <c r="B1106" s="11" t="s">
        <v>2308</v>
      </c>
      <c r="C1106" s="12">
        <v>46166.42403935185</v>
      </c>
      <c r="D1106" s="11" t="s">
        <v>2309</v>
      </c>
      <c r="E1106" s="14" t="s">
        <v>29</v>
      </c>
      <c r="F1106" s="14" t="s">
        <v>30</v>
      </c>
      <c r="G1106" s="15" t="s">
        <v>17</v>
      </c>
      <c r="H1106" s="15" t="s">
        <v>18</v>
      </c>
      <c r="I1106" s="14" t="str">
        <f>IMAGE("https://upload.wikimedia.org/wikipedia/commons/e/e5/Humedal_santa_maria_del_lago.jpg")</f>
        <v/>
      </c>
    </row>
    <row r="1107" ht="36.0" customHeight="1">
      <c r="A1107" s="16" t="str">
        <f>HYPERLINK("https://commons.wikimedia.org/wiki/User:" &amp; ENCODEURL("Allysami2215"), "Allysami2215")</f>
        <v>Allysami2215</v>
      </c>
      <c r="B1107" s="17" t="s">
        <v>2310</v>
      </c>
      <c r="C1107" s="18">
        <v>46147.8518287037</v>
      </c>
      <c r="D1107" s="17" t="s">
        <v>2311</v>
      </c>
      <c r="E1107" s="19" t="s">
        <v>29</v>
      </c>
      <c r="F1107" s="19" t="s">
        <v>30</v>
      </c>
      <c r="G1107" s="20" t="s">
        <v>17</v>
      </c>
      <c r="H1107" s="20" t="s">
        <v>18</v>
      </c>
      <c r="I1107" s="19" t="str">
        <f>IMAGE("https://upload.wikimedia.org/wikipedia/commons/a/a8/Humedal_sumapaz.jpg")</f>
        <v/>
      </c>
    </row>
    <row r="1108" ht="36.0" customHeight="1">
      <c r="A1108" s="10" t="str">
        <f>HYPERLINK("https://commons.wikimedia.org/wiki/User:" &amp; ENCODEURL("Project5443"), "Project5443")</f>
        <v>Project5443</v>
      </c>
      <c r="B1108" s="11" t="s">
        <v>2312</v>
      </c>
      <c r="C1108" s="12">
        <v>46163.5658912037</v>
      </c>
      <c r="D1108" s="11" t="s">
        <v>2313</v>
      </c>
      <c r="E1108" s="14" t="s">
        <v>2314</v>
      </c>
      <c r="F1108" s="15" t="s">
        <v>16</v>
      </c>
      <c r="G1108" s="15" t="s">
        <v>17</v>
      </c>
      <c r="H1108" s="15" t="s">
        <v>18</v>
      </c>
      <c r="I1108" s="14" t="str">
        <f>IMAGE("https://upload.wikimedia.org/wikipedia/commons/3/3d/Hydrangea_Macrophylla_en_Jard%C3%ADn_Bot%C3%A1nico.jpg")</f>
        <v/>
      </c>
    </row>
    <row r="1109" ht="36.0" customHeight="1">
      <c r="A1109" s="16" t="str">
        <f>HYPERLINK("https://commons.wikimedia.org/wiki/User:" &amp; ENCODEURL("XimmoY"), "XimmoY")</f>
        <v>XimmoY</v>
      </c>
      <c r="B1109" s="17" t="s">
        <v>2315</v>
      </c>
      <c r="C1109" s="18">
        <v>46198.884409722225</v>
      </c>
      <c r="D1109" s="17" t="s">
        <v>2316</v>
      </c>
      <c r="E1109" s="19" t="s">
        <v>184</v>
      </c>
      <c r="F1109" s="20" t="s">
        <v>16</v>
      </c>
      <c r="G1109" s="20" t="s">
        <v>17</v>
      </c>
      <c r="H1109" s="20" t="s">
        <v>18</v>
      </c>
      <c r="I1109" s="19" t="str">
        <f>IMAGE("https://upload.wikimedia.org/wikipedia/commons/7/73/Hyloscirtus_palmeri_2026.jpg")</f>
        <v/>
      </c>
    </row>
    <row r="1110" ht="36.0" customHeight="1">
      <c r="A1110" s="10" t="str">
        <f>HYPERLINK("https://commons.wikimedia.org/wiki/User:" &amp; ENCODEURL("Anfedame"), "Anfedame")</f>
        <v>Anfedame</v>
      </c>
      <c r="B1110" s="11" t="s">
        <v>2317</v>
      </c>
      <c r="C1110" s="12">
        <v>46203.71097222222</v>
      </c>
      <c r="D1110" s="11" t="s">
        <v>2318</v>
      </c>
      <c r="E1110" s="14" t="s">
        <v>29</v>
      </c>
      <c r="F1110" s="14" t="s">
        <v>30</v>
      </c>
      <c r="G1110" s="15" t="s">
        <v>17</v>
      </c>
      <c r="H1110" s="15" t="s">
        <v>18</v>
      </c>
      <c r="I1110" s="14" t="str">
        <f>IMAGE("https://upload.wikimedia.org/wikipedia/commons/5/57/Hypercum_Juniperinum.jpg")</f>
        <v/>
      </c>
    </row>
    <row r="1111" ht="36.0" customHeight="1">
      <c r="A1111" s="16" t="str">
        <f>HYPERLINK("https://commons.wikimedia.org/wiki/User:" &amp; ENCODEURL("María Victoria Alzate Acevedo"), "María Victoria Alzate Acevedo")</f>
        <v>María Victoria Alzate Acevedo</v>
      </c>
      <c r="B1111" s="17" t="s">
        <v>2319</v>
      </c>
      <c r="C1111" s="18">
        <v>46166.63375</v>
      </c>
      <c r="D1111" s="17" t="s">
        <v>2320</v>
      </c>
      <c r="E1111" s="19" t="s">
        <v>29</v>
      </c>
      <c r="F1111" s="19" t="s">
        <v>30</v>
      </c>
      <c r="G1111" s="20" t="s">
        <v>17</v>
      </c>
      <c r="H1111" s="20" t="s">
        <v>18</v>
      </c>
      <c r="I1111" s="19" t="str">
        <f>IMAGE("https://upload.wikimedia.org/wikipedia/commons/4/49/IGUANA_POSANDO_EN_UN_ARBOL.jpg")</f>
        <v/>
      </c>
    </row>
    <row r="1112" ht="36.0" customHeight="1">
      <c r="A1112" s="10" t="str">
        <f>HYPERLINK("https://commons.wikimedia.org/wiki/User:" &amp; ENCODEURL("Kitty Perez"), "Kitty Perez")</f>
        <v>Kitty Perez</v>
      </c>
      <c r="B1112" s="11" t="s">
        <v>2321</v>
      </c>
      <c r="C1112" s="12">
        <v>46196.60644675926</v>
      </c>
      <c r="D1112" s="11" t="s">
        <v>2322</v>
      </c>
      <c r="E1112" s="14" t="s">
        <v>29</v>
      </c>
      <c r="F1112" s="14" t="s">
        <v>30</v>
      </c>
      <c r="G1112" s="15" t="s">
        <v>17</v>
      </c>
      <c r="H1112" s="15" t="s">
        <v>18</v>
      </c>
      <c r="I1112" s="14" t="str">
        <f>IMAGE("https://upload.wikimedia.org/wikipedia/commons/b/b2/IMG-20260525-WA0007_flores_para_mis_amigas.jpg")</f>
        <v/>
      </c>
    </row>
    <row r="1113" ht="36.0" customHeight="1">
      <c r="A1113" s="16" t="str">
        <f t="shared" ref="A1113:A1114" si="148">HYPERLINK("https://commons.wikimedia.org/wiki/User:" &amp; ENCODEURL("Sanfelpa"), "Sanfelpa")</f>
        <v>Sanfelpa</v>
      </c>
      <c r="B1113" s="17" t="s">
        <v>2323</v>
      </c>
      <c r="C1113" s="18">
        <v>46194.31140046296</v>
      </c>
      <c r="D1113" s="17" t="s">
        <v>2191</v>
      </c>
      <c r="E1113" s="19" t="s">
        <v>29</v>
      </c>
      <c r="F1113" s="19" t="s">
        <v>30</v>
      </c>
      <c r="G1113" s="20" t="s">
        <v>17</v>
      </c>
      <c r="H1113" s="20" t="s">
        <v>18</v>
      </c>
      <c r="I1113" s="19" t="str">
        <f>IMAGE("https://upload.wikimedia.org/wikipedia/commons/f/f8/Ibis_coquito.jpg")</f>
        <v/>
      </c>
    </row>
    <row r="1114" ht="36.0" customHeight="1">
      <c r="A1114" s="10" t="str">
        <f t="shared" si="148"/>
        <v>Sanfelpa</v>
      </c>
      <c r="B1114" s="11" t="s">
        <v>2324</v>
      </c>
      <c r="C1114" s="12">
        <v>46194.31145833333</v>
      </c>
      <c r="D1114" s="11" t="s">
        <v>2325</v>
      </c>
      <c r="E1114" s="14" t="s">
        <v>29</v>
      </c>
      <c r="F1114" s="14" t="s">
        <v>30</v>
      </c>
      <c r="G1114" s="15" t="s">
        <v>17</v>
      </c>
      <c r="H1114" s="15" t="s">
        <v>18</v>
      </c>
      <c r="I1114" s="14" t="str">
        <f>IMAGE("https://upload.wikimedia.org/wikipedia/commons/7/74/Ibis_coquito_en_MEDELLIN.jpg")</f>
        <v/>
      </c>
    </row>
    <row r="1115" ht="36.0" customHeight="1">
      <c r="A1115" s="16" t="str">
        <f>HYPERLINK("https://commons.wikimedia.org/wiki/User:" &amp; ENCODEURL("IvanVillacorte"), "IvanVillacorte")</f>
        <v>IvanVillacorte</v>
      </c>
      <c r="B1115" s="17" t="s">
        <v>2326</v>
      </c>
      <c r="C1115" s="18">
        <v>46162.86177083333</v>
      </c>
      <c r="D1115" s="17" t="s">
        <v>2327</v>
      </c>
      <c r="E1115" s="19" t="s">
        <v>29</v>
      </c>
      <c r="F1115" s="19" t="s">
        <v>30</v>
      </c>
      <c r="G1115" s="20" t="s">
        <v>17</v>
      </c>
      <c r="H1115" s="20" t="s">
        <v>18</v>
      </c>
      <c r="I1115" s="19" t="str">
        <f>IMAGE("https://upload.wikimedia.org/wikipedia/commons/5/57/Icterus_chrysater_en_percha_natural_en_entorno_forestal.jpg")</f>
        <v/>
      </c>
    </row>
    <row r="1116" ht="36.0" customHeight="1">
      <c r="A1116" s="10" t="str">
        <f>HYPERLINK("https://commons.wikimedia.org/wiki/User:" &amp; ENCODEURL("NataMendietaOrtega"), "NataMendietaOrtega")</f>
        <v>NataMendietaOrtega</v>
      </c>
      <c r="B1116" s="11" t="s">
        <v>2328</v>
      </c>
      <c r="C1116" s="12">
        <v>46163.537094907406</v>
      </c>
      <c r="D1116" s="11" t="s">
        <v>2329</v>
      </c>
      <c r="E1116" s="14" t="s">
        <v>29</v>
      </c>
      <c r="F1116" s="14" t="s">
        <v>30</v>
      </c>
      <c r="G1116" s="15" t="s">
        <v>17</v>
      </c>
      <c r="H1116" s="15" t="s">
        <v>18</v>
      </c>
      <c r="I1116" s="14" t="str">
        <f>IMAGE("https://upload.wikimedia.org/wikipedia/commons/3/37/Iglesia%2C_Chapinero%2C_Bogot%C3%A1%2C_Colombia.jpg")</f>
        <v/>
      </c>
    </row>
    <row r="1117" ht="36.0" customHeight="1">
      <c r="A1117" s="16" t="str">
        <f>HYPERLINK("https://commons.wikimedia.org/wiki/User:" &amp; ENCODEURL("Allysami2215"), "Allysami2215")</f>
        <v>Allysami2215</v>
      </c>
      <c r="B1117" s="17" t="s">
        <v>2330</v>
      </c>
      <c r="C1117" s="18">
        <v>46147.85173611111</v>
      </c>
      <c r="D1117" s="17" t="s">
        <v>2331</v>
      </c>
      <c r="E1117" s="19" t="s">
        <v>29</v>
      </c>
      <c r="F1117" s="19" t="s">
        <v>30</v>
      </c>
      <c r="G1117" s="20" t="s">
        <v>17</v>
      </c>
      <c r="H1117" s="20" t="s">
        <v>18</v>
      </c>
      <c r="I1117" s="19" t="str">
        <f>IMAGE("https://upload.wikimedia.org/wikipedia/commons/5/5b/Iglesia_de_Quiba1.jpg")</f>
        <v/>
      </c>
    </row>
    <row r="1118" ht="36.0" customHeight="1">
      <c r="A1118" s="10" t="str">
        <f>HYPERLINK("https://commons.wikimedia.org/wiki/User:" &amp; ENCODEURL("Cocada2013"), "Cocada2013")</f>
        <v>Cocada2013</v>
      </c>
      <c r="B1118" s="11" t="s">
        <v>2332</v>
      </c>
      <c r="C1118" s="12">
        <v>46143.41967592593</v>
      </c>
      <c r="D1118" s="11" t="s">
        <v>2333</v>
      </c>
      <c r="E1118" s="14" t="s">
        <v>29</v>
      </c>
      <c r="F1118" s="14" t="s">
        <v>30</v>
      </c>
      <c r="G1118" s="15" t="s">
        <v>17</v>
      </c>
      <c r="H1118" s="15" t="s">
        <v>18</v>
      </c>
      <c r="I1118" s="14" t="str">
        <f>IMAGE("https://upload.wikimedia.org/wikipedia/commons/a/a2/Iguana_Barrancabermeja.jpg")</f>
        <v/>
      </c>
    </row>
    <row r="1119" ht="36.0" customHeight="1">
      <c r="A1119" s="16" t="str">
        <f t="shared" ref="A1119:A1120" si="149">HYPERLINK("https://commons.wikimedia.org/wiki/User:" &amp; ENCODEURL("Unknown contributed"), "Unknown contributed")</f>
        <v>Unknown contributed</v>
      </c>
      <c r="B1119" s="17" t="s">
        <v>2334</v>
      </c>
      <c r="C1119" s="18">
        <v>46198.773888888885</v>
      </c>
      <c r="D1119" s="17" t="s">
        <v>2335</v>
      </c>
      <c r="E1119" s="19" t="s">
        <v>29</v>
      </c>
      <c r="F1119" s="19" t="s">
        <v>30</v>
      </c>
      <c r="G1119" s="20" t="s">
        <v>17</v>
      </c>
      <c r="H1119" s="20" t="s">
        <v>18</v>
      </c>
      <c r="I1119" s="19" t="str">
        <f>IMAGE("https://upload.wikimedia.org/wikipedia/commons/e/ef/Iguana_Leg.jpg")</f>
        <v/>
      </c>
    </row>
    <row r="1120" ht="36.0" customHeight="1">
      <c r="A1120" s="10" t="str">
        <f t="shared" si="149"/>
        <v>Unknown contributed</v>
      </c>
      <c r="B1120" s="11" t="s">
        <v>2336</v>
      </c>
      <c r="C1120" s="12">
        <v>46198.77385416667</v>
      </c>
      <c r="D1120" s="11" t="s">
        <v>2335</v>
      </c>
      <c r="E1120" s="14" t="s">
        <v>29</v>
      </c>
      <c r="F1120" s="14" t="s">
        <v>30</v>
      </c>
      <c r="G1120" s="15" t="s">
        <v>17</v>
      </c>
      <c r="H1120" s="15" t="s">
        <v>18</v>
      </c>
      <c r="I1120" s="14" t="str">
        <f>IMAGE("https://upload.wikimedia.org/wikipedia/commons/9/9b/Iguana_Talons.jpg")</f>
        <v/>
      </c>
    </row>
    <row r="1121" ht="36.0" customHeight="1">
      <c r="A1121" s="16" t="str">
        <f t="shared" ref="A1121:A1125" si="150">HYPERLINK("https://commons.wikimedia.org/wiki/User:" &amp; ENCODEURL("Diferoch"), "Diferoch")</f>
        <v>Diferoch</v>
      </c>
      <c r="B1121" s="17" t="s">
        <v>2337</v>
      </c>
      <c r="C1121" s="18">
        <v>46182.63266203704</v>
      </c>
      <c r="D1121" s="17" t="s">
        <v>2338</v>
      </c>
      <c r="E1121" s="19" t="s">
        <v>2339</v>
      </c>
      <c r="F1121" s="20" t="s">
        <v>16</v>
      </c>
      <c r="G1121" s="20" t="s">
        <v>17</v>
      </c>
      <c r="H1121" s="20" t="s">
        <v>18</v>
      </c>
      <c r="I1121" s="19" t="str">
        <f>IMAGE("https://upload.wikimedia.org/wikipedia/commons/7/79/Iguana_iguana_-_Barrancabermeja%2C_Santander%2C_Colombia_-_08_Jul_2026_-_Diferoch.jpg")</f>
        <v/>
      </c>
    </row>
    <row r="1122" ht="36.0" customHeight="1">
      <c r="A1122" s="10" t="str">
        <f t="shared" si="150"/>
        <v>Diferoch</v>
      </c>
      <c r="B1122" s="11" t="s">
        <v>2340</v>
      </c>
      <c r="C1122" s="12">
        <v>46171.95216435185</v>
      </c>
      <c r="D1122" s="11" t="s">
        <v>2338</v>
      </c>
      <c r="E1122" s="14" t="s">
        <v>2341</v>
      </c>
      <c r="F1122" s="15" t="s">
        <v>16</v>
      </c>
      <c r="G1122" s="15" t="s">
        <v>17</v>
      </c>
      <c r="H1122" s="15" t="s">
        <v>18</v>
      </c>
      <c r="I1122" s="14" t="str">
        <f>IMAGE("https://upload.wikimedia.org/wikipedia/commons/6/61/Iguana_iguana_-_Barrancabermeja%2C_Santander%2C_Colombia_-_13_Jun_2025_-_Diferoch.jpg")</f>
        <v/>
      </c>
    </row>
    <row r="1123" ht="36.0" customHeight="1">
      <c r="A1123" s="16" t="str">
        <f t="shared" si="150"/>
        <v>Diferoch</v>
      </c>
      <c r="B1123" s="17" t="s">
        <v>2342</v>
      </c>
      <c r="C1123" s="18">
        <v>46202.93503472222</v>
      </c>
      <c r="D1123" s="17" t="s">
        <v>2338</v>
      </c>
      <c r="E1123" s="19" t="s">
        <v>2343</v>
      </c>
      <c r="F1123" s="20" t="s">
        <v>16</v>
      </c>
      <c r="G1123" s="20" t="s">
        <v>17</v>
      </c>
      <c r="H1123" s="20" t="s">
        <v>18</v>
      </c>
      <c r="I1123" s="19" t="str">
        <f>IMAGE("https://upload.wikimedia.org/wikipedia/commons/9/9e/Iguana_iguana_-_Barrancabermeja%2C_Santander%2C_Colombia_-_31_Dec_2025_-_Diferoch.jpg")</f>
        <v/>
      </c>
    </row>
    <row r="1124" ht="36.0" customHeight="1">
      <c r="A1124" s="10" t="str">
        <f t="shared" si="150"/>
        <v>Diferoch</v>
      </c>
      <c r="B1124" s="11" t="s">
        <v>2344</v>
      </c>
      <c r="C1124" s="12">
        <v>46197.988125</v>
      </c>
      <c r="D1124" s="11" t="s">
        <v>2345</v>
      </c>
      <c r="E1124" s="14" t="s">
        <v>2346</v>
      </c>
      <c r="F1124" s="15" t="s">
        <v>16</v>
      </c>
      <c r="G1124" s="15" t="s">
        <v>17</v>
      </c>
      <c r="H1124" s="15" t="s">
        <v>18</v>
      </c>
      <c r="I1124" s="14" t="str">
        <f>IMAGE("https://upload.wikimedia.org/wikipedia/commons/9/96/Iguana_iguana_-_Nuqu%C3%AD%2C_Choc%C3%B3%2C_Colombia_-_22_Oct_2025_-_Diferoch.jpg")</f>
        <v/>
      </c>
    </row>
    <row r="1125" ht="36.0" customHeight="1">
      <c r="A1125" s="16" t="str">
        <f t="shared" si="150"/>
        <v>Diferoch</v>
      </c>
      <c r="B1125" s="17" t="s">
        <v>2347</v>
      </c>
      <c r="C1125" s="18">
        <v>46180.594201388885</v>
      </c>
      <c r="D1125" s="17" t="s">
        <v>2348</v>
      </c>
      <c r="E1125" s="19" t="s">
        <v>2349</v>
      </c>
      <c r="F1125" s="20" t="s">
        <v>16</v>
      </c>
      <c r="G1125" s="20" t="s">
        <v>17</v>
      </c>
      <c r="H1125" s="20" t="s">
        <v>18</v>
      </c>
      <c r="I1125" s="19" t="str">
        <f>IMAGE("https://upload.wikimedia.org/wikipedia/commons/1/17/Iguana_iguana_-_Santa_Marta%2C_Magdalena%2C_Colombia_-_26_Jun_2025_-_Diferoch.jpg")</f>
        <v/>
      </c>
    </row>
    <row r="1126" ht="36.0" customHeight="1">
      <c r="A1126" s="10" t="str">
        <f t="shared" ref="A1126:A1128" si="151">HYPERLINK("https://commons.wikimedia.org/wiki/User:" &amp; ENCODEURL("Unknown contributed"), "Unknown contributed")</f>
        <v>Unknown contributed</v>
      </c>
      <c r="B1126" s="11" t="s">
        <v>2350</v>
      </c>
      <c r="C1126" s="12">
        <v>46198.77380787037</v>
      </c>
      <c r="D1126" s="11" t="s">
        <v>2335</v>
      </c>
      <c r="E1126" s="14" t="s">
        <v>29</v>
      </c>
      <c r="F1126" s="14" t="s">
        <v>30</v>
      </c>
      <c r="G1126" s="15" t="s">
        <v>17</v>
      </c>
      <c r="H1126" s="15" t="s">
        <v>18</v>
      </c>
      <c r="I1126" s="14" t="str">
        <f>IMAGE("https://upload.wikimedia.org/wikipedia/commons/9/9b/Iguana_on_Cannon_1.jpg")</f>
        <v/>
      </c>
    </row>
    <row r="1127" ht="36.0" customHeight="1">
      <c r="A1127" s="16" t="str">
        <f t="shared" si="151"/>
        <v>Unknown contributed</v>
      </c>
      <c r="B1127" s="17" t="s">
        <v>2351</v>
      </c>
      <c r="C1127" s="18">
        <v>46198.77384259259</v>
      </c>
      <c r="D1127" s="17" t="s">
        <v>2335</v>
      </c>
      <c r="E1127" s="19" t="s">
        <v>29</v>
      </c>
      <c r="F1127" s="19" t="s">
        <v>30</v>
      </c>
      <c r="G1127" s="20" t="s">
        <v>17</v>
      </c>
      <c r="H1127" s="20" t="s">
        <v>18</v>
      </c>
      <c r="I1127" s="19" t="str">
        <f>IMAGE("https://upload.wikimedia.org/wikipedia/commons/9/96/Iguana_on_Cannon_2.jpg")</f>
        <v/>
      </c>
    </row>
    <row r="1128" ht="36.0" customHeight="1">
      <c r="A1128" s="10" t="str">
        <f t="shared" si="151"/>
        <v>Unknown contributed</v>
      </c>
      <c r="B1128" s="11" t="s">
        <v>2352</v>
      </c>
      <c r="C1128" s="12">
        <v>46198.773888888885</v>
      </c>
      <c r="D1128" s="11" t="s">
        <v>2335</v>
      </c>
      <c r="E1128" s="14" t="s">
        <v>29</v>
      </c>
      <c r="F1128" s="14" t="s">
        <v>30</v>
      </c>
      <c r="G1128" s="15" t="s">
        <v>17</v>
      </c>
      <c r="H1128" s="15" t="s">
        <v>18</v>
      </c>
      <c r="I1128" s="14" t="str">
        <f>IMAGE("https://upload.wikimedia.org/wikipedia/commons/7/7b/Iguana_on_Cannon_3.jpg")</f>
        <v/>
      </c>
    </row>
    <row r="1129" ht="36.0" customHeight="1">
      <c r="A1129" s="16" t="str">
        <f>HYPERLINK("https://commons.wikimedia.org/wiki/User:" &amp; ENCODEURL("XimmoY"), "XimmoY")</f>
        <v>XimmoY</v>
      </c>
      <c r="B1129" s="17" t="s">
        <v>2353</v>
      </c>
      <c r="C1129" s="18">
        <v>46203.88055555556</v>
      </c>
      <c r="D1129" s="17" t="s">
        <v>2354</v>
      </c>
      <c r="E1129" s="19" t="s">
        <v>184</v>
      </c>
      <c r="F1129" s="20" t="s">
        <v>16</v>
      </c>
      <c r="G1129" s="20" t="s">
        <v>17</v>
      </c>
      <c r="H1129" s="20" t="s">
        <v>18</v>
      </c>
      <c r="I1129" s="19" t="str">
        <f>IMAGE("https://upload.wikimedia.org/wikipedia/commons/a/a8/Iguana_verde_2026.jpg")</f>
        <v/>
      </c>
    </row>
    <row r="1130" ht="36.0" customHeight="1">
      <c r="A1130" s="10" t="str">
        <f>HYPERLINK("https://commons.wikimedia.org/wiki/User:" &amp; ENCODEURL("Guiverfer"), "Guiverfer")</f>
        <v>Guiverfer</v>
      </c>
      <c r="B1130" s="11" t="s">
        <v>2355</v>
      </c>
      <c r="C1130" s="12">
        <v>46202.81203703704</v>
      </c>
      <c r="D1130" s="11" t="s">
        <v>2356</v>
      </c>
      <c r="E1130" s="14" t="s">
        <v>29</v>
      </c>
      <c r="F1130" s="14" t="s">
        <v>30</v>
      </c>
      <c r="G1130" s="15" t="s">
        <v>17</v>
      </c>
      <c r="H1130" s="15" t="s">
        <v>18</v>
      </c>
      <c r="I1130" s="14" t="str">
        <f>IMAGE("https://upload.wikimedia.org/wikipedia/commons/f/fe/Iguana_verde_buscando_alimentos_a_la_orilla_de_la_Quebrada.jpg")</f>
        <v/>
      </c>
    </row>
    <row r="1131" ht="36.0" customHeight="1">
      <c r="A1131" s="16" t="str">
        <f>HYPERLINK("https://commons.wikimedia.org/wiki/User:" &amp; ENCODEURL("Juli 2000 her"), "Juli 2000 her")</f>
        <v>Juli 2000 her</v>
      </c>
      <c r="B1131" s="17" t="s">
        <v>2357</v>
      </c>
      <c r="C1131" s="18">
        <v>46189.054930555554</v>
      </c>
      <c r="D1131" s="17" t="s">
        <v>2358</v>
      </c>
      <c r="E1131" s="19" t="s">
        <v>29</v>
      </c>
      <c r="F1131" s="19" t="s">
        <v>30</v>
      </c>
      <c r="G1131" s="20" t="s">
        <v>17</v>
      </c>
      <c r="H1131" s="20" t="s">
        <v>18</v>
      </c>
      <c r="I1131" s="19" t="str">
        <f>IMAGE("https://upload.wikimedia.org/wikipedia/commons/9/94/Iguana_verde_juvenil_%28Iguana_iguana%29_en_palmas_en_Villeta%2C_Cundinamarca.jpg")</f>
        <v/>
      </c>
    </row>
    <row r="1132" ht="36.0" customHeight="1">
      <c r="A1132" s="10" t="str">
        <f>HYPERLINK("https://commons.wikimedia.org/wiki/User:" &amp; ENCODEURL("Johan Andrés Toro"), "Johan Andrés Toro")</f>
        <v>Johan Andrés Toro</v>
      </c>
      <c r="B1132" s="11" t="s">
        <v>2359</v>
      </c>
      <c r="C1132" s="12">
        <v>46171.62708333333</v>
      </c>
      <c r="D1132" s="11" t="s">
        <v>2360</v>
      </c>
      <c r="E1132" s="14" t="s">
        <v>2361</v>
      </c>
      <c r="F1132" s="15" t="s">
        <v>16</v>
      </c>
      <c r="G1132" s="15" t="s">
        <v>17</v>
      </c>
      <c r="H1132" s="15" t="s">
        <v>18</v>
      </c>
      <c r="I1132" s="14" t="str">
        <f>IMAGE("https://upload.wikimedia.org/wikipedia/commons/0/01/Impacto_hidrol%C3%B3gico_y_ambiental_en_el_Salto_del_Tequendama.jpg")</f>
        <v/>
      </c>
    </row>
    <row r="1133" ht="36.0" customHeight="1">
      <c r="A1133" s="16" t="str">
        <f>HYPERLINK("https://commons.wikimedia.org/wiki/User:" &amp; ENCODEURL("NMontoya (WMCO)"), "NMontoya (WMCO)")</f>
        <v>NMontoya (WMCO)</v>
      </c>
      <c r="B1133" s="17" t="s">
        <v>2362</v>
      </c>
      <c r="C1133" s="18">
        <v>46191.80774305556</v>
      </c>
      <c r="D1133" s="17" t="s">
        <v>2363</v>
      </c>
      <c r="E1133" s="19" t="s">
        <v>683</v>
      </c>
      <c r="F1133" s="20" t="s">
        <v>16</v>
      </c>
      <c r="G1133" s="20" t="s">
        <v>17</v>
      </c>
      <c r="H1133" s="20" t="s">
        <v>18</v>
      </c>
      <c r="I1133" s="19" t="str">
        <f>IMAGE("https://upload.wikimedia.org/wikipedia/commons/e/e0/Impatiens_marianae_-_Familia_Balsaminaceae.jpg")</f>
        <v/>
      </c>
    </row>
    <row r="1134" ht="36.0" customHeight="1">
      <c r="A1134" s="10" t="str">
        <f>HYPERLINK("https://commons.wikimedia.org/wiki/User:" &amp; ENCODEURL("AmiGueko"), "AmiGueko")</f>
        <v>AmiGueko</v>
      </c>
      <c r="B1134" s="11" t="s">
        <v>2364</v>
      </c>
      <c r="C1134" s="12">
        <v>46178.395949074074</v>
      </c>
      <c r="D1134" s="11" t="s">
        <v>2365</v>
      </c>
      <c r="E1134" s="14" t="s">
        <v>103</v>
      </c>
      <c r="F1134" s="15" t="s">
        <v>16</v>
      </c>
      <c r="G1134" s="15" t="s">
        <v>17</v>
      </c>
      <c r="H1134" s="15" t="s">
        <v>18</v>
      </c>
      <c r="I1134" s="14" t="str">
        <f>IMAGE("https://upload.wikimedia.org/wikipedia/commons/d/d0/Impatiens_marianae_mayo_de_2026.jpg")</f>
        <v/>
      </c>
    </row>
    <row r="1135" ht="36.0" customHeight="1">
      <c r="A1135" s="16" t="str">
        <f>HYPERLINK("https://commons.wikimedia.org/wiki/User:" &amp; ENCODEURL("Johannelob"), "Johannelob")</f>
        <v>Johannelob</v>
      </c>
      <c r="B1135" s="17" t="s">
        <v>2366</v>
      </c>
      <c r="C1135" s="18">
        <v>46200.68070601852</v>
      </c>
      <c r="D1135" s="17" t="s">
        <v>2367</v>
      </c>
      <c r="E1135" s="19" t="s">
        <v>223</v>
      </c>
      <c r="F1135" s="20" t="s">
        <v>16</v>
      </c>
      <c r="G1135" s="20" t="s">
        <v>17</v>
      </c>
      <c r="H1135" s="20" t="s">
        <v>18</v>
      </c>
      <c r="I1135" s="19" t="str">
        <f>IMAGE("https://upload.wikimedia.org/wikipedia/commons/e/e6/Imponente_Ceiba_del_FIRE.jpg")</f>
        <v/>
      </c>
    </row>
    <row r="1136" ht="36.0" customHeight="1">
      <c r="A1136" s="10" t="str">
        <f>HYPERLINK("https://commons.wikimedia.org/wiki/User:" &amp; ENCODEURL("Ciri.macro"), "Ciri.macro")</f>
        <v>Ciri.macro</v>
      </c>
      <c r="B1136" s="11" t="s">
        <v>2368</v>
      </c>
      <c r="C1136" s="12">
        <v>46202.335810185185</v>
      </c>
      <c r="D1136" s="11" t="s">
        <v>2369</v>
      </c>
      <c r="E1136" s="14" t="s">
        <v>29</v>
      </c>
      <c r="F1136" s="14" t="s">
        <v>30</v>
      </c>
      <c r="G1136" s="15" t="s">
        <v>17</v>
      </c>
      <c r="H1136" s="15" t="s">
        <v>18</v>
      </c>
      <c r="I1136" s="14" t="str">
        <f>IMAGE("https://upload.wikimedia.org/wikipedia/commons/e/e4/Inbound5989755932990352473.jpg")</f>
        <v/>
      </c>
    </row>
    <row r="1137" ht="36.0" customHeight="1">
      <c r="A1137" s="16" t="str">
        <f t="shared" ref="A1137:A1138" si="152">HYPERLINK("https://commons.wikimedia.org/wiki/User:" &amp; ENCODEURL("Joseeem"), "Joseeem")</f>
        <v>Joseeem</v>
      </c>
      <c r="B1137" s="17" t="s">
        <v>2370</v>
      </c>
      <c r="C1137" s="18">
        <v>46156.94480324074</v>
      </c>
      <c r="D1137" s="17" t="s">
        <v>2371</v>
      </c>
      <c r="E1137" s="19" t="s">
        <v>29</v>
      </c>
      <c r="F1137" s="19" t="s">
        <v>30</v>
      </c>
      <c r="G1137" s="20" t="s">
        <v>17</v>
      </c>
      <c r="H1137" s="20" t="s">
        <v>18</v>
      </c>
      <c r="I1137" s="19" t="str">
        <f>IMAGE("https://upload.wikimedia.org/wikipedia/commons/a/a6/Inca_Inca_Beach.jpg")</f>
        <v/>
      </c>
    </row>
    <row r="1138" ht="36.0" customHeight="1">
      <c r="A1138" s="10" t="str">
        <f t="shared" si="152"/>
        <v>Joseeem</v>
      </c>
      <c r="B1138" s="11" t="s">
        <v>2372</v>
      </c>
      <c r="C1138" s="12">
        <v>46156.944768518515</v>
      </c>
      <c r="D1138" s="11" t="s">
        <v>2373</v>
      </c>
      <c r="E1138" s="14" t="s">
        <v>29</v>
      </c>
      <c r="F1138" s="14" t="s">
        <v>30</v>
      </c>
      <c r="G1138" s="15" t="s">
        <v>17</v>
      </c>
      <c r="H1138" s="15" t="s">
        <v>18</v>
      </c>
      <c r="I1138" s="14" t="str">
        <f>IMAGE("https://upload.wikimedia.org/wikipedia/commons/b/b5/Incredible_coastal_views.jpg")</f>
        <v/>
      </c>
    </row>
    <row r="1139" ht="36.0" customHeight="1">
      <c r="A1139" s="16" t="str">
        <f t="shared" ref="A1139:A1143" si="153">HYPERLINK("https://commons.wikimedia.org/wiki/User:" &amp; ENCODEURL("IvanVillacorte"), "IvanVillacorte")</f>
        <v>IvanVillacorte</v>
      </c>
      <c r="B1139" s="17" t="s">
        <v>2374</v>
      </c>
      <c r="C1139" s="18">
        <v>46162.82241898148</v>
      </c>
      <c r="D1139" s="17" t="s">
        <v>2375</v>
      </c>
      <c r="E1139" s="19" t="s">
        <v>29</v>
      </c>
      <c r="F1139" s="19" t="s">
        <v>30</v>
      </c>
      <c r="G1139" s="20" t="s">
        <v>17</v>
      </c>
      <c r="H1139" s="20" t="s">
        <v>18</v>
      </c>
      <c r="I1139" s="19" t="str">
        <f>IMAGE("https://upload.wikimedia.org/wikipedia/commons/4/4e/Individuo_de_Contopus_sordidulus_posado_en_estructura_antropog%C3%A9nica_en_entorno_forestal.jpg")</f>
        <v/>
      </c>
    </row>
    <row r="1140" ht="36.0" customHeight="1">
      <c r="A1140" s="10" t="str">
        <f t="shared" si="153"/>
        <v>IvanVillacorte</v>
      </c>
      <c r="B1140" s="11" t="s">
        <v>2376</v>
      </c>
      <c r="C1140" s="12">
        <v>46162.86818287037</v>
      </c>
      <c r="D1140" s="11" t="s">
        <v>2377</v>
      </c>
      <c r="E1140" s="14" t="s">
        <v>29</v>
      </c>
      <c r="F1140" s="14" t="s">
        <v>30</v>
      </c>
      <c r="G1140" s="15" t="s">
        <v>17</v>
      </c>
      <c r="H1140" s="15" t="s">
        <v>18</v>
      </c>
      <c r="I1140" s="14" t="str">
        <f>IMAGE("https://upload.wikimedia.org/wikipedia/commons/5/58/Individuo_de_Elanus_leucurus_en_percha_antropog%C3%A9nica_en_entorno_abierto.jpg")</f>
        <v/>
      </c>
    </row>
    <row r="1141" ht="36.0" customHeight="1">
      <c r="A1141" s="16" t="str">
        <f t="shared" si="153"/>
        <v>IvanVillacorte</v>
      </c>
      <c r="B1141" s="17" t="s">
        <v>2378</v>
      </c>
      <c r="C1141" s="18">
        <v>46162.83256944444</v>
      </c>
      <c r="D1141" s="17" t="s">
        <v>2379</v>
      </c>
      <c r="E1141" s="19" t="s">
        <v>29</v>
      </c>
      <c r="F1141" s="19" t="s">
        <v>30</v>
      </c>
      <c r="G1141" s="20" t="s">
        <v>17</v>
      </c>
      <c r="H1141" s="20" t="s">
        <v>18</v>
      </c>
      <c r="I1141" s="19" t="str">
        <f>IMAGE("https://upload.wikimedia.org/wikipedia/commons/8/83/Individuo_de_Metallura_tyrianthina_en_comportamiento_de_alimentaci%C3%B3n_en_h%C3%A1bitat_boscoso.jpg")</f>
        <v/>
      </c>
    </row>
    <row r="1142" ht="36.0" customHeight="1">
      <c r="A1142" s="10" t="str">
        <f t="shared" si="153"/>
        <v>IvanVillacorte</v>
      </c>
      <c r="B1142" s="11" t="s">
        <v>2380</v>
      </c>
      <c r="C1142" s="12">
        <v>46162.82943287037</v>
      </c>
      <c r="D1142" s="11" t="s">
        <v>2381</v>
      </c>
      <c r="E1142" s="14" t="s">
        <v>29</v>
      </c>
      <c r="F1142" s="14" t="s">
        <v>30</v>
      </c>
      <c r="G1142" s="15" t="s">
        <v>17</v>
      </c>
      <c r="H1142" s="15" t="s">
        <v>18</v>
      </c>
      <c r="I1142" s="14" t="str">
        <f>IMAGE("https://upload.wikimedia.org/wikipedia/commons/4/43/Individuo_de_Pheucticus_aureoventris_en_h%C3%A1bitat_boscoso.jpg")</f>
        <v/>
      </c>
    </row>
    <row r="1143" ht="36.0" customHeight="1">
      <c r="A1143" s="16" t="str">
        <f t="shared" si="153"/>
        <v>IvanVillacorte</v>
      </c>
      <c r="B1143" s="17" t="s">
        <v>2382</v>
      </c>
      <c r="C1143" s="18">
        <v>46162.82454861111</v>
      </c>
      <c r="D1143" s="17" t="s">
        <v>2383</v>
      </c>
      <c r="E1143" s="19" t="s">
        <v>29</v>
      </c>
      <c r="F1143" s="19" t="s">
        <v>30</v>
      </c>
      <c r="G1143" s="20" t="s">
        <v>17</v>
      </c>
      <c r="H1143" s="20" t="s">
        <v>18</v>
      </c>
      <c r="I1143" s="19" t="str">
        <f>IMAGE("https://upload.wikimedia.org/wikipedia/commons/d/d0/Individuo_de_Piaya_cayana_posado_en_vegetaci%C3%B3n_de_entorno_boscoso.jpg")</f>
        <v/>
      </c>
    </row>
    <row r="1144" ht="36.0" customHeight="1">
      <c r="A1144" s="10" t="str">
        <f>HYPERLINK("https://commons.wikimedia.org/wiki/User:" &amp; ENCODEURL("Nathaly 1106"), "Nathaly 1106")</f>
        <v>Nathaly 1106</v>
      </c>
      <c r="B1144" s="11" t="s">
        <v>2384</v>
      </c>
      <c r="C1144" s="12">
        <v>46147.609351851854</v>
      </c>
      <c r="D1144" s="11" t="s">
        <v>2385</v>
      </c>
      <c r="E1144" s="14" t="s">
        <v>29</v>
      </c>
      <c r="F1144" s="14" t="s">
        <v>30</v>
      </c>
      <c r="G1144" s="15" t="s">
        <v>17</v>
      </c>
      <c r="H1144" s="15" t="s">
        <v>18</v>
      </c>
      <c r="I1144" s="14" t="str">
        <f>IMAGE("https://upload.wikimedia.org/wikipedia/commons/b/b0/Inflorescencia_t%C3%ADpica_de_la_familia_Araceae.jpg")</f>
        <v/>
      </c>
    </row>
    <row r="1145" ht="36.0" customHeight="1">
      <c r="A1145" s="16" t="str">
        <f>HYPERLINK("https://commons.wikimedia.org/wiki/User:" &amp; ENCODEURL("Johan Andrés Toro"), "Johan Andrés Toro")</f>
        <v>Johan Andrés Toro</v>
      </c>
      <c r="B1145" s="17" t="s">
        <v>2386</v>
      </c>
      <c r="C1145" s="18">
        <v>46171.87677083333</v>
      </c>
      <c r="D1145" s="17" t="s">
        <v>2387</v>
      </c>
      <c r="E1145" s="19" t="s">
        <v>29</v>
      </c>
      <c r="F1145" s="19" t="s">
        <v>30</v>
      </c>
      <c r="G1145" s="20" t="s">
        <v>17</v>
      </c>
      <c r="H1145" s="20" t="s">
        <v>18</v>
      </c>
      <c r="I1145" s="19" t="str">
        <f>IMAGE("https://upload.wikimedia.org/wikipedia/commons/0/0e/Infraestructura_ambiental_y_v%C3%ADas_de_acceso_en_el_Parque_Natural_Sumapaz.jpg")</f>
        <v/>
      </c>
    </row>
    <row r="1146" ht="36.0" customHeight="1">
      <c r="A1146" s="10" t="str">
        <f t="shared" ref="A1146:A1148" si="154">HYPERLINK("https://commons.wikimedia.org/wiki/User:" &amp; ENCODEURL("Elprofeta91"), "Elprofeta91")</f>
        <v>Elprofeta91</v>
      </c>
      <c r="B1146" s="11" t="s">
        <v>2388</v>
      </c>
      <c r="C1146" s="12">
        <v>46147.79096064815</v>
      </c>
      <c r="D1146" s="11" t="s">
        <v>32</v>
      </c>
      <c r="E1146" s="14" t="s">
        <v>2389</v>
      </c>
      <c r="F1146" s="15" t="s">
        <v>16</v>
      </c>
      <c r="G1146" s="15" t="s">
        <v>17</v>
      </c>
      <c r="H1146" s="15" t="s">
        <v>18</v>
      </c>
      <c r="I1146" s="14" t="str">
        <f>IMAGE("https://upload.wikimedia.org/wikipedia/commons/2/2b/Iniciando_la_cosecha.jpg")</f>
        <v/>
      </c>
    </row>
    <row r="1147" ht="36.0" customHeight="1">
      <c r="A1147" s="16" t="str">
        <f t="shared" si="154"/>
        <v>Elprofeta91</v>
      </c>
      <c r="B1147" s="17" t="s">
        <v>2390</v>
      </c>
      <c r="C1147" s="18">
        <v>46147.790983796294</v>
      </c>
      <c r="D1147" s="17" t="s">
        <v>32</v>
      </c>
      <c r="E1147" s="19" t="s">
        <v>2391</v>
      </c>
      <c r="F1147" s="20" t="s">
        <v>16</v>
      </c>
      <c r="G1147" s="20" t="s">
        <v>17</v>
      </c>
      <c r="H1147" s="20" t="s">
        <v>18</v>
      </c>
      <c r="I1147" s="19" t="str">
        <f>IMAGE("https://upload.wikimedia.org/wikipedia/commons/3/39/Iniciando_la_cosecha_02.jpg")</f>
        <v/>
      </c>
    </row>
    <row r="1148" ht="36.0" customHeight="1">
      <c r="A1148" s="10" t="str">
        <f t="shared" si="154"/>
        <v>Elprofeta91</v>
      </c>
      <c r="B1148" s="11" t="s">
        <v>2392</v>
      </c>
      <c r="C1148" s="12">
        <v>46147.791030092594</v>
      </c>
      <c r="D1148" s="11" t="s">
        <v>32</v>
      </c>
      <c r="E1148" s="14" t="s">
        <v>2393</v>
      </c>
      <c r="F1148" s="15" t="s">
        <v>16</v>
      </c>
      <c r="G1148" s="15" t="s">
        <v>17</v>
      </c>
      <c r="H1148" s="15" t="s">
        <v>18</v>
      </c>
      <c r="I1148" s="14" t="str">
        <f>IMAGE("https://upload.wikimedia.org/wikipedia/commons/6/62/Iniciando_la_cosecha_03.jpg")</f>
        <v/>
      </c>
    </row>
    <row r="1149" ht="36.0" customHeight="1">
      <c r="A1149" s="16" t="str">
        <f>HYPERLINK("https://commons.wikimedia.org/wiki/User:" &amp; ENCODEURL("Kithpro"), "Kithpro")</f>
        <v>Kithpro</v>
      </c>
      <c r="B1149" s="17" t="s">
        <v>2394</v>
      </c>
      <c r="C1149" s="18">
        <v>46159.73138888889</v>
      </c>
      <c r="D1149" s="17" t="s">
        <v>2395</v>
      </c>
      <c r="E1149" s="19" t="s">
        <v>2396</v>
      </c>
      <c r="F1149" s="20" t="s">
        <v>16</v>
      </c>
      <c r="G1149" s="20" t="s">
        <v>17</v>
      </c>
      <c r="H1149" s="20" t="s">
        <v>18</v>
      </c>
      <c r="I1149" s="19" t="str">
        <f>IMAGE("https://upload.wikimedia.org/wikipedia/commons/c/ca/Insecto_colombia_escarabajo_ajedreazado.jpg")</f>
        <v/>
      </c>
    </row>
    <row r="1150" ht="36.0" customHeight="1">
      <c r="A1150" s="10" t="str">
        <f>HYPERLINK("https://commons.wikimedia.org/wiki/User:" &amp; ENCODEURL("Mathias David P"), "Mathias David P")</f>
        <v>Mathias David P</v>
      </c>
      <c r="B1150" s="11" t="s">
        <v>2397</v>
      </c>
      <c r="C1150" s="12">
        <v>46201.7466087963</v>
      </c>
      <c r="D1150" s="11" t="s">
        <v>2398</v>
      </c>
      <c r="E1150" s="14" t="s">
        <v>29</v>
      </c>
      <c r="F1150" s="14" t="s">
        <v>30</v>
      </c>
      <c r="G1150" s="15" t="s">
        <v>17</v>
      </c>
      <c r="H1150" s="15" t="s">
        <v>18</v>
      </c>
      <c r="I1150" s="14" t="str">
        <f>IMAGE("https://upload.wikimedia.org/wikipedia/commons/2/24/Insecto_dragon_verde.png")</f>
        <v/>
      </c>
    </row>
    <row r="1151" ht="36.0" customHeight="1">
      <c r="A1151" s="16" t="str">
        <f t="shared" ref="A1151:A1156" si="155">HYPERLINK("https://commons.wikimedia.org/wiki/User:" &amp; ENCODEURL("Jhas24.09"), "Jhas24.09")</f>
        <v>Jhas24.09</v>
      </c>
      <c r="B1151" s="17" t="s">
        <v>2399</v>
      </c>
      <c r="C1151" s="18">
        <v>46160.10140046296</v>
      </c>
      <c r="D1151" s="17" t="s">
        <v>2400</v>
      </c>
      <c r="E1151" s="19" t="s">
        <v>29</v>
      </c>
      <c r="F1151" s="19" t="s">
        <v>30</v>
      </c>
      <c r="G1151" s="20" t="s">
        <v>17</v>
      </c>
      <c r="H1151" s="20" t="s">
        <v>18</v>
      </c>
      <c r="I1151" s="19" t="str">
        <f>IMAGE("https://upload.wikimedia.org/wikipedia/commons/0/01/Insecto_en_una_hoja.jpg")</f>
        <v/>
      </c>
    </row>
    <row r="1152" ht="36.0" customHeight="1">
      <c r="A1152" s="10" t="str">
        <f t="shared" si="155"/>
        <v>Jhas24.09</v>
      </c>
      <c r="B1152" s="11" t="s">
        <v>2401</v>
      </c>
      <c r="C1152" s="12">
        <v>46160.10138888889</v>
      </c>
      <c r="D1152" s="11" t="s">
        <v>2400</v>
      </c>
      <c r="E1152" s="14" t="s">
        <v>29</v>
      </c>
      <c r="F1152" s="14" t="s">
        <v>30</v>
      </c>
      <c r="G1152" s="15" t="s">
        <v>17</v>
      </c>
      <c r="H1152" s="15" t="s">
        <v>18</v>
      </c>
      <c r="I1152" s="14" t="str">
        <f>IMAGE("https://upload.wikimedia.org/wikipedia/commons/c/c5/Insecto_posado.jpg")</f>
        <v/>
      </c>
    </row>
    <row r="1153" ht="36.0" customHeight="1">
      <c r="A1153" s="16" t="str">
        <f t="shared" si="155"/>
        <v>Jhas24.09</v>
      </c>
      <c r="B1153" s="17" t="s">
        <v>2402</v>
      </c>
      <c r="C1153" s="18">
        <v>46160.10142361111</v>
      </c>
      <c r="D1153" s="17" t="s">
        <v>2400</v>
      </c>
      <c r="E1153" s="19" t="s">
        <v>29</v>
      </c>
      <c r="F1153" s="19" t="s">
        <v>30</v>
      </c>
      <c r="G1153" s="20" t="s">
        <v>17</v>
      </c>
      <c r="H1153" s="20" t="s">
        <v>18</v>
      </c>
      <c r="I1153" s="19" t="str">
        <f>IMAGE("https://upload.wikimedia.org/wikipedia/commons/a/aa/Insecto_posado_en_hoja.jpg")</f>
        <v/>
      </c>
    </row>
    <row r="1154" ht="36.0" customHeight="1">
      <c r="A1154" s="10" t="str">
        <f t="shared" si="155"/>
        <v>Jhas24.09</v>
      </c>
      <c r="B1154" s="11" t="s">
        <v>2403</v>
      </c>
      <c r="C1154" s="12">
        <v>46160.10171296296</v>
      </c>
      <c r="D1154" s="11" t="s">
        <v>2404</v>
      </c>
      <c r="E1154" s="14" t="s">
        <v>29</v>
      </c>
      <c r="F1154" s="14" t="s">
        <v>30</v>
      </c>
      <c r="G1154" s="15" t="s">
        <v>17</v>
      </c>
      <c r="H1154" s="15" t="s">
        <v>18</v>
      </c>
      <c r="I1154" s="14" t="str">
        <f>IMAGE("https://upload.wikimedia.org/wikipedia/commons/0/04/Insecto_posado_en_un_helecho.jpg")</f>
        <v/>
      </c>
    </row>
    <row r="1155" ht="36.0" customHeight="1">
      <c r="A1155" s="16" t="str">
        <f t="shared" si="155"/>
        <v>Jhas24.09</v>
      </c>
      <c r="B1155" s="17" t="s">
        <v>2405</v>
      </c>
      <c r="C1155" s="18">
        <v>46160.10135416667</v>
      </c>
      <c r="D1155" s="17" t="s">
        <v>2406</v>
      </c>
      <c r="E1155" s="19" t="s">
        <v>29</v>
      </c>
      <c r="F1155" s="19" t="s">
        <v>30</v>
      </c>
      <c r="G1155" s="20" t="s">
        <v>17</v>
      </c>
      <c r="H1155" s="20" t="s">
        <v>18</v>
      </c>
      <c r="I1155" s="19" t="str">
        <f>IMAGE("https://upload.wikimedia.org/wikipedia/commons/3/3f/Insecto_posado_en_una_flor.jpg")</f>
        <v/>
      </c>
    </row>
    <row r="1156" ht="36.0" customHeight="1">
      <c r="A1156" s="10" t="str">
        <f t="shared" si="155"/>
        <v>Jhas24.09</v>
      </c>
      <c r="B1156" s="11" t="s">
        <v>2407</v>
      </c>
      <c r="C1156" s="12">
        <v>46160.101319444446</v>
      </c>
      <c r="D1156" s="11" t="s">
        <v>2400</v>
      </c>
      <c r="E1156" s="14" t="s">
        <v>29</v>
      </c>
      <c r="F1156" s="14" t="s">
        <v>30</v>
      </c>
      <c r="G1156" s="15" t="s">
        <v>17</v>
      </c>
      <c r="H1156" s="15" t="s">
        <v>18</v>
      </c>
      <c r="I1156" s="14" t="str">
        <f>IMAGE("https://upload.wikimedia.org/wikipedia/commons/e/e3/Insecto_posado_en_una_hoja.jpg")</f>
        <v/>
      </c>
    </row>
    <row r="1157" ht="36.0" customHeight="1">
      <c r="A1157" s="16" t="str">
        <f>HYPERLINK("https://commons.wikimedia.org/wiki/User:" &amp; ENCODEURL("IvanVillacorte"), "IvanVillacorte")</f>
        <v>IvanVillacorte</v>
      </c>
      <c r="B1157" s="17" t="s">
        <v>2408</v>
      </c>
      <c r="C1157" s="18">
        <v>46162.81114583334</v>
      </c>
      <c r="D1157" s="17" t="s">
        <v>2409</v>
      </c>
      <c r="E1157" s="19" t="s">
        <v>29</v>
      </c>
      <c r="F1157" s="19" t="s">
        <v>30</v>
      </c>
      <c r="G1157" s="20" t="s">
        <v>17</v>
      </c>
      <c r="H1157" s="20" t="s">
        <v>18</v>
      </c>
      <c r="I1157" s="19" t="str">
        <f>IMAGE("https://upload.wikimedia.org/wikipedia/commons/c/c9/Interacci%C3%B3n_alimentaria_entre_individuos_de_Aulacorhynchus_albivitta_en_h%C3%A1bitat_boscoso.jpg")</f>
        <v/>
      </c>
    </row>
    <row r="1158" ht="36.0" customHeight="1">
      <c r="A1158" s="10" t="str">
        <f>HYPERLINK("https://commons.wikimedia.org/wiki/User:" &amp; ENCODEURL("Maracome"), "Maracome")</f>
        <v>Maracome</v>
      </c>
      <c r="B1158" s="11" t="s">
        <v>2410</v>
      </c>
      <c r="C1158" s="12">
        <v>46149.952893518515</v>
      </c>
      <c r="D1158" s="11" t="s">
        <v>2411</v>
      </c>
      <c r="E1158" s="14" t="s">
        <v>29</v>
      </c>
      <c r="F1158" s="14" t="s">
        <v>30</v>
      </c>
      <c r="G1158" s="15" t="s">
        <v>17</v>
      </c>
      <c r="H1158" s="15" t="s">
        <v>18</v>
      </c>
      <c r="I1158" s="14" t="str">
        <f>IMAGE("https://upload.wikimedia.org/wikipedia/commons/e/ec/Inundaci%C3%B3n_Rio_Sin%C3%BA.jpg")</f>
        <v/>
      </c>
    </row>
    <row r="1159" ht="36.0" customHeight="1">
      <c r="A1159" s="16" t="str">
        <f>HYPERLINK("https://commons.wikimedia.org/wiki/User:" &amp; ENCODEURL("Daijiruu"), "Daijiruu")</f>
        <v>Daijiruu</v>
      </c>
      <c r="B1159" s="17" t="s">
        <v>2412</v>
      </c>
      <c r="C1159" s="18">
        <v>46163.51028935185</v>
      </c>
      <c r="D1159" s="17" t="s">
        <v>361</v>
      </c>
      <c r="E1159" s="19" t="s">
        <v>29</v>
      </c>
      <c r="F1159" s="19" t="s">
        <v>30</v>
      </c>
      <c r="G1159" s="20" t="s">
        <v>17</v>
      </c>
      <c r="H1159" s="20" t="s">
        <v>18</v>
      </c>
      <c r="I1159" s="19" t="str">
        <f>IMAGE("https://upload.wikimedia.org/wikipedia/commons/3/3a/Invitaci%C3%B3n_a_la_Natuarleza.jpg")</f>
        <v/>
      </c>
    </row>
    <row r="1160" ht="36.0" customHeight="1">
      <c r="A1160" s="10" t="str">
        <f>HYPERLINK("https://commons.wikimedia.org/wiki/User:" &amp; ENCODEURL("Nathaly 1106"), "Nathaly 1106")</f>
        <v>Nathaly 1106</v>
      </c>
      <c r="B1160" s="11" t="s">
        <v>2413</v>
      </c>
      <c r="C1160" s="12">
        <v>46147.626851851855</v>
      </c>
      <c r="D1160" s="11" t="s">
        <v>2414</v>
      </c>
      <c r="E1160" s="14" t="s">
        <v>29</v>
      </c>
      <c r="F1160" s="14" t="s">
        <v>30</v>
      </c>
      <c r="G1160" s="15" t="s">
        <v>17</v>
      </c>
      <c r="H1160" s="15" t="s">
        <v>18</v>
      </c>
      <c r="I1160" s="14" t="str">
        <f>IMAGE("https://upload.wikimedia.org/wikipedia/commons/7/7e/Iris_africano_%28Dietes_bicolor%29.jpg")</f>
        <v/>
      </c>
    </row>
    <row r="1161" ht="36.0" customHeight="1">
      <c r="A1161" s="16" t="str">
        <f>HYPERLINK("https://commons.wikimedia.org/wiki/User:" &amp; ENCODEURL("AmiGueko"), "AmiGueko")</f>
        <v>AmiGueko</v>
      </c>
      <c r="B1161" s="17" t="s">
        <v>2415</v>
      </c>
      <c r="C1161" s="18">
        <v>46166.40247685185</v>
      </c>
      <c r="D1161" s="17" t="s">
        <v>2416</v>
      </c>
      <c r="E1161" s="19" t="s">
        <v>2417</v>
      </c>
      <c r="F1161" s="20" t="s">
        <v>16</v>
      </c>
      <c r="G1161" s="20" t="s">
        <v>17</v>
      </c>
      <c r="H1161" s="20" t="s">
        <v>18</v>
      </c>
      <c r="I1161" s="19" t="str">
        <f>IMAGE("https://upload.wikimedia.org/wikipedia/commons/1/18/Iris_caminante.jpg")</f>
        <v/>
      </c>
    </row>
    <row r="1162" ht="36.0" customHeight="1">
      <c r="A1162" s="10" t="str">
        <f>HYPERLINK("https://commons.wikimedia.org/wiki/User:" &amp; ENCODEURL("Dalacuel"), "Dalacuel")</f>
        <v>Dalacuel</v>
      </c>
      <c r="B1162" s="11" t="s">
        <v>2418</v>
      </c>
      <c r="C1162" s="12">
        <v>46194.598761574074</v>
      </c>
      <c r="D1162" s="11" t="s">
        <v>2419</v>
      </c>
      <c r="E1162" s="14" t="s">
        <v>2420</v>
      </c>
      <c r="F1162" s="15" t="s">
        <v>16</v>
      </c>
      <c r="G1162" s="15" t="s">
        <v>17</v>
      </c>
      <c r="H1162" s="15" t="s">
        <v>18</v>
      </c>
      <c r="I1162" s="14" t="str">
        <f>IMAGE("https://upload.wikimedia.org/wikipedia/commons/e/ee/Iris_caminante_blanco.jpg")</f>
        <v/>
      </c>
    </row>
    <row r="1163" ht="36.0" customHeight="1">
      <c r="A1163" s="16" t="str">
        <f>HYPERLINK("https://commons.wikimedia.org/wiki/User:" &amp; ENCODEURL("Luifereduardoo"), "Luifereduardoo")</f>
        <v>Luifereduardoo</v>
      </c>
      <c r="B1163" s="17" t="s">
        <v>2421</v>
      </c>
      <c r="C1163" s="18">
        <v>46164.57056712963</v>
      </c>
      <c r="D1163" s="17" t="s">
        <v>2422</v>
      </c>
      <c r="E1163" s="19" t="s">
        <v>2423</v>
      </c>
      <c r="F1163" s="20" t="s">
        <v>16</v>
      </c>
      <c r="G1163" s="20" t="s">
        <v>17</v>
      </c>
      <c r="H1163" s="20" t="s">
        <v>18</v>
      </c>
      <c r="I1163" s="19" t="str">
        <f>IMAGE("https://upload.wikimedia.org/wikipedia/commons/4/4a/Isla_pelicano_santa_marta.png")</f>
        <v/>
      </c>
    </row>
    <row r="1164" ht="36.0" customHeight="1">
      <c r="A1164" s="10" t="str">
        <f>HYPERLINK("https://commons.wikimedia.org/wiki/User:" &amp; ENCODEURL("Juan Carlos Sáenz Rodríguez"), "Juan Carlos Sáenz Rodríguez")</f>
        <v>Juan Carlos Sáenz Rodríguez</v>
      </c>
      <c r="B1164" s="11" t="s">
        <v>2424</v>
      </c>
      <c r="C1164" s="12">
        <v>46194.583287037036</v>
      </c>
      <c r="D1164" s="11" t="s">
        <v>2425</v>
      </c>
      <c r="E1164" s="14" t="s">
        <v>29</v>
      </c>
      <c r="F1164" s="14" t="s">
        <v>30</v>
      </c>
      <c r="G1164" s="15" t="s">
        <v>17</v>
      </c>
      <c r="H1164" s="15" t="s">
        <v>18</v>
      </c>
      <c r="I1164" s="14" t="str">
        <f>IMAGE("https://upload.wikimedia.org/wikipedia/commons/b/b1/Jacaranda_mimosifolia_Cachipay.jpg")</f>
        <v/>
      </c>
    </row>
    <row r="1165" ht="36.0" customHeight="1">
      <c r="A1165" s="16" t="str">
        <f>HYPERLINK("https://commons.wikimedia.org/wiki/User:" &amp; ENCODEURL("Torres María"), "Torres María")</f>
        <v>Torres María</v>
      </c>
      <c r="B1165" s="17" t="s">
        <v>2426</v>
      </c>
      <c r="C1165" s="18">
        <v>46157.639861111114</v>
      </c>
      <c r="D1165" s="17" t="s">
        <v>2427</v>
      </c>
      <c r="E1165" s="19" t="s">
        <v>29</v>
      </c>
      <c r="F1165" s="19" t="s">
        <v>30</v>
      </c>
      <c r="G1165" s="20" t="s">
        <v>17</v>
      </c>
      <c r="H1165" s="20" t="s">
        <v>18</v>
      </c>
      <c r="I1165" s="19" t="str">
        <f>IMAGE("https://upload.wikimedia.org/wikipedia/commons/c/c1/Jamaica%27s_flower.jpg")</f>
        <v/>
      </c>
    </row>
    <row r="1166" ht="36.0" customHeight="1">
      <c r="A1166" s="10" t="str">
        <f>HYPERLINK("https://commons.wikimedia.org/wiki/User:" &amp; ENCODEURL("Vvelashue21"), "Vvelashue21")</f>
        <v>Vvelashue21</v>
      </c>
      <c r="B1166" s="11" t="s">
        <v>2428</v>
      </c>
      <c r="C1166" s="12">
        <v>46163.54798611111</v>
      </c>
      <c r="D1166" s="11" t="s">
        <v>2429</v>
      </c>
      <c r="E1166" s="14" t="s">
        <v>29</v>
      </c>
      <c r="F1166" s="14" t="s">
        <v>30</v>
      </c>
      <c r="G1166" s="15" t="s">
        <v>17</v>
      </c>
      <c r="H1166" s="15" t="s">
        <v>18</v>
      </c>
      <c r="I1166" s="14" t="str">
        <f>IMAGE("https://upload.wikimedia.org/wikipedia/commons/0/03/Jardin_bajo_vidrio.jpg")</f>
        <v/>
      </c>
    </row>
    <row r="1167" ht="36.0" customHeight="1">
      <c r="A1167" s="16" t="str">
        <f>HYPERLINK("https://commons.wikimedia.org/wiki/User:" &amp; ENCODEURL("Mfrancoavellaneda"), "Mfrancoavellaneda")</f>
        <v>Mfrancoavellaneda</v>
      </c>
      <c r="B1167" s="17" t="s">
        <v>2430</v>
      </c>
      <c r="C1167" s="18">
        <v>46203.838217592594</v>
      </c>
      <c r="D1167" s="17" t="s">
        <v>2431</v>
      </c>
      <c r="E1167" s="19" t="s">
        <v>29</v>
      </c>
      <c r="F1167" s="19" t="s">
        <v>30</v>
      </c>
      <c r="G1167" s="20" t="s">
        <v>17</v>
      </c>
      <c r="H1167" s="20" t="s">
        <v>18</v>
      </c>
      <c r="I1167" s="19" t="str">
        <f>IMAGE("https://upload.wikimedia.org/wikipedia/commons/8/80/Jard%C3%ADn_Botanico_Cali.jpg")</f>
        <v/>
      </c>
    </row>
    <row r="1168" ht="36.0" customHeight="1">
      <c r="A1168" s="10" t="str">
        <f>HYPERLINK("https://commons.wikimedia.org/wiki/User:" &amp; ENCODEURL("Anvar2420"), "Anvar2420")</f>
        <v>Anvar2420</v>
      </c>
      <c r="B1168" s="11" t="s">
        <v>2432</v>
      </c>
      <c r="C1168" s="12">
        <v>46163.55681712963</v>
      </c>
      <c r="D1168" s="11" t="s">
        <v>2433</v>
      </c>
      <c r="E1168" s="14" t="s">
        <v>29</v>
      </c>
      <c r="F1168" s="14" t="s">
        <v>30</v>
      </c>
      <c r="G1168" s="15" t="s">
        <v>17</v>
      </c>
      <c r="H1168" s="15" t="s">
        <v>18</v>
      </c>
      <c r="I1168" s="14" t="str">
        <f>IMAGE("https://upload.wikimedia.org/wikipedia/commons/8/80/Jard%C3%ADn_bot%C3%A1nico_Bogota.jpg")</f>
        <v/>
      </c>
    </row>
    <row r="1169" ht="36.0" customHeight="1">
      <c r="A1169" s="16" t="str">
        <f>HYPERLINK("https://commons.wikimedia.org/wiki/User:" &amp; ENCODEURL("Nathaly 1106"), "Nathaly 1106")</f>
        <v>Nathaly 1106</v>
      </c>
      <c r="B1169" s="17" t="s">
        <v>2434</v>
      </c>
      <c r="C1169" s="18">
        <v>46147.609444444446</v>
      </c>
      <c r="D1169" s="17" t="s">
        <v>2435</v>
      </c>
      <c r="E1169" s="19" t="s">
        <v>29</v>
      </c>
      <c r="F1169" s="19" t="s">
        <v>30</v>
      </c>
      <c r="G1169" s="20" t="s">
        <v>17</v>
      </c>
      <c r="H1169" s="20" t="s">
        <v>18</v>
      </c>
      <c r="I1169" s="19" t="str">
        <f>IMAGE("https://upload.wikimedia.org/wikipedia/commons/d/d3/Jard%C3%ADn_de_Belenes_o_Miramelindos.jpg")</f>
        <v/>
      </c>
    </row>
    <row r="1170" ht="36.0" customHeight="1">
      <c r="A1170" s="10" t="str">
        <f>HYPERLINK("https://commons.wikimedia.org/wiki/User:" &amp; ENCODEURL("Nbareschu"), "Nbareschu")</f>
        <v>Nbareschu</v>
      </c>
      <c r="B1170" s="11" t="s">
        <v>2436</v>
      </c>
      <c r="C1170" s="12">
        <v>46149.42152777778</v>
      </c>
      <c r="D1170" s="11" t="s">
        <v>2437</v>
      </c>
      <c r="E1170" s="14" t="s">
        <v>2438</v>
      </c>
      <c r="F1170" s="15" t="s">
        <v>16</v>
      </c>
      <c r="G1170" s="15" t="s">
        <v>17</v>
      </c>
      <c r="H1170" s="15" t="s">
        <v>18</v>
      </c>
      <c r="I1170" s="14" t="str">
        <f>IMAGE("https://upload.wikimedia.org/wikipedia/commons/9/97/Jard%C3%ADn_nieve_perpetua.jpg")</f>
        <v/>
      </c>
    </row>
    <row r="1171" ht="36.0" customHeight="1">
      <c r="A1171" s="16" t="str">
        <f t="shared" ref="A1171:A1172" si="156">HYPERLINK("https://commons.wikimedia.org/wiki/User:" &amp; ENCODEURL("AmiGueko"), "AmiGueko")</f>
        <v>AmiGueko</v>
      </c>
      <c r="B1171" s="17" t="s">
        <v>2439</v>
      </c>
      <c r="C1171" s="18">
        <v>46178.39599537037</v>
      </c>
      <c r="D1171" s="17" t="s">
        <v>2440</v>
      </c>
      <c r="E1171" s="19" t="s">
        <v>103</v>
      </c>
      <c r="F1171" s="20" t="s">
        <v>16</v>
      </c>
      <c r="G1171" s="20" t="s">
        <v>17</v>
      </c>
      <c r="H1171" s="20" t="s">
        <v>18</v>
      </c>
      <c r="I1171" s="19" t="str">
        <f>IMAGE("https://upload.wikimedia.org/wikipedia/commons/6/6c/Jengibre_silvestre.jpg")</f>
        <v/>
      </c>
    </row>
    <row r="1172" ht="36.0" customHeight="1">
      <c r="A1172" s="10" t="str">
        <f t="shared" si="156"/>
        <v>AmiGueko</v>
      </c>
      <c r="B1172" s="11" t="s">
        <v>2441</v>
      </c>
      <c r="C1172" s="12">
        <v>46178.39604166667</v>
      </c>
      <c r="D1172" s="11" t="s">
        <v>2440</v>
      </c>
      <c r="E1172" s="14" t="s">
        <v>103</v>
      </c>
      <c r="F1172" s="15" t="s">
        <v>16</v>
      </c>
      <c r="G1172" s="15" t="s">
        <v>17</v>
      </c>
      <c r="H1172" s="15" t="s">
        <v>18</v>
      </c>
      <c r="I1172" s="14" t="str">
        <f>IMAGE("https://upload.wikimedia.org/wikipedia/commons/4/4a/Jengibre_silvestre_mayo_2026.jpg")</f>
        <v/>
      </c>
    </row>
    <row r="1173" ht="36.0" customHeight="1">
      <c r="A1173" s="16" t="str">
        <f>HYPERLINK("https://commons.wikimedia.org/wiki/User:" &amp; ENCODEURL("Natlycu"), "Natlycu")</f>
        <v>Natlycu</v>
      </c>
      <c r="B1173" s="17" t="s">
        <v>2442</v>
      </c>
      <c r="C1173" s="18">
        <v>46203.03600694444</v>
      </c>
      <c r="D1173" s="17" t="s">
        <v>2443</v>
      </c>
      <c r="E1173" s="19" t="s">
        <v>2444</v>
      </c>
      <c r="F1173" s="20" t="s">
        <v>16</v>
      </c>
      <c r="G1173" s="20" t="s">
        <v>17</v>
      </c>
      <c r="H1173" s="20" t="s">
        <v>18</v>
      </c>
      <c r="I1173" s="19" t="str">
        <f>IMAGE("https://upload.wikimedia.org/wikipedia/commons/5/5b/Jicotea_Sudamericana_%28Trachemys_callirostris%29_en_el_Parque_Metropolitano_Sim%C3%B3n_Bol%C3%ADvar_%28Bogot%C3%A1%29.jpg")</f>
        <v/>
      </c>
    </row>
    <row r="1174" ht="36.0" customHeight="1">
      <c r="A1174" s="10" t="str">
        <f>HYPERLINK("https://commons.wikimedia.org/wiki/User:" &amp; ENCODEURL("Juli 2000 her"), "Juli 2000 her")</f>
        <v>Juli 2000 her</v>
      </c>
      <c r="B1174" s="11" t="s">
        <v>2445</v>
      </c>
      <c r="C1174" s="12">
        <v>46189.054027777776</v>
      </c>
      <c r="D1174" s="11" t="s">
        <v>2446</v>
      </c>
      <c r="E1174" s="14" t="s">
        <v>29</v>
      </c>
      <c r="F1174" s="14" t="s">
        <v>30</v>
      </c>
      <c r="G1174" s="15" t="s">
        <v>17</v>
      </c>
      <c r="H1174" s="15" t="s">
        <v>18</v>
      </c>
      <c r="I1174" s="14" t="str">
        <f>IMAGE("https://upload.wikimedia.org/wikipedia/commons/9/93/Jilguero_andino_%28Spinus_spinescens%29_fotografiado_en_Aquitania%2C_Boyac%C3%A1%2C_Colombia.jpg")</f>
        <v/>
      </c>
    </row>
    <row r="1175" ht="36.0" customHeight="1">
      <c r="A1175" s="16" t="str">
        <f>HYPERLINK("https://commons.wikimedia.org/wiki/User:" &amp; ENCODEURL("Nathaly 1106"), "Nathaly 1106")</f>
        <v>Nathaly 1106</v>
      </c>
      <c r="B1175" s="17" t="s">
        <v>2447</v>
      </c>
      <c r="C1175" s="18">
        <v>46147.671064814815</v>
      </c>
      <c r="D1175" s="17" t="s">
        <v>2448</v>
      </c>
      <c r="E1175" s="19" t="s">
        <v>29</v>
      </c>
      <c r="F1175" s="19" t="s">
        <v>30</v>
      </c>
      <c r="G1175" s="20" t="s">
        <v>17</v>
      </c>
      <c r="H1175" s="20" t="s">
        <v>18</v>
      </c>
      <c r="I1175" s="19" t="str">
        <f>IMAGE("https://upload.wikimedia.org/wikipedia/commons/6/60/Johnnyberry_%28Melastomataceae%29.jpg")</f>
        <v/>
      </c>
    </row>
    <row r="1176" ht="36.0" customHeight="1">
      <c r="A1176" s="10" t="str">
        <f>HYPERLINK("https://commons.wikimedia.org/wiki/User:" &amp; ENCODEURL("KingJo09"), "KingJo09")</f>
        <v>KingJo09</v>
      </c>
      <c r="B1176" s="11" t="s">
        <v>2449</v>
      </c>
      <c r="C1176" s="12">
        <v>46165.89076388889</v>
      </c>
      <c r="D1176" s="11" t="s">
        <v>2450</v>
      </c>
      <c r="E1176" s="14" t="s">
        <v>1220</v>
      </c>
      <c r="F1176" s="15" t="s">
        <v>16</v>
      </c>
      <c r="G1176" s="15" t="s">
        <v>17</v>
      </c>
      <c r="H1176" s="15" t="s">
        <v>18</v>
      </c>
      <c r="I1176" s="14" t="str">
        <f>IMAGE("https://upload.wikimedia.org/wikipedia/commons/3/34/Joyas_Colgantes.jpg")</f>
        <v/>
      </c>
    </row>
    <row r="1177" ht="36.0" customHeight="1">
      <c r="A1177" s="16" t="str">
        <f>HYPERLINK("https://commons.wikimedia.org/wiki/User:" &amp; ENCODEURL("JJCL09"), "JJCL09")</f>
        <v>JJCL09</v>
      </c>
      <c r="B1177" s="17" t="s">
        <v>2451</v>
      </c>
      <c r="C1177" s="18">
        <v>46147.88153935185</v>
      </c>
      <c r="D1177" s="17" t="s">
        <v>2452</v>
      </c>
      <c r="E1177" s="19" t="s">
        <v>2453</v>
      </c>
      <c r="F1177" s="20" t="s">
        <v>16</v>
      </c>
      <c r="G1177" s="20" t="s">
        <v>17</v>
      </c>
      <c r="H1177" s="20" t="s">
        <v>18</v>
      </c>
      <c r="I1177" s="19" t="str">
        <f>IMAGE("https://upload.wikimedia.org/wikipedia/commons/f/fe/Joyas_de_caldas.jpg")</f>
        <v/>
      </c>
    </row>
    <row r="1178" ht="36.0" customHeight="1">
      <c r="A1178" s="10" t="str">
        <f>HYPERLINK("https://commons.wikimedia.org/wiki/User:" &amp; ENCODEURL("Elprofeta91"), "Elprofeta91")</f>
        <v>Elprofeta91</v>
      </c>
      <c r="B1178" s="11" t="s">
        <v>2454</v>
      </c>
      <c r="C1178" s="12">
        <v>46167.725497685184</v>
      </c>
      <c r="D1178" s="11" t="s">
        <v>2455</v>
      </c>
      <c r="E1178" s="14" t="s">
        <v>2456</v>
      </c>
      <c r="F1178" s="15" t="s">
        <v>16</v>
      </c>
      <c r="G1178" s="15" t="s">
        <v>17</v>
      </c>
      <c r="H1178" s="15" t="s">
        <v>18</v>
      </c>
      <c r="I1178" s="14" t="str">
        <f>IMAGE("https://upload.wikimedia.org/wikipedia/commons/a/a3/Junin._Llegando_a_Nech%C3%AD.jpg")</f>
        <v/>
      </c>
    </row>
    <row r="1179" ht="36.0" customHeight="1">
      <c r="A1179" s="16" t="str">
        <f>HYPERLINK("https://commons.wikimedia.org/wiki/User:" &amp; ENCODEURL("ColombianFibonacci"), "ColombianFibonacci")</f>
        <v>ColombianFibonacci</v>
      </c>
      <c r="B1179" s="17" t="s">
        <v>2457</v>
      </c>
      <c r="C1179" s="18">
        <v>46162.70719907407</v>
      </c>
      <c r="D1179" s="17" t="s">
        <v>2458</v>
      </c>
      <c r="E1179" s="19" t="s">
        <v>29</v>
      </c>
      <c r="F1179" s="19" t="s">
        <v>30</v>
      </c>
      <c r="G1179" s="20" t="s">
        <v>17</v>
      </c>
      <c r="H1179" s="20" t="s">
        <v>18</v>
      </c>
      <c r="I1179" s="19" t="str">
        <f>IMAGE("https://upload.wikimedia.org/wikipedia/commons/2/20/Just_palms%2C_sun%2C_and_peace_in_San_Andres.jpg")</f>
        <v/>
      </c>
    </row>
    <row r="1180" ht="36.0" customHeight="1">
      <c r="A1180" s="10" t="str">
        <f>HYPERLINK("https://commons.wikimedia.org/wiki/User:" &amp; ENCODEURL("Luis commons"), "Luis commons")</f>
        <v>Luis commons</v>
      </c>
      <c r="B1180" s="11" t="s">
        <v>2459</v>
      </c>
      <c r="C1180" s="12">
        <v>46143.57947916666</v>
      </c>
      <c r="D1180" s="11" t="s">
        <v>2460</v>
      </c>
      <c r="E1180" s="14" t="s">
        <v>29</v>
      </c>
      <c r="F1180" s="14" t="s">
        <v>30</v>
      </c>
      <c r="G1180" s="15" t="s">
        <v>17</v>
      </c>
      <c r="H1180" s="15" t="s">
        <v>18</v>
      </c>
      <c r="I1180" s="14" t="str">
        <f>IMAGE("https://upload.wikimedia.org/wikipedia/commons/b/b1/Justo_en_el_R%C3%ADo_Cauca.jpg")</f>
        <v/>
      </c>
    </row>
    <row r="1181" ht="36.0" customHeight="1">
      <c r="A1181" s="16" t="str">
        <f t="shared" ref="A1181:A1182" si="157">HYPERLINK("https://commons.wikimedia.org/wiki/User:" &amp; ENCODEURL("AmiGueko"), "AmiGueko")</f>
        <v>AmiGueko</v>
      </c>
      <c r="B1181" s="17" t="s">
        <v>2461</v>
      </c>
      <c r="C1181" s="18">
        <v>46178.396053240744</v>
      </c>
      <c r="D1181" s="17" t="s">
        <v>2462</v>
      </c>
      <c r="E1181" s="19" t="s">
        <v>103</v>
      </c>
      <c r="F1181" s="20" t="s">
        <v>16</v>
      </c>
      <c r="G1181" s="20" t="s">
        <v>17</v>
      </c>
      <c r="H1181" s="20" t="s">
        <v>18</v>
      </c>
      <c r="I1181" s="19" t="str">
        <f>IMAGE("https://upload.wikimedia.org/wikipedia/commons/4/49/Kalanchoe_oreja_de_Elefante.jpg")</f>
        <v/>
      </c>
    </row>
    <row r="1182" ht="36.0" customHeight="1">
      <c r="A1182" s="10" t="str">
        <f t="shared" si="157"/>
        <v>AmiGueko</v>
      </c>
      <c r="B1182" s="11" t="s">
        <v>2463</v>
      </c>
      <c r="C1182" s="12">
        <v>46178.39608796296</v>
      </c>
      <c r="D1182" s="11" t="s">
        <v>2464</v>
      </c>
      <c r="E1182" s="14" t="s">
        <v>103</v>
      </c>
      <c r="F1182" s="15" t="s">
        <v>16</v>
      </c>
      <c r="G1182" s="15" t="s">
        <v>17</v>
      </c>
      <c r="H1182" s="15" t="s">
        <v>18</v>
      </c>
      <c r="I1182" s="14" t="str">
        <f>IMAGE("https://upload.wikimedia.org/wikipedia/commons/6/60/Kalanchoe_oreja_de_elefante.jpg")</f>
        <v/>
      </c>
    </row>
    <row r="1183" ht="36.0" customHeight="1">
      <c r="A1183" s="16" t="str">
        <f>HYPERLINK("https://commons.wikimedia.org/wiki/User:" &amp; ENCODEURL("Supertita"), "Supertita")</f>
        <v>Supertita</v>
      </c>
      <c r="B1183" s="17" t="s">
        <v>2465</v>
      </c>
      <c r="C1183" s="18">
        <v>46192.60917824074</v>
      </c>
      <c r="D1183" s="17" t="s">
        <v>2466</v>
      </c>
      <c r="E1183" s="19" t="s">
        <v>604</v>
      </c>
      <c r="F1183" s="20" t="s">
        <v>16</v>
      </c>
      <c r="G1183" s="20" t="s">
        <v>17</v>
      </c>
      <c r="H1183" s="20" t="s">
        <v>18</v>
      </c>
      <c r="I1183" s="19" t="str">
        <f>IMAGE("https://upload.wikimedia.org/wikipedia/commons/5/55/Kangaroo_Paw-Anigozanthos-.jpg")</f>
        <v/>
      </c>
    </row>
    <row r="1184" ht="36.0" customHeight="1">
      <c r="A1184" s="10" t="str">
        <f>HYPERLINK("https://commons.wikimedia.org/wiki/User:" &amp; ENCODEURL("Carlcruzt123"), "Carlcruzt123")</f>
        <v>Carlcruzt123</v>
      </c>
      <c r="B1184" s="11" t="s">
        <v>2467</v>
      </c>
      <c r="C1184" s="12">
        <v>46152.59070601852</v>
      </c>
      <c r="D1184" s="11" t="s">
        <v>2468</v>
      </c>
      <c r="E1184" s="14" t="s">
        <v>29</v>
      </c>
      <c r="F1184" s="14" t="s">
        <v>30</v>
      </c>
      <c r="G1184" s="15" t="s">
        <v>17</v>
      </c>
      <c r="H1184" s="15" t="s">
        <v>18</v>
      </c>
      <c r="I1184" s="14" t="str">
        <f>IMAGE("https://upload.wikimedia.org/wikipedia/commons/a/a9/King_Vulture_at_Veranillo%2C_Magdalena%2C_Colombia.jpg")</f>
        <v/>
      </c>
    </row>
    <row r="1185" ht="36.0" customHeight="1">
      <c r="A1185" s="16" t="str">
        <f>HYPERLINK("https://commons.wikimedia.org/wiki/User:" &amp; ENCODEURL("Lamoraleja"), "Lamoraleja")</f>
        <v>Lamoraleja</v>
      </c>
      <c r="B1185" s="17" t="s">
        <v>2469</v>
      </c>
      <c r="C1185" s="18">
        <v>46149.583645833336</v>
      </c>
      <c r="D1185" s="17" t="s">
        <v>2470</v>
      </c>
      <c r="E1185" s="19" t="s">
        <v>2471</v>
      </c>
      <c r="F1185" s="20" t="s">
        <v>16</v>
      </c>
      <c r="G1185" s="20" t="s">
        <v>17</v>
      </c>
      <c r="H1185" s="20" t="s">
        <v>18</v>
      </c>
      <c r="I1185" s="19" t="str">
        <f>IMAGE("https://upload.wikimedia.org/wikipedia/commons/4/49/La_Barra_Pacifico_colombiano.jpg")</f>
        <v/>
      </c>
    </row>
    <row r="1186" ht="36.0" customHeight="1">
      <c r="A1186" s="10" t="str">
        <f t="shared" ref="A1186:A1187" si="158">HYPERLINK("https://commons.wikimedia.org/wiki/User:" &amp; ENCODEURL("Adrianava.yviene"), "Adrianava.yviene")</f>
        <v>Adrianava.yviene</v>
      </c>
      <c r="B1186" s="11" t="s">
        <v>2472</v>
      </c>
      <c r="C1186" s="12">
        <v>46198.55809027778</v>
      </c>
      <c r="D1186" s="11" t="s">
        <v>2473</v>
      </c>
      <c r="E1186" s="14" t="s">
        <v>29</v>
      </c>
      <c r="F1186" s="14" t="s">
        <v>30</v>
      </c>
      <c r="G1186" s="15" t="s">
        <v>17</v>
      </c>
      <c r="H1186" s="15" t="s">
        <v>18</v>
      </c>
      <c r="I1186" s="14" t="str">
        <f>IMAGE("https://upload.wikimedia.org/wikipedia/commons/5/55/La_Carbonera.jpg")</f>
        <v/>
      </c>
    </row>
    <row r="1187" ht="36.0" customHeight="1">
      <c r="A1187" s="16" t="str">
        <f t="shared" si="158"/>
        <v>Adrianava.yviene</v>
      </c>
      <c r="B1187" s="17" t="s">
        <v>2474</v>
      </c>
      <c r="C1187" s="18">
        <v>46198.55809027778</v>
      </c>
      <c r="D1187" s="17" t="s">
        <v>2473</v>
      </c>
      <c r="E1187" s="19" t="s">
        <v>29</v>
      </c>
      <c r="F1187" s="19" t="s">
        <v>30</v>
      </c>
      <c r="G1187" s="20" t="s">
        <v>17</v>
      </c>
      <c r="H1187" s="20" t="s">
        <v>18</v>
      </c>
      <c r="I1187" s="19" t="str">
        <f>IMAGE("https://upload.wikimedia.org/wikipedia/commons/8/83/La_Carbonera_%28Tochecito%29.jpg")</f>
        <v/>
      </c>
    </row>
    <row r="1188" ht="36.0" customHeight="1">
      <c r="A1188" s="10" t="str">
        <f>HYPERLINK("https://commons.wikimedia.org/wiki/User:" &amp; ENCODEURL("SoyElMaloColon"), "SoyElMaloColon")</f>
        <v>SoyElMaloColon</v>
      </c>
      <c r="B1188" s="11" t="s">
        <v>2475</v>
      </c>
      <c r="C1188" s="12">
        <v>46163.113958333335</v>
      </c>
      <c r="D1188" s="11" t="s">
        <v>2476</v>
      </c>
      <c r="E1188" s="14" t="s">
        <v>29</v>
      </c>
      <c r="F1188" s="14" t="s">
        <v>30</v>
      </c>
      <c r="G1188" s="15" t="s">
        <v>17</v>
      </c>
      <c r="H1188" s="15" t="s">
        <v>18</v>
      </c>
      <c r="I1188" s="14" t="str">
        <f>IMAGE("https://upload.wikimedia.org/wikipedia/commons/c/cf/La_Casa_Verde.jpg")</f>
        <v/>
      </c>
    </row>
    <row r="1189" ht="36.0" customHeight="1">
      <c r="A1189" s="16" t="str">
        <f>HYPERLINK("https://commons.wikimedia.org/wiki/User:" &amp; ENCODEURL("Adrianvargasag"), "Adrianvargasag")</f>
        <v>Adrianvargasag</v>
      </c>
      <c r="B1189" s="17" t="s">
        <v>2477</v>
      </c>
      <c r="C1189" s="18">
        <v>46144.127175925925</v>
      </c>
      <c r="D1189" s="17" t="s">
        <v>2478</v>
      </c>
      <c r="E1189" s="19" t="s">
        <v>29</v>
      </c>
      <c r="F1189" s="19" t="s">
        <v>30</v>
      </c>
      <c r="G1189" s="20" t="s">
        <v>17</v>
      </c>
      <c r="H1189" s="20" t="s">
        <v>18</v>
      </c>
      <c r="I1189" s="19" t="str">
        <f>IMAGE("https://upload.wikimedia.org/wikipedia/commons/6/6a/La_Leonera.jpg")</f>
        <v/>
      </c>
    </row>
    <row r="1190" ht="36.0" customHeight="1">
      <c r="A1190" s="10" t="str">
        <f>HYPERLINK("https://commons.wikimedia.org/wiki/User:" &amp; ENCODEURL("KingJo09"), "KingJo09")</f>
        <v>KingJo09</v>
      </c>
      <c r="B1190" s="11" t="s">
        <v>2479</v>
      </c>
      <c r="C1190" s="12">
        <v>46165.890856481485</v>
      </c>
      <c r="D1190" s="11" t="s">
        <v>2480</v>
      </c>
      <c r="E1190" s="14" t="s">
        <v>1220</v>
      </c>
      <c r="F1190" s="15" t="s">
        <v>16</v>
      </c>
      <c r="G1190" s="15" t="s">
        <v>17</v>
      </c>
      <c r="H1190" s="15" t="s">
        <v>18</v>
      </c>
      <c r="I1190" s="14" t="str">
        <f>IMAGE("https://upload.wikimedia.org/wikipedia/commons/5/59/La_Mariposa_Morada.jpg")</f>
        <v/>
      </c>
    </row>
    <row r="1191" ht="36.0" customHeight="1">
      <c r="A1191" s="16" t="str">
        <f>HYPERLINK("https://commons.wikimedia.org/wiki/User:" &amp; ENCODEURL("Rodrigomacrophoto"), "Rodrigomacrophoto")</f>
        <v>Rodrigomacrophoto</v>
      </c>
      <c r="B1191" s="17" t="s">
        <v>2481</v>
      </c>
      <c r="C1191" s="18">
        <v>46146.83766203704</v>
      </c>
      <c r="D1191" s="17" t="s">
        <v>2482</v>
      </c>
      <c r="E1191" s="19" t="s">
        <v>2483</v>
      </c>
      <c r="F1191" s="20" t="s">
        <v>16</v>
      </c>
      <c r="G1191" s="20" t="s">
        <v>17</v>
      </c>
      <c r="H1191" s="20" t="s">
        <v>18</v>
      </c>
      <c r="I1191" s="19" t="str">
        <f>IMAGE("https://upload.wikimedia.org/wikipedia/commons/0/07/La_belleza_de_las_polillas_tigre._Erebidae%2C_Actiinae.jpg")</f>
        <v/>
      </c>
    </row>
    <row r="1192" ht="36.0" customHeight="1">
      <c r="A1192" s="10" t="str">
        <f>HYPERLINK("https://commons.wikimedia.org/wiki/User:" &amp; ENCODEURL("Crisrueda99"), "Crisrueda99")</f>
        <v>Crisrueda99</v>
      </c>
      <c r="B1192" s="11" t="s">
        <v>2484</v>
      </c>
      <c r="C1192" s="12">
        <v>46173.844722222224</v>
      </c>
      <c r="D1192" s="11" t="s">
        <v>2485</v>
      </c>
      <c r="E1192" s="14" t="s">
        <v>29</v>
      </c>
      <c r="F1192" s="14" t="s">
        <v>30</v>
      </c>
      <c r="G1192" s="15" t="s">
        <v>17</v>
      </c>
      <c r="H1192" s="15" t="s">
        <v>18</v>
      </c>
      <c r="I1192" s="14" t="str">
        <f>IMAGE("https://upload.wikimedia.org/wikipedia/commons/a/a1/La_casa_flotante_en_laguna_del_amor.jpg")</f>
        <v/>
      </c>
    </row>
    <row r="1193" ht="36.0" customHeight="1">
      <c r="A1193" s="16" t="str">
        <f>HYPERLINK("https://commons.wikimedia.org/wiki/User:" &amp; ENCODEURL("CHAVESJUAN19"), "CHAVESJUAN19")</f>
        <v>CHAVESJUAN19</v>
      </c>
      <c r="B1193" s="17" t="s">
        <v>2486</v>
      </c>
      <c r="C1193" s="18">
        <v>46203.962164351855</v>
      </c>
      <c r="D1193" s="17" t="s">
        <v>2487</v>
      </c>
      <c r="E1193" s="19" t="s">
        <v>29</v>
      </c>
      <c r="F1193" s="19" t="s">
        <v>30</v>
      </c>
      <c r="G1193" s="20" t="s">
        <v>17</v>
      </c>
      <c r="H1193" s="20" t="s">
        <v>18</v>
      </c>
      <c r="I1193" s="19" t="str">
        <f>IMAGE("https://upload.wikimedia.org/wikipedia/commons/5/57/La_colonizaci%C3%B3n_del_p%C3%A1ramo_-_PNN_Los_Nevados.jpg")</f>
        <v/>
      </c>
    </row>
    <row r="1194" ht="36.0" customHeight="1">
      <c r="A1194" s="10" t="str">
        <f>HYPERLINK("https://commons.wikimedia.org/wiki/User:" &amp; ENCODEURL("Nathaly 1106"), "Nathaly 1106")</f>
        <v>Nathaly 1106</v>
      </c>
      <c r="B1194" s="11" t="s">
        <v>2488</v>
      </c>
      <c r="C1194" s="12">
        <v>46148.95725694444</v>
      </c>
      <c r="D1194" s="11" t="s">
        <v>2489</v>
      </c>
      <c r="E1194" s="14" t="s">
        <v>29</v>
      </c>
      <c r="F1194" s="14" t="s">
        <v>30</v>
      </c>
      <c r="G1194" s="15" t="s">
        <v>17</v>
      </c>
      <c r="H1194" s="15" t="s">
        <v>18</v>
      </c>
      <c r="I1194" s="14" t="str">
        <f>IMAGE("https://upload.wikimedia.org/wikipedia/commons/8/8b/La_llama_%28Lama_glama%29.jpg")</f>
        <v/>
      </c>
    </row>
    <row r="1195" ht="36.0" customHeight="1">
      <c r="A1195" s="16" t="str">
        <f>HYPERLINK("https://commons.wikimedia.org/wiki/User:" &amp; ENCODEURL("Jose Arbelaez 78"), "Jose Arbelaez 78")</f>
        <v>Jose Arbelaez 78</v>
      </c>
      <c r="B1195" s="17" t="s">
        <v>2490</v>
      </c>
      <c r="C1195" s="18">
        <v>46202.66033564815</v>
      </c>
      <c r="D1195" s="17" t="s">
        <v>2491</v>
      </c>
      <c r="E1195" s="19" t="s">
        <v>29</v>
      </c>
      <c r="F1195" s="19" t="s">
        <v>30</v>
      </c>
      <c r="G1195" s="20" t="s">
        <v>17</v>
      </c>
      <c r="H1195" s="20" t="s">
        <v>18</v>
      </c>
      <c r="I1195" s="19" t="str">
        <f>IMAGE("https://upload.wikimedia.org/wikipedia/commons/e/e1/La_mirada_de_pesta%C3%B1as.jpg")</f>
        <v/>
      </c>
    </row>
    <row r="1196" ht="36.0" customHeight="1">
      <c r="A1196" s="10" t="str">
        <f>HYPERLINK("https://commons.wikimedia.org/wiki/User:" &amp; ENCODEURL("Halleyuncometafotografo"), "Halleyuncometafotografo")</f>
        <v>Halleyuncometafotografo</v>
      </c>
      <c r="B1196" s="11" t="s">
        <v>2492</v>
      </c>
      <c r="C1196" s="12">
        <v>46203.93252314815</v>
      </c>
      <c r="D1196" s="11" t="s">
        <v>2493</v>
      </c>
      <c r="E1196" s="14" t="s">
        <v>29</v>
      </c>
      <c r="F1196" s="14" t="s">
        <v>30</v>
      </c>
      <c r="G1196" s="15" t="s">
        <v>17</v>
      </c>
      <c r="H1196" s="15" t="s">
        <v>18</v>
      </c>
      <c r="I1196" s="14" t="str">
        <f>IMAGE("https://upload.wikimedia.org/wikipedia/commons/c/cd/La_mirada_del_bosque.jpg")</f>
        <v/>
      </c>
    </row>
    <row r="1197" ht="36.0" customHeight="1">
      <c r="A1197" s="16" t="str">
        <f>HYPERLINK("https://commons.wikimedia.org/wiki/User:" &amp; ENCODEURL("Zolsemiya"), "Zolsemiya")</f>
        <v>Zolsemiya</v>
      </c>
      <c r="B1197" s="17" t="s">
        <v>2494</v>
      </c>
      <c r="C1197" s="18">
        <v>46203.74920138889</v>
      </c>
      <c r="D1197" s="17" t="s">
        <v>2495</v>
      </c>
      <c r="E1197" s="19" t="s">
        <v>1430</v>
      </c>
      <c r="F1197" s="20" t="s">
        <v>16</v>
      </c>
      <c r="G1197" s="20" t="s">
        <v>17</v>
      </c>
      <c r="H1197" s="20" t="s">
        <v>18</v>
      </c>
      <c r="I1197" s="19" t="str">
        <f>IMAGE("https://upload.wikimedia.org/wikipedia/commons/1/1e/La_mosca_que_quer%C3%ADa_ser_abeja.jpg")</f>
        <v/>
      </c>
    </row>
    <row r="1198" ht="36.0" customHeight="1">
      <c r="A1198" s="10" t="str">
        <f>HYPERLINK("https://commons.wikimedia.org/wiki/User:" &amp; ENCODEURL("JuanitoCISF"), "JuanitoCISF")</f>
        <v>JuanitoCISF</v>
      </c>
      <c r="B1198" s="11" t="s">
        <v>2496</v>
      </c>
      <c r="C1198" s="12">
        <v>46170.43733796296</v>
      </c>
      <c r="D1198" s="11" t="s">
        <v>2497</v>
      </c>
      <c r="E1198" s="14" t="s">
        <v>2498</v>
      </c>
      <c r="F1198" s="15" t="s">
        <v>16</v>
      </c>
      <c r="G1198" s="15" t="s">
        <v>17</v>
      </c>
      <c r="H1198" s="15" t="s">
        <v>18</v>
      </c>
      <c r="I1198" s="14" t="str">
        <f>IMAGE("https://upload.wikimedia.org/wikipedia/commons/e/e4/La_niebla_en_el_P%C3%A1ramo.jpg")</f>
        <v/>
      </c>
    </row>
    <row r="1199" ht="36.0" customHeight="1">
      <c r="A1199" s="16" t="str">
        <f>HYPERLINK("https://commons.wikimedia.org/wiki/User:" &amp; ENCODEURL("Sebastiánlic23"), "Sebastiánlic23")</f>
        <v>Sebastiánlic23</v>
      </c>
      <c r="B1199" s="17" t="s">
        <v>2499</v>
      </c>
      <c r="C1199" s="18">
        <v>46176.62037037037</v>
      </c>
      <c r="D1199" s="17" t="s">
        <v>2500</v>
      </c>
      <c r="E1199" s="19" t="s">
        <v>2501</v>
      </c>
      <c r="F1199" s="20" t="s">
        <v>16</v>
      </c>
      <c r="G1199" s="20" t="s">
        <v>17</v>
      </c>
      <c r="H1199" s="20" t="s">
        <v>18</v>
      </c>
      <c r="I1199" s="19" t="str">
        <f>IMAGE("https://upload.wikimedia.org/wikipedia/commons/e/e7/La_piedra_el_Penol_vista_desde_el_embalse_del_Pe%C3%B1ol.jpg")</f>
        <v/>
      </c>
    </row>
    <row r="1200" ht="36.0" customHeight="1">
      <c r="A1200" s="10" t="str">
        <f>HYPERLINK("https://commons.wikimedia.org/wiki/User:" &amp; ENCODEURL("NunuAiyi"), "NunuAiyi")</f>
        <v>NunuAiyi</v>
      </c>
      <c r="B1200" s="11" t="s">
        <v>2502</v>
      </c>
      <c r="C1200" s="12">
        <v>46203.858622685184</v>
      </c>
      <c r="D1200" s="11" t="s">
        <v>2503</v>
      </c>
      <c r="E1200" s="14" t="s">
        <v>29</v>
      </c>
      <c r="F1200" s="14" t="s">
        <v>30</v>
      </c>
      <c r="G1200" s="15" t="s">
        <v>17</v>
      </c>
      <c r="H1200" s="15" t="s">
        <v>18</v>
      </c>
      <c r="I1200" s="14" t="str">
        <f>IMAGE("https://upload.wikimedia.org/wikipedia/commons/b/b9/La_promesa.jpg")</f>
        <v/>
      </c>
    </row>
    <row r="1201" ht="36.0" customHeight="1">
      <c r="A1201" s="16" t="str">
        <f>HYPERLINK("https://commons.wikimedia.org/wiki/User:" &amp; ENCODEURL("Laupedrazaa"), "Laupedrazaa")</f>
        <v>Laupedrazaa</v>
      </c>
      <c r="B1201" s="17" t="s">
        <v>2504</v>
      </c>
      <c r="C1201" s="18">
        <v>46167.86956018519</v>
      </c>
      <c r="D1201" s="17" t="s">
        <v>2505</v>
      </c>
      <c r="E1201" s="19" t="s">
        <v>29</v>
      </c>
      <c r="F1201" s="19" t="s">
        <v>30</v>
      </c>
      <c r="G1201" s="20" t="s">
        <v>17</v>
      </c>
      <c r="H1201" s="20" t="s">
        <v>18</v>
      </c>
      <c r="I1201" s="19" t="str">
        <f>IMAGE("https://upload.wikimedia.org/wikipedia/commons/b/b9/La_protagonista_del_campo.jpg")</f>
        <v/>
      </c>
    </row>
    <row r="1202" ht="36.0" customHeight="1">
      <c r="A1202" s="10" t="str">
        <f t="shared" ref="A1202:A1209" si="159">HYPERLINK("https://commons.wikimedia.org/wiki/User:" &amp; ENCODEURL("Sebastian Durango"), "Sebastian Durango")</f>
        <v>Sebastian Durango</v>
      </c>
      <c r="B1202" s="11" t="s">
        <v>2506</v>
      </c>
      <c r="C1202" s="12">
        <v>46199.92465277778</v>
      </c>
      <c r="D1202" s="11" t="s">
        <v>2507</v>
      </c>
      <c r="E1202" s="14" t="s">
        <v>2508</v>
      </c>
      <c r="F1202" s="15" t="s">
        <v>16</v>
      </c>
      <c r="G1202" s="15" t="s">
        <v>17</v>
      </c>
      <c r="H1202" s="15" t="s">
        <v>18</v>
      </c>
      <c r="I1202" s="14" t="str">
        <f>IMAGE("https://upload.wikimedia.org/wikipedia/commons/e/ef/LA_TOMA_SEVILLA_VALLE_DEL_CAUCA.jpg")</f>
        <v/>
      </c>
    </row>
    <row r="1203" ht="36.0" customHeight="1">
      <c r="A1203" s="16" t="str">
        <f t="shared" si="159"/>
        <v>Sebastian Durango</v>
      </c>
      <c r="B1203" s="17" t="s">
        <v>2509</v>
      </c>
      <c r="C1203" s="18">
        <v>46199.9246875</v>
      </c>
      <c r="D1203" s="17" t="s">
        <v>2507</v>
      </c>
      <c r="E1203" s="19" t="s">
        <v>2508</v>
      </c>
      <c r="F1203" s="20" t="s">
        <v>16</v>
      </c>
      <c r="G1203" s="20" t="s">
        <v>17</v>
      </c>
      <c r="H1203" s="20" t="s">
        <v>18</v>
      </c>
      <c r="I1203" s="19" t="str">
        <f>IMAGE("https://upload.wikimedia.org/wikipedia/commons/e/e2/LA_TOMA_SEVILLA_VALLE_DEL_CAUCA_FAUNA.jpg")</f>
        <v/>
      </c>
    </row>
    <row r="1204" ht="36.0" customHeight="1">
      <c r="A1204" s="10" t="str">
        <f t="shared" si="159"/>
        <v>Sebastian Durango</v>
      </c>
      <c r="B1204" s="11" t="s">
        <v>2510</v>
      </c>
      <c r="C1204" s="12">
        <v>46199.92469907407</v>
      </c>
      <c r="D1204" s="11" t="s">
        <v>2507</v>
      </c>
      <c r="E1204" s="14" t="s">
        <v>2508</v>
      </c>
      <c r="F1204" s="15" t="s">
        <v>16</v>
      </c>
      <c r="G1204" s="15" t="s">
        <v>17</v>
      </c>
      <c r="H1204" s="15" t="s">
        <v>18</v>
      </c>
      <c r="I1204" s="14" t="str">
        <f>IMAGE("https://upload.wikimedia.org/wikipedia/commons/d/da/LA_TOMA_SEVILLA_VALLE_DEL_CAUCA_FLORA.jpg")</f>
        <v/>
      </c>
    </row>
    <row r="1205" ht="36.0" customHeight="1">
      <c r="A1205" s="16" t="str">
        <f t="shared" si="159"/>
        <v>Sebastian Durango</v>
      </c>
      <c r="B1205" s="17" t="s">
        <v>2511</v>
      </c>
      <c r="C1205" s="18">
        <v>46199.92474537037</v>
      </c>
      <c r="D1205" s="17" t="s">
        <v>2507</v>
      </c>
      <c r="E1205" s="19" t="s">
        <v>2508</v>
      </c>
      <c r="F1205" s="20" t="s">
        <v>16</v>
      </c>
      <c r="G1205" s="20" t="s">
        <v>17</v>
      </c>
      <c r="H1205" s="20" t="s">
        <v>18</v>
      </c>
      <c r="I1205" s="19" t="str">
        <f>IMAGE("https://upload.wikimedia.org/wikipedia/commons/d/de/LA_TOMA_SEVILLA_VALLE_DEL_CAUCA_FORESTAL.jpg")</f>
        <v/>
      </c>
    </row>
    <row r="1206" ht="36.0" customHeight="1">
      <c r="A1206" s="10" t="str">
        <f t="shared" si="159"/>
        <v>Sebastian Durango</v>
      </c>
      <c r="B1206" s="11" t="s">
        <v>2512</v>
      </c>
      <c r="C1206" s="12">
        <v>46199.92469907407</v>
      </c>
      <c r="D1206" s="11" t="s">
        <v>2507</v>
      </c>
      <c r="E1206" s="14" t="s">
        <v>2508</v>
      </c>
      <c r="F1206" s="15" t="s">
        <v>16</v>
      </c>
      <c r="G1206" s="15" t="s">
        <v>17</v>
      </c>
      <c r="H1206" s="15" t="s">
        <v>18</v>
      </c>
      <c r="I1206" s="14" t="str">
        <f>IMAGE("https://upload.wikimedia.org/wikipedia/commons/8/83/LA_TOMA_SEVILLA_VALLE_DEL_CAUCA_SENDERO.jpg")</f>
        <v/>
      </c>
    </row>
    <row r="1207" ht="36.0" customHeight="1">
      <c r="A1207" s="16" t="str">
        <f t="shared" si="159"/>
        <v>Sebastian Durango</v>
      </c>
      <c r="B1207" s="17" t="s">
        <v>2513</v>
      </c>
      <c r="C1207" s="18">
        <v>46199.924733796295</v>
      </c>
      <c r="D1207" s="17" t="s">
        <v>2507</v>
      </c>
      <c r="E1207" s="19" t="s">
        <v>2508</v>
      </c>
      <c r="F1207" s="20" t="s">
        <v>16</v>
      </c>
      <c r="G1207" s="20" t="s">
        <v>17</v>
      </c>
      <c r="H1207" s="20" t="s">
        <v>18</v>
      </c>
      <c r="I1207" s="19" t="str">
        <f>IMAGE("https://upload.wikimedia.org/wikipedia/commons/e/ed/LA_TOMA_SEVILLA_VALLE_DEL_CAUCA_SENDERO_2.jpg")</f>
        <v/>
      </c>
    </row>
    <row r="1208" ht="36.0" customHeight="1">
      <c r="A1208" s="10" t="str">
        <f t="shared" si="159"/>
        <v>Sebastian Durango</v>
      </c>
      <c r="B1208" s="11" t="s">
        <v>2514</v>
      </c>
      <c r="C1208" s="12">
        <v>46199.92476851852</v>
      </c>
      <c r="D1208" s="11" t="s">
        <v>2507</v>
      </c>
      <c r="E1208" s="14" t="s">
        <v>2508</v>
      </c>
      <c r="F1208" s="15" t="s">
        <v>16</v>
      </c>
      <c r="G1208" s="15" t="s">
        <v>17</v>
      </c>
      <c r="H1208" s="15" t="s">
        <v>18</v>
      </c>
      <c r="I1208" s="14" t="str">
        <f>IMAGE("https://upload.wikimedia.org/wikipedia/commons/a/ac/LA_TOMA_SEVILLA_VALLE_DEL_CAUCA_SUELO.jpg")</f>
        <v/>
      </c>
    </row>
    <row r="1209" ht="36.0" customHeight="1">
      <c r="A1209" s="16" t="str">
        <f t="shared" si="159"/>
        <v>Sebastian Durango</v>
      </c>
      <c r="B1209" s="17" t="s">
        <v>2515</v>
      </c>
      <c r="C1209" s="18">
        <v>46199.924733796295</v>
      </c>
      <c r="D1209" s="17" t="s">
        <v>2507</v>
      </c>
      <c r="E1209" s="19" t="s">
        <v>2508</v>
      </c>
      <c r="F1209" s="20" t="s">
        <v>16</v>
      </c>
      <c r="G1209" s="20" t="s">
        <v>17</v>
      </c>
      <c r="H1209" s="20" t="s">
        <v>18</v>
      </c>
      <c r="I1209" s="19" t="str">
        <f>IMAGE("https://upload.wikimedia.org/wikipedia/commons/6/62/LA_TOMA_SEVILLA_VALLE_DEL_CAUCA_VEGETACI%C3%93N.jpg")</f>
        <v/>
      </c>
    </row>
    <row r="1210" ht="36.0" customHeight="1">
      <c r="A1210" s="10" t="str">
        <f>HYPERLINK("https://commons.wikimedia.org/wiki/User:" &amp; ENCODEURL("Ibeths2026"), "Ibeths2026")</f>
        <v>Ibeths2026</v>
      </c>
      <c r="B1210" s="11" t="s">
        <v>2516</v>
      </c>
      <c r="C1210" s="12">
        <v>46158.73479166667</v>
      </c>
      <c r="D1210" s="11" t="s">
        <v>2517</v>
      </c>
      <c r="E1210" s="14" t="s">
        <v>29</v>
      </c>
      <c r="F1210" s="14" t="s">
        <v>30</v>
      </c>
      <c r="G1210" s="15" t="s">
        <v>17</v>
      </c>
      <c r="H1210" s="15" t="s">
        <v>18</v>
      </c>
      <c r="I1210" s="14" t="str">
        <f>IMAGE("https://upload.wikimedia.org/wikipedia/commons/d/d5/La_Sierra_a_lo_lejos.jpg")</f>
        <v/>
      </c>
    </row>
    <row r="1211" ht="36.0" customHeight="1">
      <c r="A1211" s="16" t="str">
        <f>HYPERLINK("https://commons.wikimedia.org/wiki/User:" &amp; ENCODEURL("Vvelashue21"), "Vvelashue21")</f>
        <v>Vvelashue21</v>
      </c>
      <c r="B1211" s="17" t="s">
        <v>2518</v>
      </c>
      <c r="C1211" s="18">
        <v>46163.54803240741</v>
      </c>
      <c r="D1211" s="17" t="s">
        <v>2519</v>
      </c>
      <c r="E1211" s="19" t="s">
        <v>29</v>
      </c>
      <c r="F1211" s="19" t="s">
        <v>30</v>
      </c>
      <c r="G1211" s="20" t="s">
        <v>17</v>
      </c>
      <c r="H1211" s="20" t="s">
        <v>18</v>
      </c>
      <c r="I1211" s="19" t="str">
        <f>IMAGE("https://upload.wikimedia.org/wikipedia/commons/7/71/La_quinta_escondida.jpg")</f>
        <v/>
      </c>
    </row>
    <row r="1212" ht="36.0" customHeight="1">
      <c r="A1212" s="10" t="str">
        <f>HYPERLINK("https://commons.wikimedia.org/wiki/User:" &amp; ENCODEURL("CHAVESJUAN19"), "CHAVESJUAN19")</f>
        <v>CHAVESJUAN19</v>
      </c>
      <c r="B1212" s="11" t="s">
        <v>2520</v>
      </c>
      <c r="C1212" s="12">
        <v>46203.96219907407</v>
      </c>
      <c r="D1212" s="11" t="s">
        <v>2521</v>
      </c>
      <c r="E1212" s="14" t="s">
        <v>29</v>
      </c>
      <c r="F1212" s="14" t="s">
        <v>30</v>
      </c>
      <c r="G1212" s="15" t="s">
        <v>17</v>
      </c>
      <c r="H1212" s="15" t="s">
        <v>18</v>
      </c>
      <c r="I1212" s="14" t="str">
        <f>IMAGE("https://upload.wikimedia.org/wikipedia/commons/2/22/La_transformaci%C3%B3n_de_los_extremos_-_PNN_los_Nevados.jpg")</f>
        <v/>
      </c>
    </row>
    <row r="1213" ht="36.0" customHeight="1">
      <c r="A1213" s="16" t="str">
        <f>HYPERLINK("https://commons.wikimedia.org/wiki/User:" &amp; ENCODEURL("Zolsemiya"), "Zolsemiya")</f>
        <v>Zolsemiya</v>
      </c>
      <c r="B1213" s="17" t="s">
        <v>2522</v>
      </c>
      <c r="C1213" s="18">
        <v>46203.749189814815</v>
      </c>
      <c r="D1213" s="17" t="s">
        <v>2523</v>
      </c>
      <c r="E1213" s="19" t="s">
        <v>29</v>
      </c>
      <c r="F1213" s="19" t="s">
        <v>30</v>
      </c>
      <c r="G1213" s="20" t="s">
        <v>17</v>
      </c>
      <c r="H1213" s="20" t="s">
        <v>18</v>
      </c>
      <c r="I1213" s="19" t="str">
        <f>IMAGE("https://upload.wikimedia.org/wikipedia/commons/0/06/La_tricolor_%28Cattleya_trianae%29.jpg")</f>
        <v/>
      </c>
    </row>
    <row r="1214" ht="36.0" customHeight="1">
      <c r="A1214" s="10" t="str">
        <f>HYPERLINK("https://commons.wikimedia.org/wiki/User:" &amp; ENCODEURL("Elprofeta91"), "Elprofeta91")</f>
        <v>Elprofeta91</v>
      </c>
      <c r="B1214" s="11" t="s">
        <v>2524</v>
      </c>
      <c r="C1214" s="12">
        <v>46147.791134259256</v>
      </c>
      <c r="D1214" s="11" t="s">
        <v>32</v>
      </c>
      <c r="E1214" s="14" t="s">
        <v>2525</v>
      </c>
      <c r="F1214" s="15" t="s">
        <v>16</v>
      </c>
      <c r="G1214" s="15" t="s">
        <v>17</v>
      </c>
      <c r="H1214" s="15" t="s">
        <v>18</v>
      </c>
      <c r="I1214" s="14" t="str">
        <f>IMAGE("https://upload.wikimedia.org/wikipedia/commons/5/53/La_vaca_que_come.jpg")</f>
        <v/>
      </c>
    </row>
    <row r="1215" ht="36.0" customHeight="1">
      <c r="A1215" s="16" t="str">
        <f>HYPERLINK("https://commons.wikimedia.org/wiki/User:" &amp; ENCODEURL("Orquencia"), "Orquencia")</f>
        <v>Orquencia</v>
      </c>
      <c r="B1215" s="17" t="s">
        <v>2526</v>
      </c>
      <c r="C1215" s="18">
        <v>46197.83765046296</v>
      </c>
      <c r="D1215" s="17" t="s">
        <v>2527</v>
      </c>
      <c r="E1215" s="19" t="s">
        <v>29</v>
      </c>
      <c r="F1215" s="19" t="s">
        <v>30</v>
      </c>
      <c r="G1215" s="20" t="s">
        <v>17</v>
      </c>
      <c r="H1215" s="20" t="s">
        <v>18</v>
      </c>
      <c r="I1215" s="19" t="str">
        <f>IMAGE("https://upload.wikimedia.org/wikipedia/commons/f/f2/La_vida_a_nivel_micro.jpg")</f>
        <v/>
      </c>
    </row>
    <row r="1216" ht="36.0" customHeight="1">
      <c r="A1216" s="10" t="str">
        <f t="shared" ref="A1216:A1217" si="160">HYPERLINK("https://commons.wikimedia.org/wiki/User:" &amp; ENCODEURL("Johan Andrés Toro"), "Johan Andrés Toro")</f>
        <v>Johan Andrés Toro</v>
      </c>
      <c r="B1216" s="11" t="s">
        <v>2528</v>
      </c>
      <c r="C1216" s="12">
        <v>46176.945856481485</v>
      </c>
      <c r="D1216" s="11" t="s">
        <v>2529</v>
      </c>
      <c r="E1216" s="14" t="s">
        <v>29</v>
      </c>
      <c r="F1216" s="14" t="s">
        <v>30</v>
      </c>
      <c r="G1216" s="15" t="s">
        <v>17</v>
      </c>
      <c r="H1216" s="15" t="s">
        <v>18</v>
      </c>
      <c r="I1216" s="14" t="str">
        <f>IMAGE("https://upload.wikimedia.org/wikipedia/commons/e/e6/Laberinto_de_c%C3%A1rcavas_en_el_sector_de_Cuzco.jpg")</f>
        <v/>
      </c>
    </row>
    <row r="1217" ht="36.0" customHeight="1">
      <c r="A1217" s="16" t="str">
        <f t="shared" si="160"/>
        <v>Johan Andrés Toro</v>
      </c>
      <c r="B1217" s="17" t="s">
        <v>2530</v>
      </c>
      <c r="C1217" s="18">
        <v>46176.94569444445</v>
      </c>
      <c r="D1217" s="17" t="s">
        <v>2531</v>
      </c>
      <c r="E1217" s="19" t="s">
        <v>29</v>
      </c>
      <c r="F1217" s="19" t="s">
        <v>30</v>
      </c>
      <c r="G1217" s="20" t="s">
        <v>17</v>
      </c>
      <c r="H1217" s="20" t="s">
        <v>18</v>
      </c>
      <c r="I1217" s="19" t="str">
        <f>IMAGE("https://upload.wikimedia.org/wikipedia/commons/4/44/Laberintos_de_arcilla_en_el_Desierto_de_la_Tatacoa.jpg")</f>
        <v/>
      </c>
    </row>
    <row r="1218" ht="36.0" customHeight="1">
      <c r="A1218" s="10" t="str">
        <f>HYPERLINK("https://commons.wikimedia.org/wiki/User:" &amp; ENCODEURL("Sophy Martinez"), "Sophy Martinez")</f>
        <v>Sophy Martinez</v>
      </c>
      <c r="B1218" s="11" t="s">
        <v>2532</v>
      </c>
      <c r="C1218" s="12">
        <v>46202.06946759259</v>
      </c>
      <c r="D1218" s="11" t="s">
        <v>2533</v>
      </c>
      <c r="E1218" s="14" t="s">
        <v>2534</v>
      </c>
      <c r="F1218" s="15" t="s">
        <v>16</v>
      </c>
      <c r="G1218" s="15" t="s">
        <v>17</v>
      </c>
      <c r="H1218" s="15" t="s">
        <v>18</v>
      </c>
      <c r="I1218" s="14" t="str">
        <f>IMAGE("https://upload.wikimedia.org/wikipedia/commons/d/dc/Lacaria_%28Laccaria_laccata%29.jpg")</f>
        <v/>
      </c>
    </row>
    <row r="1219" ht="36.0" customHeight="1">
      <c r="A1219" s="16" t="str">
        <f t="shared" ref="A1219:A1220" si="161">HYPERLINK("https://commons.wikimedia.org/wiki/User:" &amp; ENCODEURL("Johan Andrés Toro"), "Johan Andrés Toro")</f>
        <v>Johan Andrés Toro</v>
      </c>
      <c r="B1219" s="17" t="s">
        <v>2535</v>
      </c>
      <c r="C1219" s="18">
        <v>46171.739386574074</v>
      </c>
      <c r="D1219" s="17" t="s">
        <v>2536</v>
      </c>
      <c r="E1219" s="19" t="s">
        <v>29</v>
      </c>
      <c r="F1219" s="19" t="s">
        <v>30</v>
      </c>
      <c r="G1219" s="20" t="s">
        <v>17</v>
      </c>
      <c r="H1219" s="20" t="s">
        <v>18</v>
      </c>
      <c r="I1219" s="19" t="str">
        <f>IMAGE("https://upload.wikimedia.org/wikipedia/commons/f/f8/Ladera_alta_llena_de_Fraiilejones_en_el_Nevado_del_Ruiz.jpg")</f>
        <v/>
      </c>
    </row>
    <row r="1220" ht="36.0" customHeight="1">
      <c r="A1220" s="10" t="str">
        <f t="shared" si="161"/>
        <v>Johan Andrés Toro</v>
      </c>
      <c r="B1220" s="11" t="s">
        <v>2537</v>
      </c>
      <c r="C1220" s="12">
        <v>46171.87662037037</v>
      </c>
      <c r="D1220" s="11" t="s">
        <v>2538</v>
      </c>
      <c r="E1220" s="14" t="s">
        <v>29</v>
      </c>
      <c r="F1220" s="14" t="s">
        <v>30</v>
      </c>
      <c r="G1220" s="15" t="s">
        <v>17</v>
      </c>
      <c r="H1220" s="15" t="s">
        <v>18</v>
      </c>
      <c r="I1220" s="14" t="str">
        <f>IMAGE("https://upload.wikimedia.org/wikipedia/commons/e/eb/Laderas_de_subp%C3%A1ramo_y_relieve_monta%C3%B1oso_en_Sumapaz.jpg")</f>
        <v/>
      </c>
    </row>
    <row r="1221" ht="36.0" customHeight="1">
      <c r="A1221" s="16" t="str">
        <f>HYPERLINK("https://commons.wikimedia.org/wiki/User:" &amp; ENCODEURL("Oscarvelascomora"), "Oscarvelascomora")</f>
        <v>Oscarvelascomora</v>
      </c>
      <c r="B1221" s="17" t="s">
        <v>2539</v>
      </c>
      <c r="C1221" s="18">
        <v>46151.682962962965</v>
      </c>
      <c r="D1221" s="17" t="s">
        <v>2540</v>
      </c>
      <c r="E1221" s="19" t="s">
        <v>29</v>
      </c>
      <c r="F1221" s="19" t="s">
        <v>30</v>
      </c>
      <c r="G1221" s="20" t="s">
        <v>17</v>
      </c>
      <c r="H1221" s="20" t="s">
        <v>18</v>
      </c>
      <c r="I1221" s="19" t="str">
        <f>IMAGE("https://upload.wikimedia.org/wikipedia/commons/f/f8/Ladrilleros.jpg")</f>
        <v/>
      </c>
    </row>
    <row r="1222" ht="36.0" customHeight="1">
      <c r="A1222" s="10" t="str">
        <f>HYPERLINK("https://commons.wikimedia.org/wiki/User:" &amp; ENCODEURL("Vvelashue21"), "Vvelashue21")</f>
        <v>Vvelashue21</v>
      </c>
      <c r="B1222" s="11" t="s">
        <v>2541</v>
      </c>
      <c r="C1222" s="12">
        <v>46163.51608796296</v>
      </c>
      <c r="D1222" s="11" t="s">
        <v>2542</v>
      </c>
      <c r="E1222" s="14" t="s">
        <v>29</v>
      </c>
      <c r="F1222" s="14" t="s">
        <v>30</v>
      </c>
      <c r="G1222" s="15" t="s">
        <v>17</v>
      </c>
      <c r="H1222" s="15" t="s">
        <v>18</v>
      </c>
      <c r="I1222" s="14" t="str">
        <f>IMAGE("https://upload.wikimedia.org/wikipedia/commons/8/8b/Lago_chico.jpg")</f>
        <v/>
      </c>
    </row>
    <row r="1223" ht="36.0" customHeight="1">
      <c r="A1223" s="16" t="str">
        <f t="shared" ref="A1223:A1224" si="162">HYPERLINK("https://commons.wikimedia.org/wiki/User:" &amp; ENCODEURL("Nathaly 1106"), "Nathaly 1106")</f>
        <v>Nathaly 1106</v>
      </c>
      <c r="B1223" s="17" t="s">
        <v>2543</v>
      </c>
      <c r="C1223" s="18">
        <v>46148.95716435185</v>
      </c>
      <c r="D1223" s="17" t="s">
        <v>2544</v>
      </c>
      <c r="E1223" s="19" t="s">
        <v>29</v>
      </c>
      <c r="F1223" s="19" t="s">
        <v>30</v>
      </c>
      <c r="G1223" s="20" t="s">
        <v>17</v>
      </c>
      <c r="H1223" s="20" t="s">
        <v>18</v>
      </c>
      <c r="I1223" s="19" t="str">
        <f>IMAGE("https://upload.wikimedia.org/wikipedia/commons/6/67/Lago_de_Villa_de_Leyva_%28Boyac%C3%A1%29.jpg")</f>
        <v/>
      </c>
    </row>
    <row r="1224" ht="36.0" customHeight="1">
      <c r="A1224" s="10" t="str">
        <f t="shared" si="162"/>
        <v>Nathaly 1106</v>
      </c>
      <c r="B1224" s="11" t="s">
        <v>2545</v>
      </c>
      <c r="C1224" s="12">
        <v>46147.60928240741</v>
      </c>
      <c r="D1224" s="11" t="s">
        <v>2546</v>
      </c>
      <c r="E1224" s="14" t="s">
        <v>29</v>
      </c>
      <c r="F1224" s="14" t="s">
        <v>30</v>
      </c>
      <c r="G1224" s="15" t="s">
        <v>17</v>
      </c>
      <c r="H1224" s="15" t="s">
        <v>18</v>
      </c>
      <c r="I1224" s="14" t="str">
        <f>IMAGE("https://upload.wikimedia.org/wikipedia/commons/d/d5/Lago_del_Jard%C3%ADn_Bot%C3%A1nico_de_Bogot%C3%A1.jpg")</f>
        <v/>
      </c>
    </row>
    <row r="1225" ht="36.0" customHeight="1">
      <c r="A1225" s="16" t="str">
        <f>HYPERLINK("https://commons.wikimedia.org/wiki/User:" &amp; ENCODEURL("Dyrt.yis"), "Dyrt.yis")</f>
        <v>Dyrt.yis</v>
      </c>
      <c r="B1225" s="17" t="s">
        <v>2547</v>
      </c>
      <c r="C1225" s="18">
        <v>46163.552824074075</v>
      </c>
      <c r="D1225" s="17" t="s">
        <v>2548</v>
      </c>
      <c r="E1225" s="19" t="s">
        <v>29</v>
      </c>
      <c r="F1225" s="19" t="s">
        <v>30</v>
      </c>
      <c r="G1225" s="20" t="s">
        <v>17</v>
      </c>
      <c r="H1225" s="20" t="s">
        <v>18</v>
      </c>
      <c r="I1225" s="19" t="str">
        <f>IMAGE("https://upload.wikimedia.org/wikipedia/commons/4/41/Lago_del_parque_sim%C3%B3n_bol%C3%ADvar.jpg")</f>
        <v/>
      </c>
    </row>
    <row r="1226" ht="36.0" customHeight="1">
      <c r="A1226" s="10" t="str">
        <f>HYPERLINK("https://commons.wikimedia.org/wiki/User:" &amp; ENCODEURL("Nathaly 1106"), "Nathaly 1106")</f>
        <v>Nathaly 1106</v>
      </c>
      <c r="B1226" s="11" t="s">
        <v>2549</v>
      </c>
      <c r="C1226" s="12">
        <v>46148.95730324074</v>
      </c>
      <c r="D1226" s="11" t="s">
        <v>2550</v>
      </c>
      <c r="E1226" s="14" t="s">
        <v>29</v>
      </c>
      <c r="F1226" s="14" t="s">
        <v>30</v>
      </c>
      <c r="G1226" s="15" t="s">
        <v>17</v>
      </c>
      <c r="H1226" s="15" t="s">
        <v>18</v>
      </c>
      <c r="I1226" s="14" t="str">
        <f>IMAGE("https://upload.wikimedia.org/wikipedia/commons/2/28/Lago_en_la_Hacienda_N%C3%A1poles_%28Colombia%29.jpg")</f>
        <v/>
      </c>
    </row>
    <row r="1227" ht="36.0" customHeight="1">
      <c r="A1227" s="16" t="str">
        <f>HYPERLINK("https://commons.wikimedia.org/wiki/User:" &amp; ENCODEURL("Viv Fa"), "Viv Fa")</f>
        <v>Viv Fa</v>
      </c>
      <c r="B1227" s="17" t="s">
        <v>2551</v>
      </c>
      <c r="C1227" s="18">
        <v>46197.54158564815</v>
      </c>
      <c r="D1227" s="17" t="s">
        <v>2552</v>
      </c>
      <c r="E1227" s="19" t="s">
        <v>29</v>
      </c>
      <c r="F1227" s="19" t="s">
        <v>30</v>
      </c>
      <c r="G1227" s="20" t="s">
        <v>17</v>
      </c>
      <c r="H1227" s="20" t="s">
        <v>18</v>
      </c>
      <c r="I1227" s="19" t="str">
        <f>IMAGE("https://upload.wikimedia.org/wikipedia/commons/1/13/Lago_en_sumapaz.jpg")</f>
        <v/>
      </c>
    </row>
    <row r="1228" ht="36.0" customHeight="1">
      <c r="A1228" s="10" t="str">
        <f>HYPERLINK("https://commons.wikimedia.org/wiki/User:" &amp; ENCODEURL("Nathaly 1106"), "Nathaly 1106")</f>
        <v>Nathaly 1106</v>
      </c>
      <c r="B1228" s="11" t="s">
        <v>2553</v>
      </c>
      <c r="C1228" s="12">
        <v>46148.95719907407</v>
      </c>
      <c r="D1228" s="11" t="s">
        <v>2554</v>
      </c>
      <c r="E1228" s="14" t="s">
        <v>29</v>
      </c>
      <c r="F1228" s="14" t="s">
        <v>30</v>
      </c>
      <c r="G1228" s="15" t="s">
        <v>17</v>
      </c>
      <c r="H1228" s="15" t="s">
        <v>18</v>
      </c>
      <c r="I1228" s="14" t="str">
        <f>IMAGE("https://upload.wikimedia.org/wikipedia/commons/5/58/Lagos_de_Villa_de_Leyva.jpg")</f>
        <v/>
      </c>
    </row>
    <row r="1229" ht="36.0" customHeight="1">
      <c r="A1229" s="16" t="str">
        <f>HYPERLINK("https://commons.wikimedia.org/wiki/User:" &amp; ENCODEURL("Sebasgr05"), "Sebasgr05")</f>
        <v>Sebasgr05</v>
      </c>
      <c r="B1229" s="17" t="s">
        <v>2555</v>
      </c>
      <c r="C1229" s="18">
        <v>46178.413622685184</v>
      </c>
      <c r="D1229" s="17" t="s">
        <v>2556</v>
      </c>
      <c r="E1229" s="19" t="s">
        <v>2557</v>
      </c>
      <c r="F1229" s="20" t="s">
        <v>16</v>
      </c>
      <c r="G1229" s="20" t="s">
        <v>17</v>
      </c>
      <c r="H1229" s="20" t="s">
        <v>18</v>
      </c>
      <c r="I1229" s="19" t="str">
        <f>IMAGE("https://upload.wikimedia.org/wikipedia/commons/8/85/Lagothrix_lagotricha_lagotricha.jpg")</f>
        <v/>
      </c>
    </row>
    <row r="1230" ht="36.0" customHeight="1">
      <c r="A1230" s="10" t="str">
        <f>HYPERLINK("https://commons.wikimedia.org/wiki/User:" &amp; ENCODEURL("Peperomia11"), "Peperomia11")</f>
        <v>Peperomia11</v>
      </c>
      <c r="B1230" s="11" t="s">
        <v>2558</v>
      </c>
      <c r="C1230" s="12">
        <v>46202.56013888889</v>
      </c>
      <c r="D1230" s="11" t="s">
        <v>2559</v>
      </c>
      <c r="E1230" s="14" t="s">
        <v>29</v>
      </c>
      <c r="F1230" s="14" t="s">
        <v>30</v>
      </c>
      <c r="G1230" s="15" t="s">
        <v>17</v>
      </c>
      <c r="H1230" s="15" t="s">
        <v>18</v>
      </c>
      <c r="I1230" s="14" t="str">
        <f>IMAGE("https://upload.wikimedia.org/wikipedia/commons/1/1a/Laguna_20260528_144415.jpg")</f>
        <v/>
      </c>
    </row>
    <row r="1231" ht="36.0" customHeight="1">
      <c r="A1231" s="16" t="str">
        <f>HYPERLINK("https://commons.wikimedia.org/wiki/User:" &amp; ENCODEURL("Supertita"), "Supertita")</f>
        <v>Supertita</v>
      </c>
      <c r="B1231" s="17" t="s">
        <v>2560</v>
      </c>
      <c r="C1231" s="18">
        <v>46192.763506944444</v>
      </c>
      <c r="D1231" s="17" t="s">
        <v>2561</v>
      </c>
      <c r="E1231" s="19" t="s">
        <v>1255</v>
      </c>
      <c r="F1231" s="20" t="s">
        <v>16</v>
      </c>
      <c r="G1231" s="20" t="s">
        <v>17</v>
      </c>
      <c r="H1231" s="20" t="s">
        <v>18</v>
      </c>
      <c r="I1231" s="19" t="str">
        <f>IMAGE("https://upload.wikimedia.org/wikipedia/commons/e/e1/Laguna_El_Tabacal_la_Vega-Bosque_de_guadua-reserva_natural_y_%C3%A1rea_de_conservaci%C3%B3n.jpg")</f>
        <v/>
      </c>
    </row>
    <row r="1232" ht="36.0" customHeight="1">
      <c r="A1232" s="10" t="str">
        <f>HYPERLINK("https://commons.wikimedia.org/wiki/User:" &amp; ENCODEURL("Eumastacidae"), "Eumastacidae")</f>
        <v>Eumastacidae</v>
      </c>
      <c r="B1232" s="11" t="s">
        <v>2562</v>
      </c>
      <c r="C1232" s="12">
        <v>46163.54115740741</v>
      </c>
      <c r="D1232" s="11" t="s">
        <v>2563</v>
      </c>
      <c r="E1232" s="14" t="s">
        <v>29</v>
      </c>
      <c r="F1232" s="14" t="s">
        <v>30</v>
      </c>
      <c r="G1232" s="15" t="s">
        <v>17</v>
      </c>
      <c r="H1232" s="15" t="s">
        <v>18</v>
      </c>
      <c r="I1232" s="14" t="str">
        <f>IMAGE("https://upload.wikimedia.org/wikipedia/commons/a/a4/Laguna_Matarredonda.jpg")</f>
        <v/>
      </c>
    </row>
    <row r="1233" ht="36.0" customHeight="1">
      <c r="A1233" s="16" t="str">
        <f>HYPERLINK("https://commons.wikimedia.org/wiki/User:" &amp; ENCODEURL("TheBogotaBandit"), "TheBogotaBandit")</f>
        <v>TheBogotaBandit</v>
      </c>
      <c r="B1233" s="17" t="s">
        <v>2564</v>
      </c>
      <c r="C1233" s="18">
        <v>46203.994988425926</v>
      </c>
      <c r="D1233" s="17" t="s">
        <v>2565</v>
      </c>
      <c r="E1233" s="19" t="s">
        <v>29</v>
      </c>
      <c r="F1233" s="19" t="s">
        <v>30</v>
      </c>
      <c r="G1233" s="20" t="s">
        <v>17</v>
      </c>
      <c r="H1233" s="20" t="s">
        <v>18</v>
      </c>
      <c r="I1233" s="19" t="str">
        <f>IMAGE("https://upload.wikimedia.org/wikipedia/commons/6/6e/Laguna_Negra%2C_Ocet%C3%A1.jpg")</f>
        <v/>
      </c>
    </row>
    <row r="1234" ht="36.0" customHeight="1">
      <c r="A1234" s="10" t="str">
        <f>HYPERLINK("https://commons.wikimedia.org/wiki/User:" &amp; ENCODEURL("Willandre1194"), "Willandre1194")</f>
        <v>Willandre1194</v>
      </c>
      <c r="B1234" s="11" t="s">
        <v>2566</v>
      </c>
      <c r="C1234" s="12">
        <v>46155.66101851852</v>
      </c>
      <c r="D1234" s="11" t="s">
        <v>2567</v>
      </c>
      <c r="E1234" s="14" t="s">
        <v>29</v>
      </c>
      <c r="F1234" s="14" t="s">
        <v>30</v>
      </c>
      <c r="G1234" s="15" t="s">
        <v>17</v>
      </c>
      <c r="H1234" s="15" t="s">
        <v>18</v>
      </c>
      <c r="I1234" s="14" t="str">
        <f>IMAGE("https://upload.wikimedia.org/wikipedia/commons/6/69/Laguna_Negra%2C_Parque_Los_Nevados.jpg")</f>
        <v/>
      </c>
    </row>
    <row r="1235" ht="36.0" customHeight="1">
      <c r="A1235" s="16" t="str">
        <f>HYPERLINK("https://commons.wikimedia.org/wiki/User:" &amp; ENCODEURL("PauMU86"), "PauMU86")</f>
        <v>PauMU86</v>
      </c>
      <c r="B1235" s="17" t="s">
        <v>2568</v>
      </c>
      <c r="C1235" s="18">
        <v>46171.69045138889</v>
      </c>
      <c r="D1235" s="17" t="s">
        <v>2569</v>
      </c>
      <c r="E1235" s="19" t="s">
        <v>29</v>
      </c>
      <c r="F1235" s="19" t="s">
        <v>30</v>
      </c>
      <c r="G1235" s="20" t="s">
        <v>17</v>
      </c>
      <c r="H1235" s="20" t="s">
        <v>18</v>
      </c>
      <c r="I1235" s="19" t="str">
        <f>IMAGE("https://upload.wikimedia.org/wikipedia/commons/9/96/Laguna_PNN_Sumapaz.jpg")</f>
        <v/>
      </c>
    </row>
    <row r="1236" ht="36.0" customHeight="1">
      <c r="A1236" s="10" t="str">
        <f>HYPERLINK("https://commons.wikimedia.org/wiki/User:" &amp; ENCODEURL("Dyrt.yis"), "Dyrt.yis")</f>
        <v>Dyrt.yis</v>
      </c>
      <c r="B1236" s="11" t="s">
        <v>2570</v>
      </c>
      <c r="C1236" s="12">
        <v>46163.511712962965</v>
      </c>
      <c r="D1236" s="11" t="s">
        <v>2571</v>
      </c>
      <c r="E1236" s="14" t="s">
        <v>29</v>
      </c>
      <c r="F1236" s="14" t="s">
        <v>30</v>
      </c>
      <c r="G1236" s="15" t="s">
        <v>17</v>
      </c>
      <c r="H1236" s="15" t="s">
        <v>18</v>
      </c>
      <c r="I1236" s="14" t="str">
        <f>IMAGE("https://upload.wikimedia.org/wikipedia/commons/2/26/Laguna_chico_en_Bogot%C3%A1.jpg")</f>
        <v/>
      </c>
    </row>
    <row r="1237" ht="36.0" customHeight="1">
      <c r="A1237" s="16" t="str">
        <f>HYPERLINK("https://commons.wikimedia.org/wiki/User:" &amp; ENCODEURL("Luifereduardoo"), "Luifereduardoo")</f>
        <v>Luifereduardoo</v>
      </c>
      <c r="B1237" s="17" t="s">
        <v>2572</v>
      </c>
      <c r="C1237" s="18">
        <v>46164.55869212963</v>
      </c>
      <c r="D1237" s="17" t="s">
        <v>2573</v>
      </c>
      <c r="E1237" s="19" t="s">
        <v>2574</v>
      </c>
      <c r="F1237" s="20" t="s">
        <v>16</v>
      </c>
      <c r="G1237" s="20" t="s">
        <v>17</v>
      </c>
      <c r="H1237" s="20" t="s">
        <v>18</v>
      </c>
      <c r="I1237" s="19" t="str">
        <f>IMAGE("https://upload.wikimedia.org/wikipedia/commons/9/9d/Laguna_cocuy.jpg")</f>
        <v/>
      </c>
    </row>
    <row r="1238" ht="36.0" customHeight="1">
      <c r="A1238" s="10" t="str">
        <f>HYPERLINK("https://commons.wikimedia.org/wiki/User:" &amp; ENCODEURL("Leovilla1970"), "Leovilla1970")</f>
        <v>Leovilla1970</v>
      </c>
      <c r="B1238" s="11" t="s">
        <v>2575</v>
      </c>
      <c r="C1238" s="12">
        <v>46170.51399305555</v>
      </c>
      <c r="D1238" s="11" t="s">
        <v>2576</v>
      </c>
      <c r="E1238" s="14" t="s">
        <v>29</v>
      </c>
      <c r="F1238" s="14" t="s">
        <v>30</v>
      </c>
      <c r="G1238" s="15" t="s">
        <v>17</v>
      </c>
      <c r="H1238" s="15" t="s">
        <v>18</v>
      </c>
      <c r="I1238" s="14" t="str">
        <f>IMAGE("https://upload.wikimedia.org/wikipedia/commons/4/41/Laguna_de_Chingaza.jpg")</f>
        <v/>
      </c>
    </row>
    <row r="1239" ht="36.0" customHeight="1">
      <c r="A1239" s="16" t="str">
        <f>HYPERLINK("https://commons.wikimedia.org/wiki/User:" &amp; ENCODEURL("Mottenpriesterin"), "Mottenpriesterin")</f>
        <v>Mottenpriesterin</v>
      </c>
      <c r="B1239" s="17" t="s">
        <v>2577</v>
      </c>
      <c r="C1239" s="18">
        <v>46202.919907407406</v>
      </c>
      <c r="D1239" s="17" t="s">
        <v>2578</v>
      </c>
      <c r="E1239" s="19" t="s">
        <v>2579</v>
      </c>
      <c r="F1239" s="20" t="s">
        <v>16</v>
      </c>
      <c r="G1239" s="20" t="s">
        <v>17</v>
      </c>
      <c r="H1239" s="20" t="s">
        <v>18</v>
      </c>
      <c r="I1239" s="19" t="str">
        <f>IMAGE("https://upload.wikimedia.org/wikipedia/commons/0/0c/Laguna_de_Guaitip%C3%A1n%2C_near_Pitalito%2C_Huila%2C_2025.jpg")</f>
        <v/>
      </c>
    </row>
    <row r="1240" ht="36.0" customHeight="1">
      <c r="A1240" s="10" t="str">
        <f>HYPERLINK("https://commons.wikimedia.org/wiki/User:" &amp; ENCODEURL("Oscarvelascomora"), "Oscarvelascomora")</f>
        <v>Oscarvelascomora</v>
      </c>
      <c r="B1240" s="11" t="s">
        <v>2580</v>
      </c>
      <c r="C1240" s="12">
        <v>46151.68300925926</v>
      </c>
      <c r="D1240" s="11" t="s">
        <v>2581</v>
      </c>
      <c r="E1240" s="14" t="s">
        <v>29</v>
      </c>
      <c r="F1240" s="14" t="s">
        <v>30</v>
      </c>
      <c r="G1240" s="15" t="s">
        <v>17</v>
      </c>
      <c r="H1240" s="15" t="s">
        <v>18</v>
      </c>
      <c r="I1240" s="14" t="str">
        <f>IMAGE("https://upload.wikimedia.org/wikipedia/commons/7/79/Laguna_de_Iguaque_Boyac%C3%A1.jpg")</f>
        <v/>
      </c>
    </row>
    <row r="1241" ht="36.0" customHeight="1">
      <c r="A1241" s="16" t="str">
        <f>HYPERLINK("https://commons.wikimedia.org/wiki/User:" &amp; ENCODEURL("Laupedrazaa"), "Laupedrazaa")</f>
        <v>Laupedrazaa</v>
      </c>
      <c r="B1241" s="17" t="s">
        <v>2582</v>
      </c>
      <c r="C1241" s="18">
        <v>46167.87740740741</v>
      </c>
      <c r="D1241" s="17" t="s">
        <v>2583</v>
      </c>
      <c r="E1241" s="19" t="s">
        <v>29</v>
      </c>
      <c r="F1241" s="19" t="s">
        <v>30</v>
      </c>
      <c r="G1241" s="20" t="s">
        <v>17</v>
      </c>
      <c r="H1241" s="20" t="s">
        <v>18</v>
      </c>
      <c r="I1241" s="19" t="str">
        <f>IMAGE("https://upload.wikimedia.org/wikipedia/commons/9/9b/Laguna_de_Ortices_-_Santander.jpg")</f>
        <v/>
      </c>
    </row>
    <row r="1242" ht="36.0" customHeight="1">
      <c r="A1242" s="10" t="str">
        <f>HYPERLINK("https://commons.wikimedia.org/wiki/User:" &amp; ENCODEURL("JuanitoCISF"), "JuanitoCISF")</f>
        <v>JuanitoCISF</v>
      </c>
      <c r="B1242" s="11" t="s">
        <v>2584</v>
      </c>
      <c r="C1242" s="12">
        <v>46170.45259259259</v>
      </c>
      <c r="D1242" s="11" t="s">
        <v>2585</v>
      </c>
      <c r="E1242" s="14" t="s">
        <v>2586</v>
      </c>
      <c r="F1242" s="15" t="s">
        <v>16</v>
      </c>
      <c r="G1242" s="15" t="s">
        <v>17</v>
      </c>
      <c r="H1242" s="15" t="s">
        <v>18</v>
      </c>
      <c r="I1242" s="14" t="str">
        <f>IMAGE("https://upload.wikimedia.org/wikipedia/commons/4/47/Laguna_de_hojas.jpg")</f>
        <v/>
      </c>
    </row>
    <row r="1243" ht="36.0" customHeight="1">
      <c r="A1243" s="16" t="str">
        <f>HYPERLINK("https://commons.wikimedia.org/wiki/User:" &amp; ENCODEURL("AlbruMar"), "AlbruMar")</f>
        <v>AlbruMar</v>
      </c>
      <c r="B1243" s="17" t="s">
        <v>2587</v>
      </c>
      <c r="C1243" s="18">
        <v>46149.97119212963</v>
      </c>
      <c r="D1243" s="17" t="s">
        <v>2588</v>
      </c>
      <c r="E1243" s="19" t="s">
        <v>29</v>
      </c>
      <c r="F1243" s="19" t="s">
        <v>30</v>
      </c>
      <c r="G1243" s="20" t="s">
        <v>17</v>
      </c>
      <c r="H1243" s="20" t="s">
        <v>18</v>
      </c>
      <c r="I1243" s="19" t="str">
        <f>IMAGE("https://upload.wikimedia.org/wikipedia/commons/0/07/Laguna_de_la_cocha_tormentosa_y_caudalosa.jpg")</f>
        <v/>
      </c>
    </row>
    <row r="1244" ht="36.0" customHeight="1">
      <c r="A1244" s="10" t="str">
        <f>HYPERLINK("https://commons.wikimedia.org/wiki/User:" &amp; ENCODEURL("Mar 21DS"), "Mar 21DS")</f>
        <v>Mar 21DS</v>
      </c>
      <c r="B1244" s="11" t="s">
        <v>2589</v>
      </c>
      <c r="C1244" s="12">
        <v>46163.56233796296</v>
      </c>
      <c r="D1244" s="11" t="s">
        <v>2590</v>
      </c>
      <c r="E1244" s="14" t="s">
        <v>29</v>
      </c>
      <c r="F1244" s="14" t="s">
        <v>30</v>
      </c>
      <c r="G1244" s="15" t="s">
        <v>17</v>
      </c>
      <c r="H1244" s="15" t="s">
        <v>18</v>
      </c>
      <c r="I1244" s="14" t="str">
        <f>IMAGE("https://upload.wikimedia.org/wikipedia/commons/9/9e/Laguna_de_tota.jpg")</f>
        <v/>
      </c>
    </row>
    <row r="1245" ht="36.0" customHeight="1">
      <c r="A1245" s="16" t="str">
        <f>HYPERLINK("https://commons.wikimedia.org/wiki/User:" &amp; ENCODEURL("Crisrueda99"), "Crisrueda99")</f>
        <v>Crisrueda99</v>
      </c>
      <c r="B1245" s="17" t="s">
        <v>2591</v>
      </c>
      <c r="C1245" s="18">
        <v>46173.844664351855</v>
      </c>
      <c r="D1245" s="17" t="s">
        <v>2592</v>
      </c>
      <c r="E1245" s="19" t="s">
        <v>29</v>
      </c>
      <c r="F1245" s="19" t="s">
        <v>30</v>
      </c>
      <c r="G1245" s="20" t="s">
        <v>17</v>
      </c>
      <c r="H1245" s="20" t="s">
        <v>18</v>
      </c>
      <c r="I1245" s="19" t="str">
        <f>IMAGE("https://upload.wikimedia.org/wikipedia/commons/7/7c/Laguna_del_Amor.jpg")</f>
        <v/>
      </c>
    </row>
    <row r="1246" ht="36.0" customHeight="1">
      <c r="A1246" s="10" t="str">
        <f>HYPERLINK("https://commons.wikimedia.org/wiki/User:" &amp; ENCODEURL("Andres Ggalindo"), "Andres Ggalindo")</f>
        <v>Andres Ggalindo</v>
      </c>
      <c r="B1246" s="11" t="s">
        <v>2593</v>
      </c>
      <c r="C1246" s="12">
        <v>46203.998252314814</v>
      </c>
      <c r="D1246" s="11" t="s">
        <v>2594</v>
      </c>
      <c r="E1246" s="14" t="s">
        <v>29</v>
      </c>
      <c r="F1246" s="14" t="s">
        <v>30</v>
      </c>
      <c r="G1246" s="15" t="s">
        <v>17</v>
      </c>
      <c r="H1246" s="15" t="s">
        <v>18</v>
      </c>
      <c r="I1246" s="14" t="str">
        <f>IMAGE("https://upload.wikimedia.org/wikipedia/commons/5/52/Laguna_en_el_Parque_Nacional_Natural_El_Cocuy.jpg")</f>
        <v/>
      </c>
    </row>
    <row r="1247" ht="36.0" customHeight="1">
      <c r="A1247" s="16" t="str">
        <f t="shared" ref="A1247:A1248" si="163">HYPERLINK("https://commons.wikimedia.org/wiki/User:" &amp; ENCODEURL("Johan Andrés Toro"), "Johan Andrés Toro")</f>
        <v>Johan Andrés Toro</v>
      </c>
      <c r="B1247" s="17" t="s">
        <v>2595</v>
      </c>
      <c r="C1247" s="18">
        <v>46171.73940972222</v>
      </c>
      <c r="D1247" s="17" t="s">
        <v>2596</v>
      </c>
      <c r="E1247" s="19" t="s">
        <v>29</v>
      </c>
      <c r="F1247" s="19" t="s">
        <v>30</v>
      </c>
      <c r="G1247" s="20" t="s">
        <v>17</v>
      </c>
      <c r="H1247" s="20" t="s">
        <v>18</v>
      </c>
      <c r="I1247" s="19" t="str">
        <f>IMAGE("https://upload.wikimedia.org/wikipedia/commons/5/5f/Laguna_glacial_del_Ruiz_bajo_el_manto_de_niebla_andina.jpg")</f>
        <v/>
      </c>
    </row>
    <row r="1248" ht="36.0" customHeight="1">
      <c r="A1248" s="10" t="str">
        <f t="shared" si="163"/>
        <v>Johan Andrés Toro</v>
      </c>
      <c r="B1248" s="11" t="s">
        <v>2597</v>
      </c>
      <c r="C1248" s="12">
        <v>46171.87662037037</v>
      </c>
      <c r="D1248" s="11" t="s">
        <v>2598</v>
      </c>
      <c r="E1248" s="14" t="s">
        <v>29</v>
      </c>
      <c r="F1248" s="14" t="s">
        <v>30</v>
      </c>
      <c r="G1248" s="15" t="s">
        <v>17</v>
      </c>
      <c r="H1248" s="15" t="s">
        <v>18</v>
      </c>
      <c r="I1248" s="14" t="str">
        <f>IMAGE("https://upload.wikimedia.org/wikipedia/commons/b/ba/Laguna_glacial_y_macizo_rocoso_bajo_la_niebla_en_Sumapaz.jpg")</f>
        <v/>
      </c>
    </row>
    <row r="1249" ht="36.0" customHeight="1">
      <c r="A1249" s="16" t="str">
        <f>HYPERLINK("https://commons.wikimedia.org/wiki/User:" &amp; ENCODEURL("Luifereduardoo"), "Luifereduardoo")</f>
        <v>Luifereduardoo</v>
      </c>
      <c r="B1249" s="17" t="s">
        <v>2599</v>
      </c>
      <c r="C1249" s="18">
        <v>46164.55866898148</v>
      </c>
      <c r="D1249" s="17" t="s">
        <v>2600</v>
      </c>
      <c r="E1249" s="19" t="s">
        <v>2574</v>
      </c>
      <c r="F1249" s="20" t="s">
        <v>16</v>
      </c>
      <c r="G1249" s="20" t="s">
        <v>17</v>
      </c>
      <c r="H1249" s="20" t="s">
        <v>18</v>
      </c>
      <c r="I1249" s="19" t="str">
        <f>IMAGE("https://upload.wikimedia.org/wikipedia/commons/0/01/Laguna_grande_cocuy.jpg")</f>
        <v/>
      </c>
    </row>
    <row r="1250" ht="36.0" customHeight="1">
      <c r="A1250" s="10" t="str">
        <f>HYPERLINK("https://commons.wikimedia.org/wiki/User:" &amp; ENCODEURL("Natalia gferia"), "Natalia gferia")</f>
        <v>Natalia gferia</v>
      </c>
      <c r="B1250" s="11" t="s">
        <v>2601</v>
      </c>
      <c r="C1250" s="12">
        <v>46202.59037037037</v>
      </c>
      <c r="D1250" s="11" t="s">
        <v>2602</v>
      </c>
      <c r="E1250" s="14" t="s">
        <v>29</v>
      </c>
      <c r="F1250" s="14" t="s">
        <v>30</v>
      </c>
      <c r="G1250" s="15" t="s">
        <v>17</v>
      </c>
      <c r="H1250" s="15" t="s">
        <v>18</v>
      </c>
      <c r="I1250" s="14" t="str">
        <f>IMAGE("https://upload.wikimedia.org/wikipedia/commons/f/fe/Laguna_la_llorona.jpg")</f>
        <v/>
      </c>
    </row>
    <row r="1251" ht="36.0" customHeight="1">
      <c r="A1251" s="16" t="str">
        <f>HYPERLINK("https://commons.wikimedia.org/wiki/User:" &amp; ENCODEURL("Adrianava.yviene"), "Adrianava.yviene")</f>
        <v>Adrianava.yviene</v>
      </c>
      <c r="B1251" s="17" t="s">
        <v>2603</v>
      </c>
      <c r="C1251" s="18">
        <v>46198.557974537034</v>
      </c>
      <c r="D1251" s="17" t="s">
        <v>2604</v>
      </c>
      <c r="E1251" s="19" t="s">
        <v>29</v>
      </c>
      <c r="F1251" s="19" t="s">
        <v>30</v>
      </c>
      <c r="G1251" s="20" t="s">
        <v>17</v>
      </c>
      <c r="H1251" s="20" t="s">
        <v>18</v>
      </c>
      <c r="I1251" s="19" t="str">
        <f>IMAGE("https://upload.wikimedia.org/wikipedia/commons/2/24/Laguna_larga.jpg")</f>
        <v/>
      </c>
    </row>
    <row r="1252" ht="36.0" customHeight="1">
      <c r="A1252" s="10" t="str">
        <f>HYPERLINK("https://commons.wikimedia.org/wiki/User:" &amp; ENCODEURL("Anvar2420"), "Anvar2420")</f>
        <v>Anvar2420</v>
      </c>
      <c r="B1252" s="11" t="s">
        <v>2605</v>
      </c>
      <c r="C1252" s="12">
        <v>46163.556759259256</v>
      </c>
      <c r="D1252" s="11" t="s">
        <v>2606</v>
      </c>
      <c r="E1252" s="14" t="s">
        <v>29</v>
      </c>
      <c r="F1252" s="14" t="s">
        <v>30</v>
      </c>
      <c r="G1252" s="15" t="s">
        <v>17</v>
      </c>
      <c r="H1252" s="15" t="s">
        <v>18</v>
      </c>
      <c r="I1252" s="14" t="str">
        <f>IMAGE("https://upload.wikimedia.org/wikipedia/commons/d/d1/Laguna_Pore%C3%B1a.jpg")</f>
        <v/>
      </c>
    </row>
    <row r="1253" ht="36.0" customHeight="1">
      <c r="A1253" s="16" t="str">
        <f>HYPERLINK("https://commons.wikimedia.org/wiki/User:" &amp; ENCODEURL("Elcrespodeloscuentos"), "Elcrespodeloscuentos")</f>
        <v>Elcrespodeloscuentos</v>
      </c>
      <c r="B1253" s="17" t="s">
        <v>2607</v>
      </c>
      <c r="C1253" s="18">
        <v>46203.94855324074</v>
      </c>
      <c r="D1253" s="17" t="s">
        <v>2608</v>
      </c>
      <c r="E1253" s="19" t="s">
        <v>29</v>
      </c>
      <c r="F1253" s="19" t="s">
        <v>30</v>
      </c>
      <c r="G1253" s="20" t="s">
        <v>17</v>
      </c>
      <c r="H1253" s="20" t="s">
        <v>18</v>
      </c>
      <c r="I1253" s="19" t="str">
        <f>IMAGE("https://upload.wikimedia.org/wikipedia/commons/2/22/Laguna_p%C3%A1ramo_de_Belmira_amanecer_28%2C6%2C26.jpg")</f>
        <v/>
      </c>
    </row>
    <row r="1254" ht="36.0" customHeight="1">
      <c r="A1254" s="10" t="str">
        <f>HYPERLINK("https://commons.wikimedia.org/wiki/User:" &amp; ENCODEURL("SergiXCX"), "SergiXCX")</f>
        <v>SergiXCX</v>
      </c>
      <c r="B1254" s="11" t="s">
        <v>2609</v>
      </c>
      <c r="C1254" s="12">
        <v>46203.98074074074</v>
      </c>
      <c r="D1254" s="11" t="s">
        <v>2610</v>
      </c>
      <c r="E1254" s="14" t="s">
        <v>29</v>
      </c>
      <c r="F1254" s="14" t="s">
        <v>30</v>
      </c>
      <c r="G1254" s="15" t="s">
        <v>17</v>
      </c>
      <c r="H1254" s="15" t="s">
        <v>18</v>
      </c>
      <c r="I1254" s="14" t="str">
        <f>IMAGE("https://upload.wikimedia.org/wikipedia/commons/0/03/Lake_surrounded_by_Espeletia_in_Boyac%C3%A1_%28Laguna_rodeada_de_frailejones_en_Boyac%C3%A1%29.jpg")</f>
        <v/>
      </c>
    </row>
    <row r="1255" ht="36.0" customHeight="1">
      <c r="A1255" s="16" t="str">
        <f>HYPERLINK("https://commons.wikimedia.org/wiki/User:" &amp; ENCODEURL("ChopinxEtude"), "ChopinxEtude")</f>
        <v>ChopinxEtude</v>
      </c>
      <c r="B1255" s="17" t="s">
        <v>2611</v>
      </c>
      <c r="C1255" s="18">
        <v>46146.8699537037</v>
      </c>
      <c r="D1255" s="17" t="s">
        <v>2612</v>
      </c>
      <c r="E1255" s="19" t="s">
        <v>29</v>
      </c>
      <c r="F1255" s="19" t="s">
        <v>30</v>
      </c>
      <c r="G1255" s="20" t="s">
        <v>17</v>
      </c>
      <c r="H1255" s="20" t="s">
        <v>18</v>
      </c>
      <c r="I1255" s="19" t="str">
        <f>IMAGE("https://upload.wikimedia.org/wikipedia/commons/e/e0/Lamelas_de_hongo_bajo_luz_UV.jpg")</f>
        <v/>
      </c>
    </row>
    <row r="1256" ht="36.0" customHeight="1">
      <c r="A1256" s="10" t="str">
        <f>HYPERLINK("https://commons.wikimedia.org/wiki/User:" &amp; ENCODEURL("AlbruMar"), "AlbruMar")</f>
        <v>AlbruMar</v>
      </c>
      <c r="B1256" s="11" t="s">
        <v>2613</v>
      </c>
      <c r="C1256" s="12">
        <v>46149.97114583333</v>
      </c>
      <c r="D1256" s="11" t="s">
        <v>2614</v>
      </c>
      <c r="E1256" s="14" t="s">
        <v>29</v>
      </c>
      <c r="F1256" s="14" t="s">
        <v>30</v>
      </c>
      <c r="G1256" s="15" t="s">
        <v>17</v>
      </c>
      <c r="H1256" s="15" t="s">
        <v>18</v>
      </c>
      <c r="I1256" s="14" t="str">
        <f>IMAGE("https://upload.wikimedia.org/wikipedia/commons/e/ed/Lancha_a_la_espera_-_Laguna_de_la_cocha_despu%C3%A9s_de_su_inundaci%C3%B3n_Marzo_2025.jpg")</f>
        <v/>
      </c>
    </row>
    <row r="1257" ht="36.0" customHeight="1">
      <c r="A1257" s="16" t="str">
        <f t="shared" ref="A1257:A1272" si="164">HYPERLINK("https://commons.wikimedia.org/wiki/User:" &amp; ENCODEURL("Diferoch"), "Diferoch")</f>
        <v>Diferoch</v>
      </c>
      <c r="B1257" s="17" t="s">
        <v>2615</v>
      </c>
      <c r="C1257" s="18">
        <v>46197.57917824074</v>
      </c>
      <c r="D1257" s="17" t="s">
        <v>2616</v>
      </c>
      <c r="E1257" s="19" t="s">
        <v>2617</v>
      </c>
      <c r="F1257" s="20" t="s">
        <v>16</v>
      </c>
      <c r="G1257" s="20" t="s">
        <v>17</v>
      </c>
      <c r="H1257" s="20" t="s">
        <v>18</v>
      </c>
      <c r="I1257" s="19" t="str">
        <f>IMAGE("https://upload.wikimedia.org/wikipedia/commons/a/aa/Landscape_of_Nuqu%C3%AD%2C_Choc%C3%B3%2C_Colombia_-_21_Oct_2025_-_Diferoch_-_1.jpg")</f>
        <v/>
      </c>
    </row>
    <row r="1258" ht="36.0" customHeight="1">
      <c r="A1258" s="10" t="str">
        <f t="shared" si="164"/>
        <v>Diferoch</v>
      </c>
      <c r="B1258" s="11" t="s">
        <v>2618</v>
      </c>
      <c r="C1258" s="12">
        <v>46197.579189814816</v>
      </c>
      <c r="D1258" s="11" t="s">
        <v>2616</v>
      </c>
      <c r="E1258" s="14" t="s">
        <v>2619</v>
      </c>
      <c r="F1258" s="15" t="s">
        <v>16</v>
      </c>
      <c r="G1258" s="15" t="s">
        <v>17</v>
      </c>
      <c r="H1258" s="15" t="s">
        <v>18</v>
      </c>
      <c r="I1258" s="14" t="str">
        <f>IMAGE("https://upload.wikimedia.org/wikipedia/commons/a/a6/Landscape_of_Nuqu%C3%AD%2C_Choc%C3%B3%2C_Colombia_-_21_Oct_2025_-_Diferoch_-_2.jpg")</f>
        <v/>
      </c>
    </row>
    <row r="1259" ht="36.0" customHeight="1">
      <c r="A1259" s="16" t="str">
        <f t="shared" si="164"/>
        <v>Diferoch</v>
      </c>
      <c r="B1259" s="17" t="s">
        <v>2620</v>
      </c>
      <c r="C1259" s="18">
        <v>46197.579247685186</v>
      </c>
      <c r="D1259" s="17" t="s">
        <v>2616</v>
      </c>
      <c r="E1259" s="19" t="s">
        <v>2621</v>
      </c>
      <c r="F1259" s="20" t="s">
        <v>16</v>
      </c>
      <c r="G1259" s="20" t="s">
        <v>17</v>
      </c>
      <c r="H1259" s="20" t="s">
        <v>18</v>
      </c>
      <c r="I1259" s="19" t="str">
        <f>IMAGE("https://upload.wikimedia.org/wikipedia/commons/1/1e/Landscape_of_Nuqu%C3%AD%2C_Choc%C3%B3%2C_Colombia_-_21_Oct_2025_-_Diferoch_-_3.jpg")</f>
        <v/>
      </c>
    </row>
    <row r="1260" ht="36.0" customHeight="1">
      <c r="A1260" s="10" t="str">
        <f t="shared" si="164"/>
        <v>Diferoch</v>
      </c>
      <c r="B1260" s="11" t="s">
        <v>2622</v>
      </c>
      <c r="C1260" s="12">
        <v>46197.579247685186</v>
      </c>
      <c r="D1260" s="11" t="s">
        <v>2623</v>
      </c>
      <c r="E1260" s="14" t="s">
        <v>2624</v>
      </c>
      <c r="F1260" s="15" t="s">
        <v>16</v>
      </c>
      <c r="G1260" s="15" t="s">
        <v>17</v>
      </c>
      <c r="H1260" s="15" t="s">
        <v>18</v>
      </c>
      <c r="I1260" s="14" t="str">
        <f>IMAGE("https://upload.wikimedia.org/wikipedia/commons/3/3a/Landscape_of_Nuqu%C3%AD%2C_Choc%C3%B3%2C_Colombia_-_21_Oct_2025_-_Diferoch_-_4.jpg")</f>
        <v/>
      </c>
    </row>
    <row r="1261" ht="36.0" customHeight="1">
      <c r="A1261" s="16" t="str">
        <f t="shared" si="164"/>
        <v>Diferoch</v>
      </c>
      <c r="B1261" s="17" t="s">
        <v>2625</v>
      </c>
      <c r="C1261" s="18">
        <v>46197.579305555555</v>
      </c>
      <c r="D1261" s="17" t="s">
        <v>2616</v>
      </c>
      <c r="E1261" s="19" t="s">
        <v>2626</v>
      </c>
      <c r="F1261" s="20" t="s">
        <v>16</v>
      </c>
      <c r="G1261" s="20" t="s">
        <v>17</v>
      </c>
      <c r="H1261" s="20" t="s">
        <v>18</v>
      </c>
      <c r="I1261" s="19" t="str">
        <f>IMAGE("https://upload.wikimedia.org/wikipedia/commons/e/e1/Landscape_of_Nuqu%C3%AD%2C_Choc%C3%B3%2C_Colombia_-_21_Oct_2025_-_Diferoch_-_5.jpg")</f>
        <v/>
      </c>
    </row>
    <row r="1262" ht="36.0" customHeight="1">
      <c r="A1262" s="10" t="str">
        <f t="shared" si="164"/>
        <v>Diferoch</v>
      </c>
      <c r="B1262" s="11" t="s">
        <v>2627</v>
      </c>
      <c r="C1262" s="12">
        <v>46197.98813657407</v>
      </c>
      <c r="D1262" s="11" t="s">
        <v>2616</v>
      </c>
      <c r="E1262" s="14" t="s">
        <v>2628</v>
      </c>
      <c r="F1262" s="15" t="s">
        <v>16</v>
      </c>
      <c r="G1262" s="15" t="s">
        <v>17</v>
      </c>
      <c r="H1262" s="15" t="s">
        <v>18</v>
      </c>
      <c r="I1262" s="14" t="str">
        <f>IMAGE("https://upload.wikimedia.org/wikipedia/commons/0/00/Landscape_of_Nuqu%C3%AD%2C_Choc%C3%B3%2C_Colombia_-_22_Oct_2025_-_Diferoch_-_1.jpg")</f>
        <v/>
      </c>
    </row>
    <row r="1263" ht="36.0" customHeight="1">
      <c r="A1263" s="16" t="str">
        <f t="shared" si="164"/>
        <v>Diferoch</v>
      </c>
      <c r="B1263" s="17" t="s">
        <v>2629</v>
      </c>
      <c r="C1263" s="18">
        <v>46197.988391203704</v>
      </c>
      <c r="D1263" s="17" t="s">
        <v>2616</v>
      </c>
      <c r="E1263" s="19" t="s">
        <v>2630</v>
      </c>
      <c r="F1263" s="20" t="s">
        <v>16</v>
      </c>
      <c r="G1263" s="20" t="s">
        <v>17</v>
      </c>
      <c r="H1263" s="20" t="s">
        <v>18</v>
      </c>
      <c r="I1263" s="19" t="str">
        <f>IMAGE("https://upload.wikimedia.org/wikipedia/commons/a/a8/Landscape_of_Nuqu%C3%AD%2C_Choc%C3%B3%2C_Colombia_-_22_Oct_2025_-_Diferoch_-_10.jpg")</f>
        <v/>
      </c>
    </row>
    <row r="1264" ht="36.0" customHeight="1">
      <c r="A1264" s="10" t="str">
        <f t="shared" si="164"/>
        <v>Diferoch</v>
      </c>
      <c r="B1264" s="11" t="s">
        <v>2631</v>
      </c>
      <c r="C1264" s="12">
        <v>46197.98813657407</v>
      </c>
      <c r="D1264" s="11" t="s">
        <v>2616</v>
      </c>
      <c r="E1264" s="14" t="s">
        <v>2632</v>
      </c>
      <c r="F1264" s="15" t="s">
        <v>16</v>
      </c>
      <c r="G1264" s="15" t="s">
        <v>17</v>
      </c>
      <c r="H1264" s="15" t="s">
        <v>18</v>
      </c>
      <c r="I1264" s="14" t="str">
        <f>IMAGE("https://upload.wikimedia.org/wikipedia/commons/8/8b/Landscape_of_Nuqu%C3%AD%2C_Choc%C3%B3%2C_Colombia_-_22_Oct_2025_-_Diferoch_-_2.jpg")</f>
        <v/>
      </c>
    </row>
    <row r="1265" ht="36.0" customHeight="1">
      <c r="A1265" s="16" t="str">
        <f t="shared" si="164"/>
        <v>Diferoch</v>
      </c>
      <c r="B1265" s="17" t="s">
        <v>2633</v>
      </c>
      <c r="C1265" s="18">
        <v>46197.98815972222</v>
      </c>
      <c r="D1265" s="17" t="s">
        <v>2616</v>
      </c>
      <c r="E1265" s="19" t="s">
        <v>2634</v>
      </c>
      <c r="F1265" s="20" t="s">
        <v>16</v>
      </c>
      <c r="G1265" s="20" t="s">
        <v>17</v>
      </c>
      <c r="H1265" s="20" t="s">
        <v>18</v>
      </c>
      <c r="I1265" s="19" t="str">
        <f>IMAGE("https://upload.wikimedia.org/wikipedia/commons/e/ec/Landscape_of_Nuqu%C3%AD%2C_Choc%C3%B3%2C_Colombia_-_22_Oct_2025_-_Diferoch_-_3.jpg")</f>
        <v/>
      </c>
    </row>
    <row r="1266" ht="36.0" customHeight="1">
      <c r="A1266" s="10" t="str">
        <f t="shared" si="164"/>
        <v>Diferoch</v>
      </c>
      <c r="B1266" s="11" t="s">
        <v>2635</v>
      </c>
      <c r="C1266" s="12">
        <v>46197.98815972222</v>
      </c>
      <c r="D1266" s="11" t="s">
        <v>2636</v>
      </c>
      <c r="E1266" s="14" t="s">
        <v>2637</v>
      </c>
      <c r="F1266" s="15" t="s">
        <v>16</v>
      </c>
      <c r="G1266" s="15" t="s">
        <v>17</v>
      </c>
      <c r="H1266" s="15" t="s">
        <v>18</v>
      </c>
      <c r="I1266" s="14" t="str">
        <f>IMAGE("https://upload.wikimedia.org/wikipedia/commons/0/02/Landscape_of_Nuqu%C3%AD%2C_Choc%C3%B3%2C_Colombia_-_22_Oct_2025_-_Diferoch_-_4.jpg")</f>
        <v/>
      </c>
    </row>
    <row r="1267" ht="36.0" customHeight="1">
      <c r="A1267" s="16" t="str">
        <f t="shared" si="164"/>
        <v>Diferoch</v>
      </c>
      <c r="B1267" s="17" t="s">
        <v>2638</v>
      </c>
      <c r="C1267" s="18">
        <v>46197.98819444444</v>
      </c>
      <c r="D1267" s="17" t="s">
        <v>2616</v>
      </c>
      <c r="E1267" s="19" t="s">
        <v>2639</v>
      </c>
      <c r="F1267" s="20" t="s">
        <v>16</v>
      </c>
      <c r="G1267" s="20" t="s">
        <v>17</v>
      </c>
      <c r="H1267" s="20" t="s">
        <v>18</v>
      </c>
      <c r="I1267" s="19" t="str">
        <f>IMAGE("https://upload.wikimedia.org/wikipedia/commons/a/a8/Landscape_of_Nuqu%C3%AD%2C_Choc%C3%B3%2C_Colombia_-_22_Oct_2025_-_Diferoch_-_5.jpg")</f>
        <v/>
      </c>
    </row>
    <row r="1268" ht="36.0" customHeight="1">
      <c r="A1268" s="10" t="str">
        <f t="shared" si="164"/>
        <v>Diferoch</v>
      </c>
      <c r="B1268" s="11" t="s">
        <v>2640</v>
      </c>
      <c r="C1268" s="12">
        <v>46197.98819444444</v>
      </c>
      <c r="D1268" s="11" t="s">
        <v>2616</v>
      </c>
      <c r="E1268" s="14" t="s">
        <v>2641</v>
      </c>
      <c r="F1268" s="15" t="s">
        <v>16</v>
      </c>
      <c r="G1268" s="15" t="s">
        <v>17</v>
      </c>
      <c r="H1268" s="15" t="s">
        <v>18</v>
      </c>
      <c r="I1268" s="14" t="str">
        <f>IMAGE("https://upload.wikimedia.org/wikipedia/commons/0/08/Landscape_of_Nuqu%C3%AD%2C_Choc%C3%B3%2C_Colombia_-_22_Oct_2025_-_Diferoch_-_6.jpg")</f>
        <v/>
      </c>
    </row>
    <row r="1269" ht="36.0" customHeight="1">
      <c r="A1269" s="16" t="str">
        <f t="shared" si="164"/>
        <v>Diferoch</v>
      </c>
      <c r="B1269" s="17" t="s">
        <v>2642</v>
      </c>
      <c r="C1269" s="18">
        <v>46197.98832175926</v>
      </c>
      <c r="D1269" s="17" t="s">
        <v>2616</v>
      </c>
      <c r="E1269" s="19" t="s">
        <v>2643</v>
      </c>
      <c r="F1269" s="20" t="s">
        <v>16</v>
      </c>
      <c r="G1269" s="20" t="s">
        <v>17</v>
      </c>
      <c r="H1269" s="20" t="s">
        <v>18</v>
      </c>
      <c r="I1269" s="19" t="str">
        <f>IMAGE("https://upload.wikimedia.org/wikipedia/commons/d/d8/Landscape_of_Nuqu%C3%AD%2C_Choc%C3%B3%2C_Colombia_-_22_Oct_2025_-_Diferoch_-_7.jpg")</f>
        <v/>
      </c>
    </row>
    <row r="1270" ht="36.0" customHeight="1">
      <c r="A1270" s="10" t="str">
        <f t="shared" si="164"/>
        <v>Diferoch</v>
      </c>
      <c r="B1270" s="11" t="s">
        <v>2644</v>
      </c>
      <c r="C1270" s="12">
        <v>46197.988344907404</v>
      </c>
      <c r="D1270" s="11" t="s">
        <v>2616</v>
      </c>
      <c r="E1270" s="14" t="s">
        <v>2645</v>
      </c>
      <c r="F1270" s="15" t="s">
        <v>16</v>
      </c>
      <c r="G1270" s="15" t="s">
        <v>17</v>
      </c>
      <c r="H1270" s="15" t="s">
        <v>18</v>
      </c>
      <c r="I1270" s="14" t="str">
        <f>IMAGE("https://upload.wikimedia.org/wikipedia/commons/7/71/Landscape_of_Nuqu%C3%AD%2C_Choc%C3%B3%2C_Colombia_-_22_Oct_2025_-_Diferoch_-_8.jpg")</f>
        <v/>
      </c>
    </row>
    <row r="1271" ht="36.0" customHeight="1">
      <c r="A1271" s="16" t="str">
        <f t="shared" si="164"/>
        <v>Diferoch</v>
      </c>
      <c r="B1271" s="17" t="s">
        <v>2646</v>
      </c>
      <c r="C1271" s="18">
        <v>46197.98837962963</v>
      </c>
      <c r="D1271" s="17" t="s">
        <v>2647</v>
      </c>
      <c r="E1271" s="19" t="s">
        <v>2648</v>
      </c>
      <c r="F1271" s="20" t="s">
        <v>16</v>
      </c>
      <c r="G1271" s="20" t="s">
        <v>17</v>
      </c>
      <c r="H1271" s="20" t="s">
        <v>18</v>
      </c>
      <c r="I1271" s="19" t="str">
        <f>IMAGE("https://upload.wikimedia.org/wikipedia/commons/d/db/Landscape_of_Nuqu%C3%AD%2C_Choc%C3%B3%2C_Colombia_-_22_Oct_2025_-_Diferoch_-_9.jpg")</f>
        <v/>
      </c>
    </row>
    <row r="1272" ht="36.0" customHeight="1">
      <c r="A1272" s="10" t="str">
        <f t="shared" si="164"/>
        <v>Diferoch</v>
      </c>
      <c r="B1272" s="11" t="s">
        <v>2649</v>
      </c>
      <c r="C1272" s="12">
        <v>46198.74234953704</v>
      </c>
      <c r="D1272" s="11" t="s">
        <v>2616</v>
      </c>
      <c r="E1272" s="14" t="s">
        <v>2650</v>
      </c>
      <c r="F1272" s="15" t="s">
        <v>16</v>
      </c>
      <c r="G1272" s="15" t="s">
        <v>17</v>
      </c>
      <c r="H1272" s="15" t="s">
        <v>18</v>
      </c>
      <c r="I1272" s="14" t="str">
        <f>IMAGE("https://upload.wikimedia.org/wikipedia/commons/4/47/Landscape_of_Nuqu%C3%AD%2C_Choc%C3%B3%2C_Colombia_-_23_Oct_2025_-_Diferoch.jpg")</f>
        <v/>
      </c>
    </row>
    <row r="1273" ht="36.0" customHeight="1">
      <c r="A1273" s="16" t="str">
        <f>HYPERLINK("https://commons.wikimedia.org/wiki/User:" &amp; ENCODEURL("Rodrigomacrophoto"), "Rodrigomacrophoto")</f>
        <v>Rodrigomacrophoto</v>
      </c>
      <c r="B1273" s="17" t="s">
        <v>2651</v>
      </c>
      <c r="C1273" s="18">
        <v>46196.61181712963</v>
      </c>
      <c r="D1273" s="17" t="s">
        <v>2652</v>
      </c>
      <c r="E1273" s="19" t="s">
        <v>44</v>
      </c>
      <c r="F1273" s="20" t="s">
        <v>16</v>
      </c>
      <c r="G1273" s="20" t="s">
        <v>17</v>
      </c>
      <c r="H1273" s="20" t="s">
        <v>18</v>
      </c>
      <c r="I1273" s="19" t="str">
        <f>IMAGE("https://upload.wikimedia.org/wikipedia/commons/c/c9/Larva_de_crisopa_usando_camuflaje.jpg")</f>
        <v/>
      </c>
    </row>
    <row r="1274" ht="36.0" customHeight="1">
      <c r="A1274" s="10" t="str">
        <f>HYPERLINK("https://commons.wikimedia.org/wiki/User:" &amp; ENCODEURL("AmiGueko"), "AmiGueko")</f>
        <v>AmiGueko</v>
      </c>
      <c r="B1274" s="11" t="s">
        <v>2653</v>
      </c>
      <c r="C1274" s="12">
        <v>46165.92605324074</v>
      </c>
      <c r="D1274" s="11" t="s">
        <v>2654</v>
      </c>
      <c r="E1274" s="14" t="s">
        <v>2655</v>
      </c>
      <c r="F1274" s="15" t="s">
        <v>16</v>
      </c>
      <c r="G1274" s="15" t="s">
        <v>17</v>
      </c>
      <c r="H1274" s="15" t="s">
        <v>18</v>
      </c>
      <c r="I1274" s="14" t="str">
        <f>IMAGE("https://upload.wikimedia.org/wikipedia/commons/4/45/Larvas_de_avispa.jpg")</f>
        <v/>
      </c>
    </row>
    <row r="1275" ht="36.0" customHeight="1">
      <c r="A1275" s="16" t="str">
        <f>HYPERLINK("https://commons.wikimedia.org/wiki/User:" &amp; ENCODEURL("MelyC43"), "MelyC43")</f>
        <v>MelyC43</v>
      </c>
      <c r="B1275" s="17" t="s">
        <v>2656</v>
      </c>
      <c r="C1275" s="18">
        <v>46168.00833333333</v>
      </c>
      <c r="D1275" s="17" t="s">
        <v>1619</v>
      </c>
      <c r="E1275" s="19" t="s">
        <v>29</v>
      </c>
      <c r="F1275" s="19" t="s">
        <v>30</v>
      </c>
      <c r="G1275" s="20" t="s">
        <v>17</v>
      </c>
      <c r="H1275" s="20" t="s">
        <v>18</v>
      </c>
      <c r="I1275" s="19" t="str">
        <f>IMAGE("https://upload.wikimedia.org/wikipedia/commons/e/e0/Las_Garzas_Del_Malec%C3%B3n_del_R%C3%ADo.jpg")</f>
        <v/>
      </c>
    </row>
    <row r="1276" ht="36.0" customHeight="1">
      <c r="A1276" s="10" t="str">
        <f>HYPERLINK("https://commons.wikimedia.org/wiki/User:" &amp; ENCODEURL("SoyElMaloColon"), "SoyElMaloColon")</f>
        <v>SoyElMaloColon</v>
      </c>
      <c r="B1276" s="11" t="s">
        <v>2657</v>
      </c>
      <c r="C1276" s="12">
        <v>46163.11399305556</v>
      </c>
      <c r="D1276" s="11" t="s">
        <v>2658</v>
      </c>
      <c r="E1276" s="14" t="s">
        <v>29</v>
      </c>
      <c r="F1276" s="14" t="s">
        <v>30</v>
      </c>
      <c r="G1276" s="15" t="s">
        <v>17</v>
      </c>
      <c r="H1276" s="15" t="s">
        <v>18</v>
      </c>
      <c r="I1276" s="14" t="str">
        <f>IMAGE("https://upload.wikimedia.org/wikipedia/commons/a/a7/Las_Tres_Muchachas.jpg")</f>
        <v/>
      </c>
    </row>
    <row r="1277" ht="36.0" customHeight="1">
      <c r="A1277" s="16" t="str">
        <f>HYPERLINK("https://commons.wikimedia.org/wiki/User:" &amp; ENCODEURL("Alexpanther"), "Alexpanther")</f>
        <v>Alexpanther</v>
      </c>
      <c r="B1277" s="17" t="s">
        <v>2659</v>
      </c>
      <c r="C1277" s="18">
        <v>46203.500752314816</v>
      </c>
      <c r="D1277" s="17" t="s">
        <v>2660</v>
      </c>
      <c r="E1277" s="19" t="s">
        <v>582</v>
      </c>
      <c r="F1277" s="20" t="s">
        <v>16</v>
      </c>
      <c r="G1277" s="20" t="s">
        <v>17</v>
      </c>
      <c r="H1277" s="20" t="s">
        <v>18</v>
      </c>
      <c r="I1277" s="19" t="str">
        <f>IMAGE("https://upload.wikimedia.org/wikipedia/commons/d/d7/Las_travesuras_del_Mono_Maicero.png")</f>
        <v/>
      </c>
    </row>
    <row r="1278" ht="36.0" customHeight="1">
      <c r="A1278" s="10" t="str">
        <f>HYPERLINK("https://commons.wikimedia.org/wiki/User:" &amp; ENCODEURL("Elprofeta91"), "Elprofeta91")</f>
        <v>Elprofeta91</v>
      </c>
      <c r="B1278" s="11" t="s">
        <v>2661</v>
      </c>
      <c r="C1278" s="12">
        <v>46147.791284722225</v>
      </c>
      <c r="D1278" s="11" t="s">
        <v>32</v>
      </c>
      <c r="E1278" s="14" t="s">
        <v>2662</v>
      </c>
      <c r="F1278" s="15" t="s">
        <v>16</v>
      </c>
      <c r="G1278" s="15" t="s">
        <v>17</v>
      </c>
      <c r="H1278" s="15" t="s">
        <v>18</v>
      </c>
      <c r="I1278" s="14" t="str">
        <f>IMAGE("https://upload.wikimedia.org/wikipedia/commons/a/a6/Las_vacas.jpg")</f>
        <v/>
      </c>
    </row>
    <row r="1279" ht="36.0" customHeight="1">
      <c r="A1279" s="16" t="str">
        <f t="shared" ref="A1279:A1280" si="165">HYPERLINK("https://commons.wikimedia.org/wiki/User:" &amp; ENCODEURL("Nathaly 1106"), "Nathaly 1106")</f>
        <v>Nathaly 1106</v>
      </c>
      <c r="B1279" s="17" t="s">
        <v>2663</v>
      </c>
      <c r="C1279" s="18">
        <v>46147.67141203704</v>
      </c>
      <c r="D1279" s="17" t="s">
        <v>2664</v>
      </c>
      <c r="E1279" s="19" t="s">
        <v>29</v>
      </c>
      <c r="F1279" s="19" t="s">
        <v>30</v>
      </c>
      <c r="G1279" s="20" t="s">
        <v>17</v>
      </c>
      <c r="H1279" s="20" t="s">
        <v>18</v>
      </c>
      <c r="I1279" s="19" t="str">
        <f>IMAGE("https://upload.wikimedia.org/wikipedia/commons/9/97/Laurel_Curo_%28Lauraceae%29.jpg")</f>
        <v/>
      </c>
    </row>
    <row r="1280" ht="36.0" customHeight="1">
      <c r="A1280" s="10" t="str">
        <f t="shared" si="165"/>
        <v>Nathaly 1106</v>
      </c>
      <c r="B1280" s="11" t="s">
        <v>2665</v>
      </c>
      <c r="C1280" s="12">
        <v>46148.95737268519</v>
      </c>
      <c r="D1280" s="11" t="s">
        <v>2666</v>
      </c>
      <c r="E1280" s="14" t="s">
        <v>29</v>
      </c>
      <c r="F1280" s="14" t="s">
        <v>30</v>
      </c>
      <c r="G1280" s="15" t="s">
        <v>17</v>
      </c>
      <c r="H1280" s="15" t="s">
        <v>18</v>
      </c>
      <c r="I1280" s="14" t="str">
        <f>IMAGE("https://upload.wikimedia.org/wikipedia/commons/7/78/Lavanda_%28Lavandula_dentata%29.jpg")</f>
        <v/>
      </c>
    </row>
    <row r="1281" ht="36.0" customHeight="1">
      <c r="A1281" s="16" t="str">
        <f>HYPERLINK("https://commons.wikimedia.org/wiki/User:" &amp; ENCODEURL("Alexpanther"), "Alexpanther")</f>
        <v>Alexpanther</v>
      </c>
      <c r="B1281" s="17" t="s">
        <v>2667</v>
      </c>
      <c r="C1281" s="18">
        <v>46203.50083333333</v>
      </c>
      <c r="D1281" s="17" t="s">
        <v>2668</v>
      </c>
      <c r="E1281" s="19" t="s">
        <v>582</v>
      </c>
      <c r="F1281" s="20" t="s">
        <v>16</v>
      </c>
      <c r="G1281" s="20" t="s">
        <v>17</v>
      </c>
      <c r="H1281" s="20" t="s">
        <v>18</v>
      </c>
      <c r="I1281" s="19" t="str">
        <f>IMAGE("https://upload.wikimedia.org/wikipedia/commons/4/43/Legado_en_las_Alturas%2C_El_Mono_Zocay_y_su_Cr%C3%ADa_%28Plecturocebus_ornatus%29.png")</f>
        <v/>
      </c>
    </row>
    <row r="1282" ht="36.0" customHeight="1">
      <c r="A1282" s="10" t="str">
        <f>HYPERLINK("https://commons.wikimedia.org/wiki/User:" &amp; ENCODEURL("Mig.ast20"), "Mig.ast20")</f>
        <v>Mig.ast20</v>
      </c>
      <c r="B1282" s="11" t="s">
        <v>2669</v>
      </c>
      <c r="C1282" s="12">
        <v>46163.5700462963</v>
      </c>
      <c r="D1282" s="11" t="s">
        <v>2670</v>
      </c>
      <c r="E1282" s="14" t="s">
        <v>29</v>
      </c>
      <c r="F1282" s="14" t="s">
        <v>30</v>
      </c>
      <c r="G1282" s="15" t="s">
        <v>17</v>
      </c>
      <c r="H1282" s="15" t="s">
        <v>18</v>
      </c>
      <c r="I1282" s="14" t="str">
        <f>IMAGE("https://upload.wikimedia.org/wikipedia/commons/0/0c/Lento_Caracol.jpg")</f>
        <v/>
      </c>
    </row>
    <row r="1283" ht="36.0" customHeight="1">
      <c r="A1283" s="16" t="str">
        <f>HYPERLINK("https://commons.wikimedia.org/wiki/User:" &amp; ENCODEURL("Nbareschu"), "Nbareschu")</f>
        <v>Nbareschu</v>
      </c>
      <c r="B1283" s="17" t="s">
        <v>2671</v>
      </c>
      <c r="C1283" s="18">
        <v>46149.421585648146</v>
      </c>
      <c r="D1283" s="17" t="s">
        <v>2672</v>
      </c>
      <c r="E1283" s="19" t="s">
        <v>2673</v>
      </c>
      <c r="F1283" s="20" t="s">
        <v>16</v>
      </c>
      <c r="G1283" s="20" t="s">
        <v>17</v>
      </c>
      <c r="H1283" s="20" t="s">
        <v>18</v>
      </c>
      <c r="I1283" s="19" t="str">
        <f>IMAGE("https://upload.wikimedia.org/wikipedia/commons/4/47/Lepanthes.jpg")</f>
        <v/>
      </c>
    </row>
    <row r="1284" ht="36.0" customHeight="1">
      <c r="A1284" s="10" t="str">
        <f t="shared" ref="A1284:A1289" si="166">HYPERLINK("https://commons.wikimedia.org/wiki/User:" &amp; ENCODEURL("Diferoch"), "Diferoch")</f>
        <v>Diferoch</v>
      </c>
      <c r="B1284" s="11" t="s">
        <v>2674</v>
      </c>
      <c r="C1284" s="12">
        <v>46161.862337962964</v>
      </c>
      <c r="D1284" s="11" t="s">
        <v>2675</v>
      </c>
      <c r="E1284" s="14" t="s">
        <v>2676</v>
      </c>
      <c r="F1284" s="15" t="s">
        <v>16</v>
      </c>
      <c r="G1284" s="15" t="s">
        <v>17</v>
      </c>
      <c r="H1284" s="15" t="s">
        <v>18</v>
      </c>
      <c r="I1284" s="14" t="str">
        <f>IMAGE("https://upload.wikimedia.org/wikipedia/commons/8/8c/Lepidoptera_-_Barrancabermeja%2C_Santander%2C_Colombia.jpg")</f>
        <v/>
      </c>
    </row>
    <row r="1285" ht="36.0" customHeight="1">
      <c r="A1285" s="16" t="str">
        <f t="shared" si="166"/>
        <v>Diferoch</v>
      </c>
      <c r="B1285" s="17" t="s">
        <v>2677</v>
      </c>
      <c r="C1285" s="18">
        <v>46173.76226851852</v>
      </c>
      <c r="D1285" s="17" t="s">
        <v>2678</v>
      </c>
      <c r="E1285" s="19" t="s">
        <v>2679</v>
      </c>
      <c r="F1285" s="20" t="s">
        <v>16</v>
      </c>
      <c r="G1285" s="20" t="s">
        <v>17</v>
      </c>
      <c r="H1285" s="20" t="s">
        <v>18</v>
      </c>
      <c r="I1285" s="19" t="str">
        <f>IMAGE("https://upload.wikimedia.org/wikipedia/commons/3/33/Lepidoptera_-_Barrancabermeja%2C_Santander%2C_Colombia_-_14_Jun_2026_-_Diferoch.jpg")</f>
        <v/>
      </c>
    </row>
    <row r="1286" ht="36.0" customHeight="1">
      <c r="A1286" s="10" t="str">
        <f t="shared" si="166"/>
        <v>Diferoch</v>
      </c>
      <c r="B1286" s="11" t="s">
        <v>2680</v>
      </c>
      <c r="C1286" s="12">
        <v>46179.78361111111</v>
      </c>
      <c r="D1286" s="11" t="s">
        <v>2681</v>
      </c>
      <c r="E1286" s="14" t="s">
        <v>2682</v>
      </c>
      <c r="F1286" s="15" t="s">
        <v>16</v>
      </c>
      <c r="G1286" s="15" t="s">
        <v>17</v>
      </c>
      <c r="H1286" s="15" t="s">
        <v>18</v>
      </c>
      <c r="I1286" s="14" t="str">
        <f>IMAGE("https://upload.wikimedia.org/wikipedia/commons/7/75/Lepidoptera_-_Barrancabermeja%2C_Santander%2C_Colombia_-_18_Jun_2025_-_Diferoch.jpg")</f>
        <v/>
      </c>
    </row>
    <row r="1287" ht="36.0" customHeight="1">
      <c r="A1287" s="16" t="str">
        <f t="shared" si="166"/>
        <v>Diferoch</v>
      </c>
      <c r="B1287" s="17" t="s">
        <v>2683</v>
      </c>
      <c r="C1287" s="18">
        <v>46170.828680555554</v>
      </c>
      <c r="D1287" s="17" t="s">
        <v>2681</v>
      </c>
      <c r="E1287" s="19" t="s">
        <v>2684</v>
      </c>
      <c r="F1287" s="20" t="s">
        <v>16</v>
      </c>
      <c r="G1287" s="20" t="s">
        <v>17</v>
      </c>
      <c r="H1287" s="20" t="s">
        <v>18</v>
      </c>
      <c r="I1287" s="19" t="str">
        <f>IMAGE("https://upload.wikimedia.org/wikipedia/commons/9/94/Lepidoptera_-_Barrancabermeja%2C_Santander%2C_Colombia_-_4_Jun_2026_-_Diferoch.jpg")</f>
        <v/>
      </c>
    </row>
    <row r="1288" ht="36.0" customHeight="1">
      <c r="A1288" s="10" t="str">
        <f t="shared" si="166"/>
        <v>Diferoch</v>
      </c>
      <c r="B1288" s="11" t="s">
        <v>2685</v>
      </c>
      <c r="C1288" s="12">
        <v>46171.834710648145</v>
      </c>
      <c r="D1288" s="11" t="s">
        <v>2686</v>
      </c>
      <c r="E1288" s="14" t="s">
        <v>2687</v>
      </c>
      <c r="F1288" s="15" t="s">
        <v>16</v>
      </c>
      <c r="G1288" s="15" t="s">
        <v>17</v>
      </c>
      <c r="H1288" s="15" t="s">
        <v>18</v>
      </c>
      <c r="I1288" s="14" t="str">
        <f>IMAGE("https://upload.wikimedia.org/wikipedia/commons/c/c4/Lepidoptera_-_Piedecuesta%2C_Santander%2C_Colombia_-_8_Jun_2026_-_Diferoch.jpg")</f>
        <v/>
      </c>
    </row>
    <row r="1289" ht="36.0" customHeight="1">
      <c r="A1289" s="16" t="str">
        <f t="shared" si="166"/>
        <v>Diferoch</v>
      </c>
      <c r="B1289" s="17" t="s">
        <v>2688</v>
      </c>
      <c r="C1289" s="18">
        <v>46190.964641203704</v>
      </c>
      <c r="D1289" s="17" t="s">
        <v>2689</v>
      </c>
      <c r="E1289" s="19" t="s">
        <v>2690</v>
      </c>
      <c r="F1289" s="20" t="s">
        <v>16</v>
      </c>
      <c r="G1289" s="20" t="s">
        <v>17</v>
      </c>
      <c r="H1289" s="20" t="s">
        <v>18</v>
      </c>
      <c r="I1289" s="19" t="str">
        <f>IMAGE("https://upload.wikimedia.org/wikipedia/commons/1/11/Leptophis_-_Cimitarra%2C_Santander%2C_Colombia_-_2_Oct_2025_-_Diferoch.jpg")</f>
        <v/>
      </c>
    </row>
    <row r="1290" ht="36.0" customHeight="1">
      <c r="A1290" s="10" t="str">
        <f>HYPERLINK("https://commons.wikimedia.org/wiki/User:" &amp; ENCODEURL("Lamoraleja"), "Lamoraleja")</f>
        <v>Lamoraleja</v>
      </c>
      <c r="B1290" s="11" t="s">
        <v>2691</v>
      </c>
      <c r="C1290" s="12">
        <v>46149.5837962963</v>
      </c>
      <c r="D1290" s="11" t="s">
        <v>2692</v>
      </c>
      <c r="E1290" s="14" t="s">
        <v>2693</v>
      </c>
      <c r="F1290" s="15" t="s">
        <v>16</v>
      </c>
      <c r="G1290" s="15" t="s">
        <v>17</v>
      </c>
      <c r="H1290" s="15" t="s">
        <v>18</v>
      </c>
      <c r="I1290" s="14" t="str">
        <f>IMAGE("https://upload.wikimedia.org/wikipedia/commons/e/e4/Let%27s_go_fishing.jpg")</f>
        <v/>
      </c>
    </row>
    <row r="1291" ht="36.0" customHeight="1">
      <c r="A1291" s="16" t="str">
        <f>HYPERLINK("https://commons.wikimedia.org/wiki/User:" &amp; ENCODEURL("Melkin100"), "Melkin100")</f>
        <v>Melkin100</v>
      </c>
      <c r="B1291" s="17" t="s">
        <v>2694</v>
      </c>
      <c r="C1291" s="18">
        <v>46203.49549768519</v>
      </c>
      <c r="D1291" s="17" t="s">
        <v>2695</v>
      </c>
      <c r="E1291" s="19" t="s">
        <v>29</v>
      </c>
      <c r="F1291" s="19" t="s">
        <v>30</v>
      </c>
      <c r="G1291" s="20" t="s">
        <v>17</v>
      </c>
      <c r="H1291" s="20" t="s">
        <v>18</v>
      </c>
      <c r="I1291" s="19" t="str">
        <f>IMAGE("https://upload.wikimedia.org/wikipedia/commons/6/68/Leucauge_de_Cachipay.jpg")</f>
        <v/>
      </c>
    </row>
    <row r="1292" ht="36.0" customHeight="1">
      <c r="A1292" s="10" t="str">
        <f>HYPERLINK("https://commons.wikimedia.org/wiki/User:" &amp; ENCODEURL("Sandramirezgiraldo"), "Sandramirezgiraldo")</f>
        <v>Sandramirezgiraldo</v>
      </c>
      <c r="B1292" s="11" t="s">
        <v>2696</v>
      </c>
      <c r="C1292" s="12">
        <v>46203.99105324074</v>
      </c>
      <c r="D1292" s="11" t="s">
        <v>2697</v>
      </c>
      <c r="E1292" s="14" t="s">
        <v>29</v>
      </c>
      <c r="F1292" s="14" t="s">
        <v>30</v>
      </c>
      <c r="G1292" s="15" t="s">
        <v>17</v>
      </c>
      <c r="H1292" s="15" t="s">
        <v>18</v>
      </c>
      <c r="I1292" s="14" t="str">
        <f>IMAGE("https://upload.wikimedia.org/wikipedia/commons/3/33/Lib%C3%A9lula_en_el_Bajo_Cauca.jpg")</f>
        <v/>
      </c>
    </row>
    <row r="1293" ht="36.0" customHeight="1">
      <c r="A1293" s="16" t="str">
        <f>HYPERLINK("https://commons.wikimedia.org/wiki/User:" &amp; ENCODEURL("Zolsemiya"), "Zolsemiya")</f>
        <v>Zolsemiya</v>
      </c>
      <c r="B1293" s="17" t="s">
        <v>2698</v>
      </c>
      <c r="C1293" s="18">
        <v>46203.7491087963</v>
      </c>
      <c r="D1293" s="17" t="s">
        <v>2699</v>
      </c>
      <c r="E1293" s="19" t="s">
        <v>29</v>
      </c>
      <c r="F1293" s="19" t="s">
        <v>30</v>
      </c>
      <c r="G1293" s="20" t="s">
        <v>17</v>
      </c>
      <c r="H1293" s="20" t="s">
        <v>18</v>
      </c>
      <c r="I1293" s="19" t="str">
        <f>IMAGE("https://upload.wikimedia.org/wikipedia/commons/a/a8/Lima_Granulada_en_Venecia.jpg")</f>
        <v/>
      </c>
    </row>
    <row r="1294" ht="36.0" customHeight="1">
      <c r="A1294" s="10" t="str">
        <f>HYPERLINK("https://commons.wikimedia.org/wiki/User:" &amp; ENCODEURL("Nbareschu"), "Nbareschu")</f>
        <v>Nbareschu</v>
      </c>
      <c r="B1294" s="11" t="s">
        <v>2700</v>
      </c>
      <c r="C1294" s="12">
        <v>46149.421423611115</v>
      </c>
      <c r="D1294" s="11" t="s">
        <v>2701</v>
      </c>
      <c r="E1294" s="14" t="s">
        <v>2702</v>
      </c>
      <c r="F1294" s="15" t="s">
        <v>16</v>
      </c>
      <c r="G1294" s="15" t="s">
        <v>17</v>
      </c>
      <c r="H1294" s="15" t="s">
        <v>18</v>
      </c>
      <c r="I1294" s="14" t="str">
        <f>IMAGE("https://upload.wikimedia.org/wikipedia/commons/d/d6/Limoncillo.jpg")</f>
        <v/>
      </c>
    </row>
    <row r="1295" ht="36.0" customHeight="1">
      <c r="A1295" s="16" t="str">
        <f>HYPERLINK("https://commons.wikimedia.org/wiki/User:" &amp; ENCODEURL("Laura Milena Moyano Bautista"), "Laura Milena Moyano Bautista")</f>
        <v>Laura Milena Moyano Bautista</v>
      </c>
      <c r="B1295" s="17" t="s">
        <v>2703</v>
      </c>
      <c r="C1295" s="18">
        <v>46163.88868055555</v>
      </c>
      <c r="D1295" s="17" t="s">
        <v>2704</v>
      </c>
      <c r="E1295" s="19" t="s">
        <v>29</v>
      </c>
      <c r="F1295" s="19" t="s">
        <v>30</v>
      </c>
      <c r="G1295" s="20" t="s">
        <v>17</v>
      </c>
      <c r="H1295" s="20" t="s">
        <v>18</v>
      </c>
      <c r="I1295" s="19" t="str">
        <f>IMAGE("https://upload.wikimedia.org/wikipedia/commons/e/e8/Lindo_amanecer.jpg")</f>
        <v/>
      </c>
    </row>
    <row r="1296" ht="36.0" customHeight="1">
      <c r="A1296" s="10" t="str">
        <f t="shared" ref="A1296:A1297" si="167">HYPERLINK("https://commons.wikimedia.org/wiki/User:" &amp; ENCODEURL("Nbareschu"), "Nbareschu")</f>
        <v>Nbareschu</v>
      </c>
      <c r="B1296" s="11" t="s">
        <v>2705</v>
      </c>
      <c r="C1296" s="12">
        <v>46149.421261574076</v>
      </c>
      <c r="D1296" s="11" t="s">
        <v>2706</v>
      </c>
      <c r="E1296" s="14" t="s">
        <v>2707</v>
      </c>
      <c r="F1296" s="15" t="s">
        <v>16</v>
      </c>
      <c r="G1296" s="15" t="s">
        <v>17</v>
      </c>
      <c r="H1296" s="15" t="s">
        <v>18</v>
      </c>
      <c r="I1296" s="14" t="str">
        <f>IMAGE("https://upload.wikimedia.org/wikipedia/commons/f/f7/Liquen_amarillo.jpg")</f>
        <v/>
      </c>
    </row>
    <row r="1297" ht="36.0" customHeight="1">
      <c r="A1297" s="16" t="str">
        <f t="shared" si="167"/>
        <v>Nbareschu</v>
      </c>
      <c r="B1297" s="17" t="s">
        <v>2708</v>
      </c>
      <c r="C1297" s="18">
        <v>46149.421273148146</v>
      </c>
      <c r="D1297" s="17" t="s">
        <v>2709</v>
      </c>
      <c r="E1297" s="19" t="s">
        <v>2710</v>
      </c>
      <c r="F1297" s="20" t="s">
        <v>16</v>
      </c>
      <c r="G1297" s="20" t="s">
        <v>17</v>
      </c>
      <c r="H1297" s="20" t="s">
        <v>18</v>
      </c>
      <c r="I1297" s="19" t="str">
        <f>IMAGE("https://upload.wikimedia.org/wikipedia/commons/e/e7/Liquen_de_sol.jpg")</f>
        <v/>
      </c>
    </row>
    <row r="1298" ht="36.0" customHeight="1">
      <c r="A1298" s="10" t="str">
        <f t="shared" ref="A1298:A1299" si="168">HYPERLINK("https://commons.wikimedia.org/wiki/User:" &amp; ENCODEURL("Estudiante0001"), "Estudiante0001")</f>
        <v>Estudiante0001</v>
      </c>
      <c r="B1298" s="11" t="s">
        <v>2711</v>
      </c>
      <c r="C1298" s="12">
        <v>46163.51700231482</v>
      </c>
      <c r="D1298" s="11" t="s">
        <v>2712</v>
      </c>
      <c r="E1298" s="14" t="s">
        <v>29</v>
      </c>
      <c r="F1298" s="14" t="s">
        <v>30</v>
      </c>
      <c r="G1298" s="15" t="s">
        <v>17</v>
      </c>
      <c r="H1298" s="15" t="s">
        <v>18</v>
      </c>
      <c r="I1298" s="14" t="str">
        <f>IMAGE("https://upload.wikimedia.org/wikipedia/commons/b/b9/Liquen_en_Guasca.jpg")</f>
        <v/>
      </c>
    </row>
    <row r="1299" ht="36.0" customHeight="1">
      <c r="A1299" s="16" t="str">
        <f t="shared" si="168"/>
        <v>Estudiante0001</v>
      </c>
      <c r="B1299" s="17" t="s">
        <v>2713</v>
      </c>
      <c r="C1299" s="18">
        <v>46163.55564814815</v>
      </c>
      <c r="D1299" s="17" t="s">
        <v>2714</v>
      </c>
      <c r="E1299" s="19" t="s">
        <v>2715</v>
      </c>
      <c r="F1299" s="20" t="s">
        <v>16</v>
      </c>
      <c r="G1299" s="20" t="s">
        <v>17</v>
      </c>
      <c r="H1299" s="20" t="s">
        <v>18</v>
      </c>
      <c r="I1299" s="19" t="str">
        <f>IMAGE("https://upload.wikimedia.org/wikipedia/commons/7/75/Liquen_en_un_bosque_de_Guasca.jpg")</f>
        <v/>
      </c>
    </row>
    <row r="1300" ht="36.0" customHeight="1">
      <c r="A1300" s="10" t="str">
        <f>HYPERLINK("https://commons.wikimedia.org/wiki/User:" &amp; ENCODEURL("Nbareschu"), "Nbareschu")</f>
        <v>Nbareschu</v>
      </c>
      <c r="B1300" s="11" t="s">
        <v>2716</v>
      </c>
      <c r="C1300" s="12">
        <v>46149.42130787037</v>
      </c>
      <c r="D1300" s="11" t="s">
        <v>2717</v>
      </c>
      <c r="E1300" s="14" t="s">
        <v>2718</v>
      </c>
      <c r="F1300" s="15" t="s">
        <v>16</v>
      </c>
      <c r="G1300" s="15" t="s">
        <v>17</v>
      </c>
      <c r="H1300" s="15" t="s">
        <v>18</v>
      </c>
      <c r="I1300" s="14" t="str">
        <f>IMAGE("https://upload.wikimedia.org/wikipedia/commons/f/f6/Liquen_gelatinoso_fertil.jpg")</f>
        <v/>
      </c>
    </row>
    <row r="1301" ht="36.0" customHeight="1">
      <c r="A1301" s="16" t="str">
        <f>HYPERLINK("https://commons.wikimedia.org/wiki/User:" &amp; ENCODEURL("Sazeai"), "Sazeai")</f>
        <v>Sazeai</v>
      </c>
      <c r="B1301" s="17" t="s">
        <v>2719</v>
      </c>
      <c r="C1301" s="18">
        <v>46199.22350694444</v>
      </c>
      <c r="D1301" s="17" t="s">
        <v>2720</v>
      </c>
      <c r="E1301" s="19" t="s">
        <v>29</v>
      </c>
      <c r="F1301" s="19" t="s">
        <v>30</v>
      </c>
      <c r="G1301" s="20" t="s">
        <v>17</v>
      </c>
      <c r="H1301" s="20" t="s">
        <v>18</v>
      </c>
      <c r="I1301" s="19" t="str">
        <f>IMAGE("https://upload.wikimedia.org/wikipedia/commons/3/32/Liquen_puente_Aranda.jpg")</f>
        <v/>
      </c>
    </row>
    <row r="1302" ht="36.0" customHeight="1">
      <c r="A1302" s="10" t="str">
        <f>HYPERLINK("https://commons.wikimedia.org/wiki/User:" &amp; ENCODEURL("Estudiante0001"), "Estudiante0001")</f>
        <v>Estudiante0001</v>
      </c>
      <c r="B1302" s="11" t="s">
        <v>2721</v>
      </c>
      <c r="C1302" s="12">
        <v>46163.55553240741</v>
      </c>
      <c r="D1302" s="11" t="s">
        <v>2722</v>
      </c>
      <c r="E1302" s="14" t="s">
        <v>29</v>
      </c>
      <c r="F1302" s="14" t="s">
        <v>30</v>
      </c>
      <c r="G1302" s="15" t="s">
        <v>17</v>
      </c>
      <c r="H1302" s="15" t="s">
        <v>18</v>
      </c>
      <c r="I1302" s="14" t="str">
        <f>IMAGE("https://upload.wikimedia.org/wikipedia/commons/1/17/Liquenes_en_una_rama.jpg")</f>
        <v/>
      </c>
    </row>
    <row r="1303" ht="36.0" customHeight="1">
      <c r="A1303" s="16" t="str">
        <f>HYPERLINK("https://commons.wikimedia.org/wiki/User:" &amp; ENCODEURL("Zolsemiya"), "Zolsemiya")</f>
        <v>Zolsemiya</v>
      </c>
      <c r="B1303" s="17" t="s">
        <v>2723</v>
      </c>
      <c r="C1303" s="18">
        <v>46203.749131944445</v>
      </c>
      <c r="D1303" s="17" t="s">
        <v>2724</v>
      </c>
      <c r="E1303" s="19" t="s">
        <v>1430</v>
      </c>
      <c r="F1303" s="20" t="s">
        <v>16</v>
      </c>
      <c r="G1303" s="20" t="s">
        <v>17</v>
      </c>
      <c r="H1303" s="20" t="s">
        <v>18</v>
      </c>
      <c r="I1303" s="19" t="str">
        <f>IMAGE("https://upload.wikimedia.org/wikipedia/commons/8/82/Liqu%C3%A9n_de_p%C3%A1ramo.jpg")</f>
        <v/>
      </c>
    </row>
    <row r="1304" ht="36.0" customHeight="1">
      <c r="A1304" s="10" t="str">
        <f>HYPERLINK("https://commons.wikimedia.org/wiki/User:" &amp; ENCODEURL("Maracome"), "Maracome")</f>
        <v>Maracome</v>
      </c>
      <c r="B1304" s="11" t="s">
        <v>2725</v>
      </c>
      <c r="C1304" s="12">
        <v>46149.952893518515</v>
      </c>
      <c r="D1304" s="11" t="s">
        <v>2726</v>
      </c>
      <c r="E1304" s="14" t="s">
        <v>29</v>
      </c>
      <c r="F1304" s="14" t="s">
        <v>30</v>
      </c>
      <c r="G1304" s="15" t="s">
        <v>17</v>
      </c>
      <c r="H1304" s="15" t="s">
        <v>18</v>
      </c>
      <c r="I1304" s="14" t="str">
        <f>IMAGE("https://upload.wikimedia.org/wikipedia/commons/8/8c/Lirio_caminante.jpg")</f>
        <v/>
      </c>
    </row>
    <row r="1305" ht="36.0" customHeight="1">
      <c r="A1305" s="16" t="str">
        <f t="shared" ref="A1305:A1306" si="169">HYPERLINK("https://commons.wikimedia.org/wiki/User:" &amp; ENCODEURL("Nathaly 1106"), "Nathaly 1106")</f>
        <v>Nathaly 1106</v>
      </c>
      <c r="B1305" s="17" t="s">
        <v>2727</v>
      </c>
      <c r="C1305" s="18">
        <v>46147.626875</v>
      </c>
      <c r="D1305" s="17" t="s">
        <v>2414</v>
      </c>
      <c r="E1305" s="19" t="s">
        <v>29</v>
      </c>
      <c r="F1305" s="19" t="s">
        <v>30</v>
      </c>
      <c r="G1305" s="20" t="s">
        <v>17</v>
      </c>
      <c r="H1305" s="20" t="s">
        <v>18</v>
      </c>
      <c r="I1305" s="19" t="str">
        <f>IMAGE("https://upload.wikimedia.org/wikipedia/commons/e/e0/Lirio_de_quince_d%C3%ADas_%28Dietes_bicolor%29.jpg")</f>
        <v/>
      </c>
    </row>
    <row r="1306" ht="36.0" customHeight="1">
      <c r="A1306" s="10" t="str">
        <f t="shared" si="169"/>
        <v>Nathaly 1106</v>
      </c>
      <c r="B1306" s="11" t="s">
        <v>2728</v>
      </c>
      <c r="C1306" s="12">
        <v>46147.62681712963</v>
      </c>
      <c r="D1306" s="11" t="s">
        <v>2729</v>
      </c>
      <c r="E1306" s="14" t="s">
        <v>29</v>
      </c>
      <c r="F1306" s="14" t="s">
        <v>30</v>
      </c>
      <c r="G1306" s="15" t="s">
        <v>17</v>
      </c>
      <c r="H1306" s="15" t="s">
        <v>18</v>
      </c>
      <c r="I1306" s="14" t="str">
        <f>IMAGE("https://upload.wikimedia.org/wikipedia/commons/4/4b/Liriope_%28Liriope_muscari%29.jpg")</f>
        <v/>
      </c>
    </row>
    <row r="1307" ht="36.0" customHeight="1">
      <c r="A1307" s="16" t="str">
        <f>HYPERLINK("https://commons.wikimedia.org/wiki/User:" &amp; ENCODEURL("Unknown contributed"), "Unknown contributed")</f>
        <v>Unknown contributed</v>
      </c>
      <c r="B1307" s="17" t="s">
        <v>2730</v>
      </c>
      <c r="C1307" s="18">
        <v>46198.77384259259</v>
      </c>
      <c r="D1307" s="17" t="s">
        <v>2731</v>
      </c>
      <c r="E1307" s="19" t="s">
        <v>29</v>
      </c>
      <c r="F1307" s="19" t="s">
        <v>30</v>
      </c>
      <c r="G1307" s="20" t="s">
        <v>17</v>
      </c>
      <c r="H1307" s="20" t="s">
        <v>18</v>
      </c>
      <c r="I1307" s="19" t="str">
        <f>IMAGE("https://upload.wikimedia.org/wikipedia/commons/4/4e/Lizard_on_Island.jpg")</f>
        <v/>
      </c>
    </row>
    <row r="1308" ht="36.0" customHeight="1">
      <c r="A1308" s="10" t="str">
        <f>HYPERLINK("https://commons.wikimedia.org/wiki/User:" &amp; ENCODEURL("Anvar2420"), "Anvar2420")</f>
        <v>Anvar2420</v>
      </c>
      <c r="B1308" s="11" t="s">
        <v>2732</v>
      </c>
      <c r="C1308" s="12">
        <v>46163.55672453704</v>
      </c>
      <c r="D1308" s="11" t="s">
        <v>2733</v>
      </c>
      <c r="E1308" s="14" t="s">
        <v>29</v>
      </c>
      <c r="F1308" s="14" t="s">
        <v>30</v>
      </c>
      <c r="G1308" s="15" t="s">
        <v>17</v>
      </c>
      <c r="H1308" s="15" t="s">
        <v>18</v>
      </c>
      <c r="I1308" s="14" t="str">
        <f>IMAGE("https://upload.wikimedia.org/wikipedia/commons/b/be/Llanos_Orientales_-_Arroz.jpg")</f>
        <v/>
      </c>
    </row>
    <row r="1309" ht="36.0" customHeight="1">
      <c r="A1309" s="16" t="str">
        <f>HYPERLINK("https://commons.wikimedia.org/wiki/User:" &amp; ENCODEURL("Guiverfer"), "Guiverfer")</f>
        <v>Guiverfer</v>
      </c>
      <c r="B1309" s="17" t="s">
        <v>2734</v>
      </c>
      <c r="C1309" s="18">
        <v>46199.83792824074</v>
      </c>
      <c r="D1309" s="17" t="s">
        <v>2735</v>
      </c>
      <c r="E1309" s="19" t="s">
        <v>2736</v>
      </c>
      <c r="F1309" s="20" t="s">
        <v>16</v>
      </c>
      <c r="G1309" s="20" t="s">
        <v>17</v>
      </c>
      <c r="H1309" s="20" t="s">
        <v>18</v>
      </c>
      <c r="I1309" s="19" t="str">
        <f>IMAGE("https://upload.wikimedia.org/wikipedia/commons/3/34/Llevando_los_desechos1.jpg")</f>
        <v/>
      </c>
    </row>
    <row r="1310" ht="36.0" customHeight="1">
      <c r="A1310" s="10" t="str">
        <f>HYPERLINK("https://commons.wikimedia.org/wiki/User:" &amp; ENCODEURL("Laupedrazaa"), "Laupedrazaa")</f>
        <v>Laupedrazaa</v>
      </c>
      <c r="B1310" s="11" t="s">
        <v>2737</v>
      </c>
      <c r="C1310" s="12">
        <v>46167.894895833335</v>
      </c>
      <c r="D1310" s="11" t="s">
        <v>2738</v>
      </c>
      <c r="E1310" s="14" t="s">
        <v>29</v>
      </c>
      <c r="F1310" s="14" t="s">
        <v>30</v>
      </c>
      <c r="G1310" s="15" t="s">
        <v>17</v>
      </c>
      <c r="H1310" s="15" t="s">
        <v>18</v>
      </c>
      <c r="I1310" s="14" t="str">
        <f>IMAGE("https://upload.wikimedia.org/wikipedia/commons/f/f3/Lluvia_sobre_el_Jard%C3%ADn_Bot%C3%A1nico.jpg")</f>
        <v/>
      </c>
    </row>
    <row r="1311" ht="36.0" customHeight="1">
      <c r="A1311" s="16" t="str">
        <f>HYPERLINK("https://commons.wikimedia.org/wiki/User:" &amp; ENCODEURL("Antoniacorralosorio"), "Antoniacorralosorio")</f>
        <v>Antoniacorralosorio</v>
      </c>
      <c r="B1311" s="17" t="s">
        <v>2739</v>
      </c>
      <c r="C1311" s="18">
        <v>46167.4597337963</v>
      </c>
      <c r="D1311" s="17" t="s">
        <v>2740</v>
      </c>
      <c r="E1311" s="19" t="s">
        <v>1217</v>
      </c>
      <c r="F1311" s="20" t="s">
        <v>16</v>
      </c>
      <c r="G1311" s="20" t="s">
        <v>17</v>
      </c>
      <c r="H1311" s="20" t="s">
        <v>18</v>
      </c>
      <c r="I1311" s="19" t="str">
        <f>IMAGE("https://upload.wikimedia.org/wikipedia/commons/2/26/Lo_que_nos_quedar%C3%A1.jpg")</f>
        <v/>
      </c>
    </row>
    <row r="1312" ht="36.0" customHeight="1">
      <c r="A1312" s="10" t="str">
        <f>HYPERLINK("https://commons.wikimedia.org/wiki/User:" &amp; ENCODEURL("Viv Fa"), "Viv Fa")</f>
        <v>Viv Fa</v>
      </c>
      <c r="B1312" s="11" t="s">
        <v>2741</v>
      </c>
      <c r="C1312" s="12">
        <v>46197.541550925926</v>
      </c>
      <c r="D1312" s="11" t="s">
        <v>2742</v>
      </c>
      <c r="E1312" s="14" t="s">
        <v>29</v>
      </c>
      <c r="F1312" s="14" t="s">
        <v>30</v>
      </c>
      <c r="G1312" s="15" t="s">
        <v>17</v>
      </c>
      <c r="H1312" s="15" t="s">
        <v>18</v>
      </c>
      <c r="I1312" s="14" t="str">
        <f>IMAGE("https://upload.wikimedia.org/wikipedia/commons/1/1d/Localidad_de_sumapaz.jpg")</f>
        <v/>
      </c>
    </row>
    <row r="1313" ht="36.0" customHeight="1">
      <c r="A1313" s="16" t="str">
        <f>HYPERLINK("https://commons.wikimedia.org/wiki/User:" &amp; ENCODEURL("Charlesjsharp"), "Charlesjsharp")</f>
        <v>Charlesjsharp</v>
      </c>
      <c r="B1313" s="17" t="s">
        <v>2743</v>
      </c>
      <c r="C1313" s="18">
        <v>46171.64208333333</v>
      </c>
      <c r="D1313" s="17" t="s">
        <v>2744</v>
      </c>
      <c r="E1313" s="19" t="s">
        <v>554</v>
      </c>
      <c r="F1313" s="20" t="s">
        <v>16</v>
      </c>
      <c r="G1313" s="20" t="s">
        <v>17</v>
      </c>
      <c r="H1313" s="20" t="s">
        <v>18</v>
      </c>
      <c r="I1313" s="19" t="str">
        <f>IMAGE("https://upload.wikimedia.org/wikipedia/commons/9/93/Long-tailed_sylph_%28Aglaiocercus_kingii_kingii%29_male_Caldas_3.jpg")</f>
        <v/>
      </c>
    </row>
    <row r="1314" ht="36.0" customHeight="1">
      <c r="A1314" s="10" t="str">
        <f>HYPERLINK("https://commons.wikimedia.org/wiki/User:" &amp; ENCODEURL("Nbareschu"), "Nbareschu")</f>
        <v>Nbareschu</v>
      </c>
      <c r="B1314" s="11" t="s">
        <v>2745</v>
      </c>
      <c r="C1314" s="12">
        <v>46149.421481481484</v>
      </c>
      <c r="D1314" s="11" t="s">
        <v>2746</v>
      </c>
      <c r="E1314" s="14" t="s">
        <v>29</v>
      </c>
      <c r="F1314" s="14" t="s">
        <v>30</v>
      </c>
      <c r="G1314" s="15" t="s">
        <v>17</v>
      </c>
      <c r="H1314" s="15" t="s">
        <v>18</v>
      </c>
      <c r="I1314" s="14" t="str">
        <f>IMAGE("https://upload.wikimedia.org/wikipedia/commons/1/1a/Lopezii.jpg")</f>
        <v/>
      </c>
    </row>
    <row r="1315" ht="36.0" customHeight="1">
      <c r="A1315" s="16" t="str">
        <f>HYPERLINK("https://commons.wikimedia.org/wiki/User:" &amp; ENCODEURL("Tudum1213"), "Tudum1213")</f>
        <v>Tudum1213</v>
      </c>
      <c r="B1315" s="17" t="s">
        <v>2747</v>
      </c>
      <c r="C1315" s="18">
        <v>46163.51164351852</v>
      </c>
      <c r="D1315" s="17" t="s">
        <v>2748</v>
      </c>
      <c r="E1315" s="19" t="s">
        <v>29</v>
      </c>
      <c r="F1315" s="19" t="s">
        <v>30</v>
      </c>
      <c r="G1315" s="20" t="s">
        <v>17</v>
      </c>
      <c r="H1315" s="20" t="s">
        <v>18</v>
      </c>
      <c r="I1315" s="19" t="str">
        <f>IMAGE("https://upload.wikimedia.org/wikipedia/commons/a/a9/Loro_amazonico.jpg")</f>
        <v/>
      </c>
    </row>
    <row r="1316" ht="36.0" customHeight="1">
      <c r="A1316" s="10" t="str">
        <f>HYPERLINK("https://commons.wikimedia.org/wiki/User:" &amp; ENCODEURL("LentedeBerilo"), "LentedeBerilo")</f>
        <v>LentedeBerilo</v>
      </c>
      <c r="B1316" s="11" t="s">
        <v>2749</v>
      </c>
      <c r="C1316" s="12">
        <v>46190.741898148146</v>
      </c>
      <c r="D1316" s="11" t="s">
        <v>2750</v>
      </c>
      <c r="E1316" s="14" t="s">
        <v>2751</v>
      </c>
      <c r="F1316" s="15" t="s">
        <v>16</v>
      </c>
      <c r="G1316" s="15" t="s">
        <v>17</v>
      </c>
      <c r="H1316" s="15" t="s">
        <v>18</v>
      </c>
      <c r="I1316" s="14" t="str">
        <f>IMAGE("https://upload.wikimedia.org/wikipedia/commons/1/18/Los_colores_del_PNN_Gorgona.jpg")</f>
        <v/>
      </c>
    </row>
    <row r="1317" ht="36.0" customHeight="1">
      <c r="A1317" s="16" t="str">
        <f>HYPERLINK("https://commons.wikimedia.org/wiki/User:" &amp; ENCODEURL("Nathaly 1106"), "Nathaly 1106")</f>
        <v>Nathaly 1106</v>
      </c>
      <c r="B1317" s="17" t="s">
        <v>2752</v>
      </c>
      <c r="C1317" s="18">
        <v>46148.95715277778</v>
      </c>
      <c r="D1317" s="17" t="s">
        <v>2753</v>
      </c>
      <c r="E1317" s="19" t="s">
        <v>29</v>
      </c>
      <c r="F1317" s="19" t="s">
        <v>30</v>
      </c>
      <c r="G1317" s="20" t="s">
        <v>17</v>
      </c>
      <c r="H1317" s="20" t="s">
        <v>18</v>
      </c>
      <c r="I1317" s="19" t="str">
        <f>IMAGE("https://upload.wikimedia.org/wikipedia/commons/9/95/Los_lagos_de_Villa_de_Leyva_%28Boyac%C3%A1%29.jpg")</f>
        <v/>
      </c>
    </row>
    <row r="1318" ht="36.0" customHeight="1">
      <c r="A1318" s="10" t="str">
        <f>HYPERLINK("https://commons.wikimedia.org/wiki/User:" &amp; ENCODEURL("MelyC43"), "MelyC43")</f>
        <v>MelyC43</v>
      </c>
      <c r="B1318" s="11" t="s">
        <v>2754</v>
      </c>
      <c r="C1318" s="12">
        <v>46168.00837962963</v>
      </c>
      <c r="D1318" s="11" t="s">
        <v>1619</v>
      </c>
      <c r="E1318" s="14" t="s">
        <v>29</v>
      </c>
      <c r="F1318" s="14" t="s">
        <v>30</v>
      </c>
      <c r="G1318" s="15" t="s">
        <v>17</v>
      </c>
      <c r="H1318" s="15" t="s">
        <v>18</v>
      </c>
      <c r="I1318" s="14" t="str">
        <f>IMAGE("https://upload.wikimedia.org/wikipedia/commons/d/d9/Los_pescadores.jpg")</f>
        <v/>
      </c>
    </row>
    <row r="1319" ht="36.0" customHeight="1">
      <c r="A1319" s="16" t="str">
        <f>HYPERLINK("https://commons.wikimedia.org/wiki/User:" &amp; ENCODEURL("Zolsemiya"), "Zolsemiya")</f>
        <v>Zolsemiya</v>
      </c>
      <c r="B1319" s="17" t="s">
        <v>2755</v>
      </c>
      <c r="C1319" s="18">
        <v>46203.749236111114</v>
      </c>
      <c r="D1319" s="17" t="s">
        <v>2756</v>
      </c>
      <c r="E1319" s="19" t="s">
        <v>1430</v>
      </c>
      <c r="F1319" s="20" t="s">
        <v>16</v>
      </c>
      <c r="G1319" s="20" t="s">
        <v>17</v>
      </c>
      <c r="H1319" s="20" t="s">
        <v>18</v>
      </c>
      <c r="I1319" s="19" t="str">
        <f>IMAGE("https://upload.wikimedia.org/wikipedia/commons/9/9c/Los_pintos.jpg")</f>
        <v/>
      </c>
    </row>
    <row r="1320" ht="36.0" customHeight="1">
      <c r="A1320" s="10" t="str">
        <f>HYPERLINK("https://commons.wikimedia.org/wiki/User:" &amp; ENCODEURL("Maracome"), "Maracome")</f>
        <v>Maracome</v>
      </c>
      <c r="B1320" s="11" t="s">
        <v>2757</v>
      </c>
      <c r="C1320" s="12">
        <v>46149.95298611111</v>
      </c>
      <c r="D1320" s="11" t="s">
        <v>2758</v>
      </c>
      <c r="E1320" s="14" t="s">
        <v>29</v>
      </c>
      <c r="F1320" s="14" t="s">
        <v>30</v>
      </c>
      <c r="G1320" s="15" t="s">
        <v>17</v>
      </c>
      <c r="H1320" s="15" t="s">
        <v>18</v>
      </c>
      <c r="I1320" s="14" t="str">
        <f>IMAGE("https://upload.wikimedia.org/wikipedia/commons/e/e6/Los_sabanales%2C_C%C3%B3rdoba_y_Sucre.jpg")</f>
        <v/>
      </c>
    </row>
    <row r="1321" ht="36.0" customHeight="1">
      <c r="A1321" s="16" t="str">
        <f>HYPERLINK("https://commons.wikimedia.org/wiki/User:" &amp; ENCODEURL("Maria D28"), "Maria D28")</f>
        <v>Maria D28</v>
      </c>
      <c r="B1321" s="17" t="s">
        <v>2759</v>
      </c>
      <c r="C1321" s="18">
        <v>46149.64400462963</v>
      </c>
      <c r="D1321" s="17" t="s">
        <v>2760</v>
      </c>
      <c r="E1321" s="19" t="s">
        <v>29</v>
      </c>
      <c r="F1321" s="19" t="s">
        <v>30</v>
      </c>
      <c r="G1321" s="20" t="s">
        <v>17</v>
      </c>
      <c r="H1321" s="20" t="s">
        <v>18</v>
      </c>
      <c r="I1321" s="19" t="str">
        <f>IMAGE("https://upload.wikimedia.org/wikipedia/commons/d/d3/Los_%C3%A1rboles_son_vida.jpg")</f>
        <v/>
      </c>
    </row>
    <row r="1322" ht="36.0" customHeight="1">
      <c r="A1322" s="10" t="str">
        <f>HYPERLINK("https://commons.wikimedia.org/wiki/User:" &amp; ENCODEURL("DeibyJk"), "DeibyJk")</f>
        <v>DeibyJk</v>
      </c>
      <c r="B1322" s="11" t="s">
        <v>2761</v>
      </c>
      <c r="C1322" s="12">
        <v>46166.94211805556</v>
      </c>
      <c r="D1322" s="11" t="s">
        <v>158</v>
      </c>
      <c r="E1322" s="14" t="s">
        <v>29</v>
      </c>
      <c r="F1322" s="14" t="s">
        <v>30</v>
      </c>
      <c r="G1322" s="15" t="s">
        <v>17</v>
      </c>
      <c r="H1322" s="15" t="s">
        <v>18</v>
      </c>
      <c r="I1322" s="14" t="str">
        <f>IMAGE("https://upload.wikimedia.org/wikipedia/commons/2/22/Luzhuila_16.jpg")</f>
        <v/>
      </c>
    </row>
    <row r="1323" ht="36.0" customHeight="1">
      <c r="A1323" s="16" t="str">
        <f>HYPERLINK("https://commons.wikimedia.org/wiki/User:" &amp; ENCODEURL("Peperomia11"), "Peperomia11")</f>
        <v>Peperomia11</v>
      </c>
      <c r="B1323" s="17" t="s">
        <v>2762</v>
      </c>
      <c r="C1323" s="18">
        <v>46202.56005787037</v>
      </c>
      <c r="D1323" s="17" t="s">
        <v>2763</v>
      </c>
      <c r="E1323" s="19" t="s">
        <v>29</v>
      </c>
      <c r="F1323" s="19" t="s">
        <v>30</v>
      </c>
      <c r="G1323" s="20" t="s">
        <v>17</v>
      </c>
      <c r="H1323" s="20" t="s">
        <v>18</v>
      </c>
      <c r="I1323" s="19" t="str">
        <f>IMAGE("https://upload.wikimedia.org/wikipedia/commons/c/c2/L%C3%ADquenes_20260529_103817.jpg")</f>
        <v/>
      </c>
    </row>
    <row r="1324" ht="36.0" customHeight="1">
      <c r="A1324" s="10" t="str">
        <f>HYPERLINK("https://commons.wikimedia.org/wiki/User:" &amp; ENCODEURL("Johan Andrés Toro"), "Johan Andrés Toro")</f>
        <v>Johan Andrés Toro</v>
      </c>
      <c r="B1324" s="11" t="s">
        <v>2764</v>
      </c>
      <c r="C1324" s="12">
        <v>46171.55548611111</v>
      </c>
      <c r="D1324" s="11" t="s">
        <v>2765</v>
      </c>
      <c r="E1324" s="14" t="s">
        <v>29</v>
      </c>
      <c r="F1324" s="14" t="s">
        <v>30</v>
      </c>
      <c r="G1324" s="15" t="s">
        <v>17</v>
      </c>
      <c r="H1324" s="15" t="s">
        <v>18</v>
      </c>
      <c r="I1324" s="14" t="str">
        <f>IMAGE("https://upload.wikimedia.org/wikipedia/commons/3/31/MAGDALENAJT20260208_0092.jpg")</f>
        <v/>
      </c>
    </row>
    <row r="1325" ht="36.0" customHeight="1">
      <c r="A1325" s="16" t="str">
        <f t="shared" ref="A1325:A1328" si="170">HYPERLINK("https://commons.wikimedia.org/wiki/User:" &amp; ENCODEURL("Noeliachalfoun"), "Noeliachalfoun")</f>
        <v>Noeliachalfoun</v>
      </c>
      <c r="B1325" s="17" t="s">
        <v>2766</v>
      </c>
      <c r="C1325" s="18">
        <v>46182.6944212963</v>
      </c>
      <c r="D1325" s="17" t="s">
        <v>2767</v>
      </c>
      <c r="E1325" s="19" t="s">
        <v>29</v>
      </c>
      <c r="F1325" s="19" t="s">
        <v>30</v>
      </c>
      <c r="G1325" s="20" t="s">
        <v>17</v>
      </c>
      <c r="H1325" s="20" t="s">
        <v>18</v>
      </c>
      <c r="I1325" s="19" t="str">
        <f>IMAGE("https://upload.wikimedia.org/wikipedia/commons/4/4e/Macarenia_Clavigera-Parque_Nacional_Natural_Sierra_de_la_Macarena-Colombia-1.jpg")</f>
        <v/>
      </c>
    </row>
    <row r="1326" ht="36.0" customHeight="1">
      <c r="A1326" s="10" t="str">
        <f t="shared" si="170"/>
        <v>Noeliachalfoun</v>
      </c>
      <c r="B1326" s="11" t="s">
        <v>2768</v>
      </c>
      <c r="C1326" s="12">
        <v>46182.6944212963</v>
      </c>
      <c r="D1326" s="11" t="s">
        <v>2767</v>
      </c>
      <c r="E1326" s="14" t="s">
        <v>29</v>
      </c>
      <c r="F1326" s="14" t="s">
        <v>30</v>
      </c>
      <c r="G1326" s="15" t="s">
        <v>17</v>
      </c>
      <c r="H1326" s="15" t="s">
        <v>18</v>
      </c>
      <c r="I1326" s="14" t="str">
        <f>IMAGE("https://upload.wikimedia.org/wikipedia/commons/d/d2/Macarenia_Clavigera-Parque_Nacional_Natural_Sierra_de_la_Macarena-Colombia-2.jpg")</f>
        <v/>
      </c>
    </row>
    <row r="1327" ht="36.0" customHeight="1">
      <c r="A1327" s="16" t="str">
        <f t="shared" si="170"/>
        <v>Noeliachalfoun</v>
      </c>
      <c r="B1327" s="17" t="s">
        <v>2769</v>
      </c>
      <c r="C1327" s="18">
        <v>46182.6944212963</v>
      </c>
      <c r="D1327" s="17" t="s">
        <v>2767</v>
      </c>
      <c r="E1327" s="19" t="s">
        <v>29</v>
      </c>
      <c r="F1327" s="19" t="s">
        <v>30</v>
      </c>
      <c r="G1327" s="20" t="s">
        <v>17</v>
      </c>
      <c r="H1327" s="20" t="s">
        <v>18</v>
      </c>
      <c r="I1327" s="19" t="str">
        <f>IMAGE("https://upload.wikimedia.org/wikipedia/commons/3/3d/Macarenia_Clavigera-Parque_Nacional_Natural_Sierra_de_la_Macarena-Colombia-3.jpg")</f>
        <v/>
      </c>
    </row>
    <row r="1328" ht="36.0" customHeight="1">
      <c r="A1328" s="10" t="str">
        <f t="shared" si="170"/>
        <v>Noeliachalfoun</v>
      </c>
      <c r="B1328" s="11" t="s">
        <v>2770</v>
      </c>
      <c r="C1328" s="12">
        <v>46182.69445601852</v>
      </c>
      <c r="D1328" s="11" t="s">
        <v>2767</v>
      </c>
      <c r="E1328" s="14" t="s">
        <v>29</v>
      </c>
      <c r="F1328" s="14" t="s">
        <v>30</v>
      </c>
      <c r="G1328" s="15" t="s">
        <v>17</v>
      </c>
      <c r="H1328" s="15" t="s">
        <v>18</v>
      </c>
      <c r="I1328" s="14" t="str">
        <f>IMAGE("https://upload.wikimedia.org/wikipedia/commons/2/23/Macarenia_Clavigera-Parque_Nacional_Natural_Sierra_de_la_Macarena-Colombia-4.jpg")</f>
        <v/>
      </c>
    </row>
    <row r="1329" ht="36.0" customHeight="1">
      <c r="A1329" s="16" t="str">
        <f t="shared" ref="A1329:A1330" si="171">HYPERLINK("https://commons.wikimedia.org/wiki/User:" &amp; ENCODEURL("Diferoch"), "Diferoch")</f>
        <v>Diferoch</v>
      </c>
      <c r="B1329" s="17" t="s">
        <v>2771</v>
      </c>
      <c r="C1329" s="18">
        <v>46166.87616898148</v>
      </c>
      <c r="D1329" s="17" t="s">
        <v>2772</v>
      </c>
      <c r="E1329" s="19" t="s">
        <v>2773</v>
      </c>
      <c r="F1329" s="20" t="s">
        <v>16</v>
      </c>
      <c r="G1329" s="20" t="s">
        <v>17</v>
      </c>
      <c r="H1329" s="20" t="s">
        <v>18</v>
      </c>
      <c r="I1329" s="19" t="str">
        <f>IMAGE("https://upload.wikimedia.org/wikipedia/commons/b/bf/Machetornis_rixosa_flavigularis_-_Barrancabermeja%2C_Santander%2C_Colombia_-_3_Jun_2025_-_1.jpg")</f>
        <v/>
      </c>
    </row>
    <row r="1330" ht="36.0" customHeight="1">
      <c r="A1330" s="10" t="str">
        <f t="shared" si="171"/>
        <v>Diferoch</v>
      </c>
      <c r="B1330" s="11" t="s">
        <v>2774</v>
      </c>
      <c r="C1330" s="12">
        <v>46166.87616898148</v>
      </c>
      <c r="D1330" s="11" t="s">
        <v>2772</v>
      </c>
      <c r="E1330" s="14" t="s">
        <v>2773</v>
      </c>
      <c r="F1330" s="15" t="s">
        <v>16</v>
      </c>
      <c r="G1330" s="15" t="s">
        <v>17</v>
      </c>
      <c r="H1330" s="15" t="s">
        <v>18</v>
      </c>
      <c r="I1330" s="14" t="str">
        <f>IMAGE("https://upload.wikimedia.org/wikipedia/commons/7/78/Machetornis_rixosa_flavigularis_-_Barrancabermeja%2C_Santander%2C_Colombia_-_3_Jun_2025_-_2.jpg")</f>
        <v/>
      </c>
    </row>
    <row r="1331" ht="36.0" customHeight="1">
      <c r="A1331" s="16" t="str">
        <f t="shared" ref="A1331:A1332" si="172">HYPERLINK("https://commons.wikimedia.org/wiki/User:" &amp; ENCODEURL("Sanfelpa"), "Sanfelpa")</f>
        <v>Sanfelpa</v>
      </c>
      <c r="B1331" s="17" t="s">
        <v>2775</v>
      </c>
      <c r="C1331" s="18">
        <v>46194.302708333336</v>
      </c>
      <c r="D1331" s="17" t="s">
        <v>2191</v>
      </c>
      <c r="E1331" s="19" t="s">
        <v>29</v>
      </c>
      <c r="F1331" s="19" t="s">
        <v>30</v>
      </c>
      <c r="G1331" s="20" t="s">
        <v>17</v>
      </c>
      <c r="H1331" s="20" t="s">
        <v>18</v>
      </c>
      <c r="I1331" s="19" t="str">
        <f>IMAGE("https://upload.wikimedia.org/wikipedia/commons/a/af/Macho_euphonia_construyendo_su_nido.jpg")</f>
        <v/>
      </c>
    </row>
    <row r="1332" ht="36.0" customHeight="1">
      <c r="A1332" s="10" t="str">
        <f t="shared" si="172"/>
        <v>Sanfelpa</v>
      </c>
      <c r="B1332" s="11" t="s">
        <v>2776</v>
      </c>
      <c r="C1332" s="12">
        <v>46194.302708333336</v>
      </c>
      <c r="D1332" s="11" t="s">
        <v>2191</v>
      </c>
      <c r="E1332" s="14" t="s">
        <v>29</v>
      </c>
      <c r="F1332" s="14" t="s">
        <v>30</v>
      </c>
      <c r="G1332" s="15" t="s">
        <v>17</v>
      </c>
      <c r="H1332" s="15" t="s">
        <v>18</v>
      </c>
      <c r="I1332" s="14" t="str">
        <f>IMAGE("https://upload.wikimedia.org/wikipedia/commons/3/32/Macho_euphonia_piquigruesa.jpg")</f>
        <v/>
      </c>
    </row>
    <row r="1333" ht="36.0" customHeight="1">
      <c r="A1333" s="16" t="str">
        <f>HYPERLINK("https://commons.wikimedia.org/wiki/User:" &amp; ENCODEURL("AmiGueko"), "AmiGueko")</f>
        <v>AmiGueko</v>
      </c>
      <c r="B1333" s="17" t="s">
        <v>2777</v>
      </c>
      <c r="C1333" s="18">
        <v>46177.89837962963</v>
      </c>
      <c r="D1333" s="17" t="s">
        <v>2778</v>
      </c>
      <c r="E1333" s="19" t="s">
        <v>2108</v>
      </c>
      <c r="F1333" s="20" t="s">
        <v>16</v>
      </c>
      <c r="G1333" s="20" t="s">
        <v>17</v>
      </c>
      <c r="H1333" s="20" t="s">
        <v>18</v>
      </c>
      <c r="I1333" s="19" t="str">
        <f>IMAGE("https://upload.wikimedia.org/wikipedia/commons/5/56/Madro%C3%B1o_1.jpg")</f>
        <v/>
      </c>
    </row>
    <row r="1334" ht="36.0" customHeight="1">
      <c r="A1334" s="10" t="str">
        <f>HYPERLINK("https://commons.wikimedia.org/wiki/User:" &amp; ENCODEURL("GABRIELITO5711"), "GABRIELITO5711")</f>
        <v>GABRIELITO5711</v>
      </c>
      <c r="B1334" s="11" t="s">
        <v>2779</v>
      </c>
      <c r="C1334" s="12">
        <v>46155.02185185185</v>
      </c>
      <c r="D1334" s="11" t="s">
        <v>2780</v>
      </c>
      <c r="E1334" s="14" t="s">
        <v>29</v>
      </c>
      <c r="F1334" s="14" t="s">
        <v>30</v>
      </c>
      <c r="G1334" s="15" t="s">
        <v>17</v>
      </c>
      <c r="H1334" s="15" t="s">
        <v>18</v>
      </c>
      <c r="I1334" s="14" t="str">
        <f>IMAGE("https://upload.wikimedia.org/wikipedia/commons/c/c9/Madrugada_con_vista_del_r%C3%ADo_Cauca.jpg")</f>
        <v/>
      </c>
    </row>
    <row r="1335" ht="36.0" customHeight="1">
      <c r="A1335" s="16" t="str">
        <f>HYPERLINK("https://commons.wikimedia.org/wiki/User:" &amp; ENCODEURL("Zolsemiya"), "Zolsemiya")</f>
        <v>Zolsemiya</v>
      </c>
      <c r="B1335" s="17" t="s">
        <v>2781</v>
      </c>
      <c r="C1335" s="18">
        <v>46203.74909722222</v>
      </c>
      <c r="D1335" s="17" t="s">
        <v>2782</v>
      </c>
      <c r="E1335" s="19" t="s">
        <v>1430</v>
      </c>
      <c r="F1335" s="20" t="s">
        <v>16</v>
      </c>
      <c r="G1335" s="20" t="s">
        <v>17</v>
      </c>
      <c r="H1335" s="20" t="s">
        <v>18</v>
      </c>
      <c r="I1335" s="19" t="str">
        <f>IMAGE("https://upload.wikimedia.org/wikipedia/commons/2/23/Maices_diversos_en_Sumapaz.jpg")</f>
        <v/>
      </c>
    </row>
    <row r="1336" ht="36.0" customHeight="1">
      <c r="A1336" s="10" t="str">
        <f>HYPERLINK("https://commons.wikimedia.org/wiki/User:" &amp; ENCODEURL("JJCL09"), "JJCL09")</f>
        <v>JJCL09</v>
      </c>
      <c r="B1336" s="11" t="s">
        <v>2783</v>
      </c>
      <c r="C1336" s="12">
        <v>46147.88150462963</v>
      </c>
      <c r="D1336" s="11" t="s">
        <v>2784</v>
      </c>
      <c r="E1336" s="14" t="s">
        <v>2785</v>
      </c>
      <c r="F1336" s="15" t="s">
        <v>16</v>
      </c>
      <c r="G1336" s="15" t="s">
        <v>17</v>
      </c>
      <c r="H1336" s="15" t="s">
        <v>18</v>
      </c>
      <c r="I1336" s="14" t="str">
        <f>IMAGE("https://upload.wikimedia.org/wikipedia/commons/c/c0/Manchas_mias.jpg")</f>
        <v/>
      </c>
    </row>
    <row r="1337" ht="36.0" customHeight="1">
      <c r="A1337" s="16" t="str">
        <f>HYPERLINK("https://commons.wikimedia.org/wiki/User:" &amp; ENCODEURL("DeibyJk"), "DeibyJk")</f>
        <v>DeibyJk</v>
      </c>
      <c r="B1337" s="17" t="s">
        <v>2786</v>
      </c>
      <c r="C1337" s="18">
        <v>46166.94207175926</v>
      </c>
      <c r="D1337" s="17" t="s">
        <v>158</v>
      </c>
      <c r="E1337" s="19" t="s">
        <v>29</v>
      </c>
      <c r="F1337" s="19" t="s">
        <v>30</v>
      </c>
      <c r="G1337" s="20" t="s">
        <v>17</v>
      </c>
      <c r="H1337" s="20" t="s">
        <v>18</v>
      </c>
      <c r="I1337" s="19" t="str">
        <f>IMAGE("https://upload.wikimedia.org/wikipedia/commons/2/23/Manchashuila_13.jpg")</f>
        <v/>
      </c>
    </row>
    <row r="1338" ht="36.0" customHeight="1">
      <c r="A1338" s="10" t="str">
        <f>HYPERLINK("https://commons.wikimedia.org/wiki/User:" &amp; ENCODEURL("AmiGueko"), "AmiGueko")</f>
        <v>AmiGueko</v>
      </c>
      <c r="B1338" s="11" t="s">
        <v>2787</v>
      </c>
      <c r="C1338" s="12">
        <v>46166.56354166667</v>
      </c>
      <c r="D1338" s="11" t="s">
        <v>2788</v>
      </c>
      <c r="E1338" s="14" t="s">
        <v>2789</v>
      </c>
      <c r="F1338" s="15" t="s">
        <v>16</v>
      </c>
      <c r="G1338" s="15" t="s">
        <v>17</v>
      </c>
      <c r="H1338" s="15" t="s">
        <v>18</v>
      </c>
      <c r="I1338" s="14" t="str">
        <f>IMAGE("https://upload.wikimedia.org/wikipedia/commons/f/fe/Mandevilla_%2816986%29.jpg")</f>
        <v/>
      </c>
    </row>
    <row r="1339" ht="36.0" customHeight="1">
      <c r="A1339" s="16" t="str">
        <f>HYPERLINK("https://commons.wikimedia.org/wiki/User:" &amp; ENCODEURL("Oscarvelascomora"), "Oscarvelascomora")</f>
        <v>Oscarvelascomora</v>
      </c>
      <c r="B1339" s="17" t="s">
        <v>2790</v>
      </c>
      <c r="C1339" s="18">
        <v>46151.68300925926</v>
      </c>
      <c r="D1339" s="17" t="s">
        <v>2791</v>
      </c>
      <c r="E1339" s="19" t="s">
        <v>29</v>
      </c>
      <c r="F1339" s="19" t="s">
        <v>30</v>
      </c>
      <c r="G1339" s="20" t="s">
        <v>17</v>
      </c>
      <c r="H1339" s="20" t="s">
        <v>18</v>
      </c>
      <c r="I1339" s="19" t="str">
        <f>IMAGE("https://upload.wikimedia.org/wikipedia/commons/4/4b/Manglar_ladrilleros_%282%29.jpg")</f>
        <v/>
      </c>
    </row>
    <row r="1340" ht="36.0" customHeight="1">
      <c r="A1340" s="10" t="str">
        <f>HYPERLINK("https://commons.wikimedia.org/wiki/User:" &amp; ENCODEURL("Supertita"), "Supertita")</f>
        <v>Supertita</v>
      </c>
      <c r="B1340" s="11" t="s">
        <v>2792</v>
      </c>
      <c r="C1340" s="12">
        <v>46192.75493055556</v>
      </c>
      <c r="D1340" s="11" t="s">
        <v>1168</v>
      </c>
      <c r="E1340" s="14" t="s">
        <v>446</v>
      </c>
      <c r="F1340" s="15" t="s">
        <v>16</v>
      </c>
      <c r="G1340" s="15" t="s">
        <v>17</v>
      </c>
      <c r="H1340" s="15" t="s">
        <v>18</v>
      </c>
      <c r="I1340" s="14" t="str">
        <f>IMAGE("https://upload.wikimedia.org/wikipedia/commons/f/fa/Mango_pechinegro-colibri.jpg")</f>
        <v/>
      </c>
    </row>
    <row r="1341" ht="36.0" customHeight="1">
      <c r="A1341" s="16" t="str">
        <f>HYPERLINK("https://commons.wikimedia.org/wiki/User:" &amp; ENCODEURL("Mottenpriesterin"), "Mottenpriesterin")</f>
        <v>Mottenpriesterin</v>
      </c>
      <c r="B1341" s="17" t="s">
        <v>2793</v>
      </c>
      <c r="C1341" s="18">
        <v>46202.91986111111</v>
      </c>
      <c r="D1341" s="17" t="s">
        <v>2794</v>
      </c>
      <c r="E1341" s="19" t="s">
        <v>29</v>
      </c>
      <c r="F1341" s="19" t="s">
        <v>30</v>
      </c>
      <c r="G1341" s="20" t="s">
        <v>17</v>
      </c>
      <c r="H1341" s="20" t="s">
        <v>18</v>
      </c>
      <c r="I1341" s="19" t="str">
        <f>IMAGE("https://upload.wikimedia.org/wikipedia/commons/0/0e/Mangroves_%28Rhizophora%29%2C_Pacific_region_near_La_Barra%2C_2025.jpg")</f>
        <v/>
      </c>
    </row>
    <row r="1342" ht="36.0" customHeight="1">
      <c r="A1342" s="10" t="str">
        <f>HYPERLINK("https://commons.wikimedia.org/wiki/User:" &amp; ENCODEURL("JJCL09"), "JJCL09")</f>
        <v>JJCL09</v>
      </c>
      <c r="B1342" s="11" t="s">
        <v>2795</v>
      </c>
      <c r="C1342" s="12">
        <v>46147.88140046296</v>
      </c>
      <c r="D1342" s="11" t="s">
        <v>2796</v>
      </c>
      <c r="E1342" s="14" t="s">
        <v>2797</v>
      </c>
      <c r="F1342" s="15" t="s">
        <v>16</v>
      </c>
      <c r="G1342" s="15" t="s">
        <v>17</v>
      </c>
      <c r="H1342" s="15" t="s">
        <v>18</v>
      </c>
      <c r="I1342" s="14" t="str">
        <f>IMAGE("https://upload.wikimedia.org/wikipedia/commons/c/cd/Manizales_fog.jpg")</f>
        <v/>
      </c>
    </row>
    <row r="1343" ht="36.0" customHeight="1">
      <c r="A1343" s="16" t="str">
        <f>HYPERLINK("https://commons.wikimedia.org/wiki/User:" &amp; ENCODEURL("Nathaly 1106"), "Nathaly 1106")</f>
        <v>Nathaly 1106</v>
      </c>
      <c r="B1343" s="17" t="s">
        <v>2798</v>
      </c>
      <c r="C1343" s="18">
        <v>46148.619479166664</v>
      </c>
      <c r="D1343" s="17" t="s">
        <v>2799</v>
      </c>
      <c r="E1343" s="19" t="s">
        <v>29</v>
      </c>
      <c r="F1343" s="19" t="s">
        <v>30</v>
      </c>
      <c r="G1343" s="20" t="s">
        <v>17</v>
      </c>
      <c r="H1343" s="20" t="s">
        <v>18</v>
      </c>
      <c r="I1343" s="19" t="str">
        <f>IMAGE("https://upload.wikimedia.org/wikipedia/commons/e/ec/Mano_de_oso_%28Oreopanax_bogotensis%29.jpg")</f>
        <v/>
      </c>
    </row>
    <row r="1344" ht="36.0" customHeight="1">
      <c r="A1344" s="10" t="str">
        <f>HYPERLINK("https://commons.wikimedia.org/wiki/User:" &amp; ENCODEURL("Andrésurrr3go"), "Andrésurrr3go")</f>
        <v>Andrésurrr3go</v>
      </c>
      <c r="B1344" s="11" t="s">
        <v>2800</v>
      </c>
      <c r="C1344" s="12">
        <v>46188.649618055555</v>
      </c>
      <c r="D1344" s="11" t="s">
        <v>2801</v>
      </c>
      <c r="E1344" s="14" t="s">
        <v>29</v>
      </c>
      <c r="F1344" s="14" t="s">
        <v>30</v>
      </c>
      <c r="G1344" s="15" t="s">
        <v>17</v>
      </c>
      <c r="H1344" s="15" t="s">
        <v>18</v>
      </c>
      <c r="I1344" s="14" t="str">
        <f>IMAGE("https://upload.wikimedia.org/wikipedia/commons/0/05/Mantis_Religiosa_oja_seca.jpg")</f>
        <v/>
      </c>
    </row>
    <row r="1345" ht="36.0" customHeight="1">
      <c r="A1345" s="16" t="str">
        <f>HYPERLINK("https://commons.wikimedia.org/wiki/User:" &amp; ENCODEURL("Serpagudelo"), "Serpagudelo")</f>
        <v>Serpagudelo</v>
      </c>
      <c r="B1345" s="17" t="s">
        <v>2802</v>
      </c>
      <c r="C1345" s="18">
        <v>46161.24951388889</v>
      </c>
      <c r="D1345" s="17" t="s">
        <v>2803</v>
      </c>
      <c r="E1345" s="19" t="s">
        <v>29</v>
      </c>
      <c r="F1345" s="19" t="s">
        <v>30</v>
      </c>
      <c r="G1345" s="20" t="s">
        <v>17</v>
      </c>
      <c r="H1345" s="20" t="s">
        <v>18</v>
      </c>
      <c r="I1345" s="19" t="str">
        <f>IMAGE("https://upload.wikimedia.org/wikipedia/commons/b/b2/Mar%2C_san_Antero.jpg")</f>
        <v/>
      </c>
    </row>
    <row r="1346" ht="36.0" customHeight="1">
      <c r="A1346" s="10" t="str">
        <f t="shared" ref="A1346:A1349" si="173">HYPERLINK("https://commons.wikimedia.org/wiki/User:" &amp; ENCODEURL("AmiGueko"), "AmiGueko")</f>
        <v>AmiGueko</v>
      </c>
      <c r="B1346" s="11" t="s">
        <v>2804</v>
      </c>
      <c r="C1346" s="12">
        <v>46145.81914351852</v>
      </c>
      <c r="D1346" s="11" t="s">
        <v>2805</v>
      </c>
      <c r="E1346" s="14" t="s">
        <v>29</v>
      </c>
      <c r="F1346" s="14" t="s">
        <v>30</v>
      </c>
      <c r="G1346" s="15" t="s">
        <v>17</v>
      </c>
      <c r="H1346" s="15" t="s">
        <v>18</v>
      </c>
      <c r="I1346" s="14" t="str">
        <f>IMAGE("https://upload.wikimedia.org/wikipedia/commons/2/29/Mar_Caribe_a_la_altura_de_Santa_Marta.jpg")</f>
        <v/>
      </c>
    </row>
    <row r="1347" ht="36.0" customHeight="1">
      <c r="A1347" s="16" t="str">
        <f t="shared" si="173"/>
        <v>AmiGueko</v>
      </c>
      <c r="B1347" s="17" t="s">
        <v>2806</v>
      </c>
      <c r="C1347" s="18">
        <v>46166.59454861111</v>
      </c>
      <c r="D1347" s="17" t="s">
        <v>2807</v>
      </c>
      <c r="E1347" s="19" t="s">
        <v>2808</v>
      </c>
      <c r="F1347" s="20" t="s">
        <v>16</v>
      </c>
      <c r="G1347" s="20" t="s">
        <v>17</v>
      </c>
      <c r="H1347" s="20" t="s">
        <v>18</v>
      </c>
      <c r="I1347" s="19" t="str">
        <f>IMAGE("https://upload.wikimedia.org/wikipedia/commons/c/c7/Mar_Caribe_en_Santa_Marta.jpg")</f>
        <v/>
      </c>
    </row>
    <row r="1348" ht="36.0" customHeight="1">
      <c r="A1348" s="10" t="str">
        <f t="shared" si="173"/>
        <v>AmiGueko</v>
      </c>
      <c r="B1348" s="11" t="s">
        <v>2809</v>
      </c>
      <c r="C1348" s="12">
        <v>46166.59511574074</v>
      </c>
      <c r="D1348" s="11" t="s">
        <v>2807</v>
      </c>
      <c r="E1348" s="14" t="s">
        <v>2810</v>
      </c>
      <c r="F1348" s="15" t="s">
        <v>16</v>
      </c>
      <c r="G1348" s="15" t="s">
        <v>17</v>
      </c>
      <c r="H1348" s="15" t="s">
        <v>18</v>
      </c>
      <c r="I1348" s="14" t="str">
        <f>IMAGE("https://upload.wikimedia.org/wikipedia/commons/2/22/Mar_Caribe_en_Santa_Marta_%2854538%29.jpg")</f>
        <v/>
      </c>
    </row>
    <row r="1349" ht="36.0" customHeight="1">
      <c r="A1349" s="16" t="str">
        <f t="shared" si="173"/>
        <v>AmiGueko</v>
      </c>
      <c r="B1349" s="17" t="s">
        <v>2811</v>
      </c>
      <c r="C1349" s="18">
        <v>46166.594722222224</v>
      </c>
      <c r="D1349" s="17" t="s">
        <v>2807</v>
      </c>
      <c r="E1349" s="19" t="s">
        <v>2812</v>
      </c>
      <c r="F1349" s="20" t="s">
        <v>16</v>
      </c>
      <c r="G1349" s="20" t="s">
        <v>17</v>
      </c>
      <c r="H1349" s="20" t="s">
        <v>18</v>
      </c>
      <c r="I1349" s="19" t="str">
        <f>IMAGE("https://upload.wikimedia.org/wikipedia/commons/d/d5/Mar_Caribe_en_Santa_Marta_%2860205%29.jpg")</f>
        <v/>
      </c>
    </row>
    <row r="1350" ht="36.0" customHeight="1">
      <c r="A1350" s="10" t="str">
        <f>HYPERLINK("https://commons.wikimedia.org/wiki/User:" &amp; ENCODEURL("Oscarvelascomora"), "Oscarvelascomora")</f>
        <v>Oscarvelascomora</v>
      </c>
      <c r="B1350" s="11" t="s">
        <v>2813</v>
      </c>
      <c r="C1350" s="12">
        <v>46151.68315972222</v>
      </c>
      <c r="D1350" s="11" t="s">
        <v>2814</v>
      </c>
      <c r="E1350" s="14" t="s">
        <v>29</v>
      </c>
      <c r="F1350" s="14" t="s">
        <v>30</v>
      </c>
      <c r="G1350" s="15" t="s">
        <v>17</v>
      </c>
      <c r="H1350" s="15" t="s">
        <v>18</v>
      </c>
      <c r="I1350" s="14" t="str">
        <f>IMAGE("https://upload.wikimedia.org/wikipedia/commons/4/46/Mar_de_San_Andr%C3%A9s.jpg")</f>
        <v/>
      </c>
    </row>
    <row r="1351" ht="36.0" customHeight="1">
      <c r="A1351" s="16" t="str">
        <f>HYPERLINK("https://commons.wikimedia.org/wiki/User:" &amp; ENCODEURL("Allysami2215"), "Allysami2215")</f>
        <v>Allysami2215</v>
      </c>
      <c r="B1351" s="17" t="s">
        <v>2815</v>
      </c>
      <c r="C1351" s="18">
        <v>46147.85189814815</v>
      </c>
      <c r="D1351" s="17" t="s">
        <v>2816</v>
      </c>
      <c r="E1351" s="19" t="s">
        <v>29</v>
      </c>
      <c r="F1351" s="19" t="s">
        <v>30</v>
      </c>
      <c r="G1351" s="20" t="s">
        <v>17</v>
      </c>
      <c r="H1351" s="20" t="s">
        <v>18</v>
      </c>
      <c r="I1351" s="19" t="str">
        <f>IMAGE("https://upload.wikimedia.org/wikipedia/commons/d/d6/Mar_san_andres.jpg")</f>
        <v/>
      </c>
    </row>
    <row r="1352" ht="36.0" customHeight="1">
      <c r="A1352" s="10" t="str">
        <f>HYPERLINK("https://commons.wikimedia.org/wiki/User:" &amp; ENCODEURL("Nbareschu"), "Nbareschu")</f>
        <v>Nbareschu</v>
      </c>
      <c r="B1352" s="11" t="s">
        <v>2817</v>
      </c>
      <c r="C1352" s="12">
        <v>46149.42103009259</v>
      </c>
      <c r="D1352" s="11" t="s">
        <v>2818</v>
      </c>
      <c r="E1352" s="14" t="s">
        <v>2819</v>
      </c>
      <c r="F1352" s="15" t="s">
        <v>16</v>
      </c>
      <c r="G1352" s="15" t="s">
        <v>17</v>
      </c>
      <c r="H1352" s="15" t="s">
        <v>18</v>
      </c>
      <c r="I1352" s="14" t="str">
        <f>IMAGE("https://upload.wikimedia.org/wikipedia/commons/d/de/Marasmo.jpg")</f>
        <v/>
      </c>
    </row>
    <row r="1353" ht="36.0" customHeight="1">
      <c r="A1353" s="16" t="str">
        <f>HYPERLINK("https://commons.wikimedia.org/wiki/User:" &amp; ENCODEURL("JinM143"), "JinM143")</f>
        <v>JinM143</v>
      </c>
      <c r="B1353" s="17" t="s">
        <v>2820</v>
      </c>
      <c r="C1353" s="18">
        <v>46163.51962962963</v>
      </c>
      <c r="D1353" s="17" t="s">
        <v>2821</v>
      </c>
      <c r="E1353" s="19" t="s">
        <v>29</v>
      </c>
      <c r="F1353" s="19" t="s">
        <v>30</v>
      </c>
      <c r="G1353" s="20" t="s">
        <v>17</v>
      </c>
      <c r="H1353" s="20" t="s">
        <v>18</v>
      </c>
      <c r="I1353" s="19" t="str">
        <f>IMAGE("https://upload.wikimedia.org/wikipedia/commons/9/9e/Marchan_t%C3%ADa_sp_Julian_Barrera.jpg")</f>
        <v/>
      </c>
    </row>
    <row r="1354" ht="36.0" customHeight="1">
      <c r="A1354" s="10" t="str">
        <f>HYPERLINK("https://commons.wikimedia.org/wiki/User:" &amp; ENCODEURL("Nathaly 1106"), "Nathaly 1106")</f>
        <v>Nathaly 1106</v>
      </c>
      <c r="B1354" s="11" t="s">
        <v>2822</v>
      </c>
      <c r="C1354" s="12">
        <v>46148.63150462963</v>
      </c>
      <c r="D1354" s="11" t="s">
        <v>2823</v>
      </c>
      <c r="E1354" s="14" t="s">
        <v>29</v>
      </c>
      <c r="F1354" s="14" t="s">
        <v>30</v>
      </c>
      <c r="G1354" s="15" t="s">
        <v>17</v>
      </c>
      <c r="H1354" s="15" t="s">
        <v>18</v>
      </c>
      <c r="I1354" s="14" t="str">
        <f>IMAGE("https://upload.wikimedia.org/wikipedia/commons/3/36/Margarita_del_Cabo_%28Dimorphotheca_ecklonis%29.jpg")</f>
        <v/>
      </c>
    </row>
    <row r="1355" ht="36.0" customHeight="1">
      <c r="A1355" s="16" t="str">
        <f>HYPERLINK("https://commons.wikimedia.org/wiki/User:" &amp; ENCODEURL("NunuAiyi"), "NunuAiyi")</f>
        <v>NunuAiyi</v>
      </c>
      <c r="B1355" s="17" t="s">
        <v>2824</v>
      </c>
      <c r="C1355" s="18">
        <v>46203.858715277776</v>
      </c>
      <c r="D1355" s="17" t="s">
        <v>2825</v>
      </c>
      <c r="E1355" s="19" t="s">
        <v>29</v>
      </c>
      <c r="F1355" s="19" t="s">
        <v>30</v>
      </c>
      <c r="G1355" s="20" t="s">
        <v>17</v>
      </c>
      <c r="H1355" s="20" t="s">
        <v>18</v>
      </c>
      <c r="I1355" s="19" t="str">
        <f>IMAGE("https://upload.wikimedia.org/wikipedia/commons/a/a6/Margarita_rastrera.jpg")</f>
        <v/>
      </c>
    </row>
    <row r="1356" ht="36.0" customHeight="1">
      <c r="A1356" s="10" t="str">
        <f>HYPERLINK("https://commons.wikimedia.org/wiki/User:" &amp; ENCODEURL("AlbruMar"), "AlbruMar")</f>
        <v>AlbruMar</v>
      </c>
      <c r="B1356" s="11" t="s">
        <v>2826</v>
      </c>
      <c r="C1356" s="12">
        <v>46149.97114583333</v>
      </c>
      <c r="D1356" s="11" t="s">
        <v>2827</v>
      </c>
      <c r="E1356" s="14" t="s">
        <v>29</v>
      </c>
      <c r="F1356" s="14" t="s">
        <v>30</v>
      </c>
      <c r="G1356" s="15" t="s">
        <v>17</v>
      </c>
      <c r="H1356" s="15" t="s">
        <v>18</v>
      </c>
      <c r="I1356" s="14" t="str">
        <f>IMAGE("https://upload.wikimedia.org/wikipedia/commons/f/f8/Margarita_silvestre_a_los_pies_del_Volc%C3%A1n_Galeras_en_Pasto_-_Nari%C3%B1o.jpg")</f>
        <v/>
      </c>
    </row>
    <row r="1357" ht="36.0" customHeight="1">
      <c r="A1357" s="16" t="str">
        <f>HYPERLINK("https://commons.wikimedia.org/wiki/User:" &amp; ENCODEURL("Juanrapave"), "Juanrapave")</f>
        <v>Juanrapave</v>
      </c>
      <c r="B1357" s="17" t="s">
        <v>2828</v>
      </c>
      <c r="C1357" s="18">
        <v>46166.313206018516</v>
      </c>
      <c r="D1357" s="17" t="s">
        <v>2829</v>
      </c>
      <c r="E1357" s="19" t="s">
        <v>2830</v>
      </c>
      <c r="F1357" s="20" t="s">
        <v>16</v>
      </c>
      <c r="G1357" s="20" t="s">
        <v>17</v>
      </c>
      <c r="H1357" s="20" t="s">
        <v>18</v>
      </c>
      <c r="I1357" s="19" t="str">
        <f>IMAGE("https://upload.wikimedia.org/wikipedia/commons/f/f6/Mariamulatas_en_la_muralla_de_Cartagena.jpg")</f>
        <v/>
      </c>
    </row>
    <row r="1358" ht="36.0" customHeight="1">
      <c r="A1358" s="10" t="str">
        <f>HYPERLINK("https://commons.wikimedia.org/wiki/User:" &amp; ENCODEURL("Natlycu"), "Natlycu")</f>
        <v>Natlycu</v>
      </c>
      <c r="B1358" s="11" t="s">
        <v>2831</v>
      </c>
      <c r="C1358" s="12">
        <v>46203.036041666666</v>
      </c>
      <c r="D1358" s="11" t="s">
        <v>2832</v>
      </c>
      <c r="E1358" s="14" t="s">
        <v>1158</v>
      </c>
      <c r="F1358" s="15" t="s">
        <v>16</v>
      </c>
      <c r="G1358" s="15" t="s">
        <v>17</v>
      </c>
      <c r="H1358" s="15" t="s">
        <v>18</v>
      </c>
      <c r="I1358" s="14" t="str">
        <f>IMAGE("https://upload.wikimedia.org/wikipedia/commons/6/6c/Mariposa_Mesosemia_en_Paque_Verde_Y_Agua%2C_Fusagasug%C3%A1%2C_%28Cundinamarca%29.jpg")</f>
        <v/>
      </c>
    </row>
    <row r="1359" ht="36.0" customHeight="1">
      <c r="A1359" s="16" t="str">
        <f>HYPERLINK("https://commons.wikimedia.org/wiki/User:" &amp; ENCODEURL("Jhas24.09"), "Jhas24.09")</f>
        <v>Jhas24.09</v>
      </c>
      <c r="B1359" s="17" t="s">
        <v>2833</v>
      </c>
      <c r="C1359" s="18">
        <v>46160.101018518515</v>
      </c>
      <c r="D1359" s="17" t="s">
        <v>2834</v>
      </c>
      <c r="E1359" s="19" t="s">
        <v>29</v>
      </c>
      <c r="F1359" s="19" t="s">
        <v>30</v>
      </c>
      <c r="G1359" s="20" t="s">
        <v>17</v>
      </c>
      <c r="H1359" s="20" t="s">
        <v>18</v>
      </c>
      <c r="I1359" s="19" t="str">
        <f>IMAGE("https://upload.wikimedia.org/wikipedia/commons/8/82/Mariposa_amarilla_con_marr%C3%B3n.jpg")</f>
        <v/>
      </c>
    </row>
    <row r="1360" ht="36.0" customHeight="1">
      <c r="A1360" s="10" t="str">
        <f t="shared" ref="A1360:A1361" si="174">HYPERLINK("https://commons.wikimedia.org/wiki/User:" &amp; ENCODEURL("Juli 2000 her"), "Juli 2000 her")</f>
        <v>Juli 2000 her</v>
      </c>
      <c r="B1360" s="11" t="s">
        <v>2835</v>
      </c>
      <c r="C1360" s="12">
        <v>46189.0547337963</v>
      </c>
      <c r="D1360" s="11" t="s">
        <v>2836</v>
      </c>
      <c r="E1360" s="14" t="s">
        <v>29</v>
      </c>
      <c r="F1360" s="14" t="s">
        <v>30</v>
      </c>
      <c r="G1360" s="15" t="s">
        <v>17</v>
      </c>
      <c r="H1360" s="15" t="s">
        <v>18</v>
      </c>
      <c r="I1360" s="14" t="str">
        <f>IMAGE("https://upload.wikimedia.org/wikipedia/commons/2/22/Mariposa_cebra_%28Hamadryas_laodamia%29_en_Villavicencio%2C_Colombia.jpg")</f>
        <v/>
      </c>
    </row>
    <row r="1361" ht="36.0" customHeight="1">
      <c r="A1361" s="16" t="str">
        <f t="shared" si="174"/>
        <v>Juli 2000 her</v>
      </c>
      <c r="B1361" s="17" t="s">
        <v>2837</v>
      </c>
      <c r="C1361" s="18">
        <v>46189.054710648146</v>
      </c>
      <c r="D1361" s="17" t="s">
        <v>2838</v>
      </c>
      <c r="E1361" s="19" t="s">
        <v>29</v>
      </c>
      <c r="F1361" s="19" t="s">
        <v>30</v>
      </c>
      <c r="G1361" s="20" t="s">
        <v>17</v>
      </c>
      <c r="H1361" s="20" t="s">
        <v>18</v>
      </c>
      <c r="I1361" s="19" t="str">
        <f>IMAGE("https://upload.wikimedia.org/wikipedia/commons/7/74/Mariposa_del_g%C3%A9nero_Pteronymia_en_Villeta%2C_Cundinamarca.jpg")</f>
        <v/>
      </c>
    </row>
    <row r="1362" ht="36.0" customHeight="1">
      <c r="A1362" s="10" t="str">
        <f>HYPERLINK("https://commons.wikimedia.org/wiki/User:" &amp; ENCODEURL("Judcar"), "Judcar")</f>
        <v>Judcar</v>
      </c>
      <c r="B1362" s="11" t="s">
        <v>2839</v>
      </c>
      <c r="C1362" s="12">
        <v>46163.56414351852</v>
      </c>
      <c r="D1362" s="11" t="s">
        <v>2840</v>
      </c>
      <c r="E1362" s="14" t="s">
        <v>29</v>
      </c>
      <c r="F1362" s="14" t="s">
        <v>30</v>
      </c>
      <c r="G1362" s="15" t="s">
        <v>17</v>
      </c>
      <c r="H1362" s="15" t="s">
        <v>18</v>
      </c>
      <c r="I1362" s="14" t="str">
        <f>IMAGE("https://upload.wikimedia.org/wikipedia/commons/a/a7/Mariposa_descansando.jpg")</f>
        <v/>
      </c>
    </row>
    <row r="1363" ht="36.0" customHeight="1">
      <c r="A1363" s="16" t="str">
        <f>HYPERLINK("https://commons.wikimedia.org/wiki/User:" &amp; ENCODEURL("Andres Ggalindo"), "Andres Ggalindo")</f>
        <v>Andres Ggalindo</v>
      </c>
      <c r="B1363" s="17" t="s">
        <v>2841</v>
      </c>
      <c r="C1363" s="18">
        <v>46203.99828703704</v>
      </c>
      <c r="D1363" s="17" t="s">
        <v>2842</v>
      </c>
      <c r="E1363" s="19" t="s">
        <v>29</v>
      </c>
      <c r="F1363" s="19" t="s">
        <v>30</v>
      </c>
      <c r="G1363" s="20" t="s">
        <v>17</v>
      </c>
      <c r="H1363" s="20" t="s">
        <v>18</v>
      </c>
      <c r="I1363" s="19" t="str">
        <f>IMAGE("https://upload.wikimedia.org/wikipedia/commons/9/93/Mariposa_en_el_Paramo_de_Santurban.jpg")</f>
        <v/>
      </c>
    </row>
    <row r="1364" ht="36.0" customHeight="1">
      <c r="A1364" s="10" t="str">
        <f t="shared" ref="A1364:A1368" si="175">HYPERLINK("https://commons.wikimedia.org/wiki/User:" &amp; ENCODEURL("Jhas24.09"), "Jhas24.09")</f>
        <v>Jhas24.09</v>
      </c>
      <c r="B1364" s="11" t="s">
        <v>2843</v>
      </c>
      <c r="C1364" s="12">
        <v>46160.10118055555</v>
      </c>
      <c r="D1364" s="11" t="s">
        <v>2844</v>
      </c>
      <c r="E1364" s="14" t="s">
        <v>29</v>
      </c>
      <c r="F1364" s="14" t="s">
        <v>30</v>
      </c>
      <c r="G1364" s="15" t="s">
        <v>17</v>
      </c>
      <c r="H1364" s="15" t="s">
        <v>18</v>
      </c>
      <c r="I1364" s="14" t="str">
        <f>IMAGE("https://upload.wikimedia.org/wikipedia/commons/3/3e/Mariposa_en_una_hoja.jpg")</f>
        <v/>
      </c>
    </row>
    <row r="1365" ht="36.0" customHeight="1">
      <c r="A1365" s="16" t="str">
        <f t="shared" si="175"/>
        <v>Jhas24.09</v>
      </c>
      <c r="B1365" s="17" t="s">
        <v>2845</v>
      </c>
      <c r="C1365" s="18">
        <v>46160.101018518515</v>
      </c>
      <c r="D1365" s="17" t="s">
        <v>2834</v>
      </c>
      <c r="E1365" s="19" t="s">
        <v>29</v>
      </c>
      <c r="F1365" s="19" t="s">
        <v>30</v>
      </c>
      <c r="G1365" s="20" t="s">
        <v>17</v>
      </c>
      <c r="H1365" s="20" t="s">
        <v>18</v>
      </c>
      <c r="I1365" s="19" t="str">
        <f>IMAGE("https://upload.wikimedia.org/wikipedia/commons/6/65/Mariposa_en_vegetaci%C3%B3n.jpg")</f>
        <v/>
      </c>
    </row>
    <row r="1366" ht="36.0" customHeight="1">
      <c r="A1366" s="10" t="str">
        <f t="shared" si="175"/>
        <v>Jhas24.09</v>
      </c>
      <c r="B1366" s="11" t="s">
        <v>2846</v>
      </c>
      <c r="C1366" s="12">
        <v>46160.10108796296</v>
      </c>
      <c r="D1366" s="11" t="s">
        <v>2834</v>
      </c>
      <c r="E1366" s="14" t="s">
        <v>29</v>
      </c>
      <c r="F1366" s="14" t="s">
        <v>30</v>
      </c>
      <c r="G1366" s="15" t="s">
        <v>17</v>
      </c>
      <c r="H1366" s="15" t="s">
        <v>18</v>
      </c>
      <c r="I1366" s="14" t="str">
        <f>IMAGE("https://upload.wikimedia.org/wikipedia/commons/0/03/Mariposa_en_%C3%A1ngulo_lateral.jpg")</f>
        <v/>
      </c>
    </row>
    <row r="1367" ht="36.0" customHeight="1">
      <c r="A1367" s="16" t="str">
        <f t="shared" si="175"/>
        <v>Jhas24.09</v>
      </c>
      <c r="B1367" s="17" t="s">
        <v>2847</v>
      </c>
      <c r="C1367" s="18">
        <v>46160.10097222222</v>
      </c>
      <c r="D1367" s="17" t="s">
        <v>2848</v>
      </c>
      <c r="E1367" s="19" t="s">
        <v>29</v>
      </c>
      <c r="F1367" s="19" t="s">
        <v>30</v>
      </c>
      <c r="G1367" s="20" t="s">
        <v>17</v>
      </c>
      <c r="H1367" s="20" t="s">
        <v>18</v>
      </c>
      <c r="I1367" s="19" t="str">
        <f>IMAGE("https://upload.wikimedia.org/wikipedia/commons/a/a4/Mariposa_escarlata.jpg")</f>
        <v/>
      </c>
    </row>
    <row r="1368" ht="36.0" customHeight="1">
      <c r="A1368" s="10" t="str">
        <f t="shared" si="175"/>
        <v>Jhas24.09</v>
      </c>
      <c r="B1368" s="11" t="s">
        <v>2849</v>
      </c>
      <c r="C1368" s="12">
        <v>46160.10097222222</v>
      </c>
      <c r="D1368" s="11" t="s">
        <v>2848</v>
      </c>
      <c r="E1368" s="14" t="s">
        <v>29</v>
      </c>
      <c r="F1368" s="14" t="s">
        <v>30</v>
      </c>
      <c r="G1368" s="15" t="s">
        <v>17</v>
      </c>
      <c r="H1368" s="15" t="s">
        <v>18</v>
      </c>
      <c r="I1368" s="14" t="str">
        <f>IMAGE("https://upload.wikimedia.org/wikipedia/commons/f/f4/Mariposa_escarlata_tomando_sol.jpg")</f>
        <v/>
      </c>
    </row>
    <row r="1369" ht="36.0" customHeight="1">
      <c r="A1369" s="16" t="str">
        <f>HYPERLINK("https://commons.wikimedia.org/wiki/User:" &amp; ENCODEURL("Juli 2000 her"), "Juli 2000 her")</f>
        <v>Juli 2000 her</v>
      </c>
      <c r="B1369" s="17" t="s">
        <v>2850</v>
      </c>
      <c r="C1369" s="18">
        <v>46189.05465277778</v>
      </c>
      <c r="D1369" s="17" t="s">
        <v>2851</v>
      </c>
      <c r="E1369" s="19" t="s">
        <v>29</v>
      </c>
      <c r="F1369" s="19" t="s">
        <v>30</v>
      </c>
      <c r="G1369" s="20" t="s">
        <v>17</v>
      </c>
      <c r="H1369" s="20" t="s">
        <v>18</v>
      </c>
      <c r="I1369" s="19" t="str">
        <f>IMAGE("https://upload.wikimedia.org/wikipedia/commons/c/c5/Mariposa_feronia_%28Hamadryas_feronia%29_en_entorno_urbano_de_Villavicencio%2C_Colombia.jpg")</f>
        <v/>
      </c>
    </row>
    <row r="1370" ht="36.0" customHeight="1">
      <c r="A1370" s="10" t="str">
        <f t="shared" ref="A1370:A1371" si="176">HYPERLINK("https://commons.wikimedia.org/wiki/User:" &amp; ENCODEURL("AmiGueko"), "AmiGueko")</f>
        <v>AmiGueko</v>
      </c>
      <c r="B1370" s="11" t="s">
        <v>2852</v>
      </c>
      <c r="C1370" s="12">
        <v>46156.980219907404</v>
      </c>
      <c r="D1370" s="11" t="s">
        <v>2853</v>
      </c>
      <c r="E1370" s="14" t="s">
        <v>2854</v>
      </c>
      <c r="F1370" s="15" t="s">
        <v>16</v>
      </c>
      <c r="G1370" s="15" t="s">
        <v>17</v>
      </c>
      <c r="H1370" s="15" t="s">
        <v>18</v>
      </c>
      <c r="I1370" s="14" t="str">
        <f>IMAGE("https://upload.wikimedia.org/wikipedia/commons/e/ee/Mariposa_lechuza_o_b%C3%BAho.jpg")</f>
        <v/>
      </c>
    </row>
    <row r="1371" ht="36.0" customHeight="1">
      <c r="A1371" s="16" t="str">
        <f t="shared" si="176"/>
        <v>AmiGueko</v>
      </c>
      <c r="B1371" s="17" t="s">
        <v>2855</v>
      </c>
      <c r="C1371" s="18">
        <v>46178.39613425926</v>
      </c>
      <c r="D1371" s="17" t="s">
        <v>2856</v>
      </c>
      <c r="E1371" s="19" t="s">
        <v>103</v>
      </c>
      <c r="F1371" s="20" t="s">
        <v>16</v>
      </c>
      <c r="G1371" s="20" t="s">
        <v>17</v>
      </c>
      <c r="H1371" s="20" t="s">
        <v>18</v>
      </c>
      <c r="I1371" s="19" t="str">
        <f>IMAGE("https://upload.wikimedia.org/wikipedia/commons/a/ae/Mariposa_monarca_mayo_2026.jpg")</f>
        <v/>
      </c>
    </row>
    <row r="1372" ht="36.0" customHeight="1">
      <c r="A1372" s="10" t="str">
        <f>HYPERLINK("https://commons.wikimedia.org/wiki/User:" &amp; ENCODEURL("Juli 2000 her"), "Juli 2000 her")</f>
        <v>Juli 2000 her</v>
      </c>
      <c r="B1372" s="11" t="s">
        <v>2857</v>
      </c>
      <c r="C1372" s="12">
        <v>46189.0546412037</v>
      </c>
      <c r="D1372" s="11" t="s">
        <v>2858</v>
      </c>
      <c r="E1372" s="14" t="s">
        <v>29</v>
      </c>
      <c r="F1372" s="14" t="s">
        <v>30</v>
      </c>
      <c r="G1372" s="15" t="s">
        <v>17</v>
      </c>
      <c r="H1372" s="15" t="s">
        <v>18</v>
      </c>
      <c r="I1372" s="14" t="str">
        <f>IMAGE("https://upload.wikimedia.org/wikipedia/commons/3/32/Mariposa_ochenta_y_nueve_%28Diaethria_clymena%29_en_Minca%2C_Santa_Marta.jpg")</f>
        <v/>
      </c>
    </row>
    <row r="1373" ht="36.0" customHeight="1">
      <c r="A1373" s="16" t="str">
        <f t="shared" ref="A1373:A1374" si="177">HYPERLINK("https://commons.wikimedia.org/wiki/User:" &amp; ENCODEURL("Jhas24.09"), "Jhas24.09")</f>
        <v>Jhas24.09</v>
      </c>
      <c r="B1373" s="17" t="s">
        <v>2859</v>
      </c>
      <c r="C1373" s="18">
        <v>46160.101631944446</v>
      </c>
      <c r="D1373" s="17" t="s">
        <v>2860</v>
      </c>
      <c r="E1373" s="19" t="s">
        <v>29</v>
      </c>
      <c r="F1373" s="19" t="s">
        <v>30</v>
      </c>
      <c r="G1373" s="20" t="s">
        <v>17</v>
      </c>
      <c r="H1373" s="20" t="s">
        <v>18</v>
      </c>
      <c r="I1373" s="19" t="str">
        <f>IMAGE("https://upload.wikimedia.org/wikipedia/commons/2/25/Mariposa_posada_en_un_flor.jpg")</f>
        <v/>
      </c>
    </row>
    <row r="1374" ht="36.0" customHeight="1">
      <c r="A1374" s="10" t="str">
        <f t="shared" si="177"/>
        <v>Jhas24.09</v>
      </c>
      <c r="B1374" s="11" t="s">
        <v>2861</v>
      </c>
      <c r="C1374" s="12">
        <v>46160.10097222222</v>
      </c>
      <c r="D1374" s="11" t="s">
        <v>2862</v>
      </c>
      <c r="E1374" s="14" t="s">
        <v>29</v>
      </c>
      <c r="F1374" s="14" t="s">
        <v>30</v>
      </c>
      <c r="G1374" s="15" t="s">
        <v>17</v>
      </c>
      <c r="H1374" s="15" t="s">
        <v>18</v>
      </c>
      <c r="I1374" s="14" t="str">
        <f>IMAGE("https://upload.wikimedia.org/wikipedia/commons/c/ca/Mariposa_posando.jpg")</f>
        <v/>
      </c>
    </row>
    <row r="1375" ht="36.0" customHeight="1">
      <c r="A1375" s="16" t="str">
        <f>HYPERLINK("https://commons.wikimedia.org/wiki/User:" &amp; ENCODEURL("Nbareschu"), "Nbareschu")</f>
        <v>Nbareschu</v>
      </c>
      <c r="B1375" s="17" t="s">
        <v>2863</v>
      </c>
      <c r="C1375" s="18">
        <v>46149.42119212963</v>
      </c>
      <c r="D1375" s="17" t="s">
        <v>2864</v>
      </c>
      <c r="E1375" s="19" t="s">
        <v>2865</v>
      </c>
      <c r="F1375" s="20" t="s">
        <v>16</v>
      </c>
      <c r="G1375" s="20" t="s">
        <v>17</v>
      </c>
      <c r="H1375" s="20" t="s">
        <v>18</v>
      </c>
      <c r="I1375" s="19" t="str">
        <f>IMAGE("https://upload.wikimedia.org/wikipedia/commons/f/f8/Mariposa_rev%C3%A9s.jpg")</f>
        <v/>
      </c>
    </row>
    <row r="1376" ht="36.0" customHeight="1">
      <c r="A1376" s="10" t="str">
        <f>HYPERLINK("https://commons.wikimedia.org/wiki/User:" &amp; ENCODEURL("Juli 2000 her"), "Juli 2000 her")</f>
        <v>Juli 2000 her</v>
      </c>
      <c r="B1376" s="11" t="s">
        <v>2866</v>
      </c>
      <c r="C1376" s="12">
        <v>46189.05490740741</v>
      </c>
      <c r="D1376" s="11" t="s">
        <v>2867</v>
      </c>
      <c r="E1376" s="14" t="s">
        <v>29</v>
      </c>
      <c r="F1376" s="14" t="s">
        <v>30</v>
      </c>
      <c r="G1376" s="15" t="s">
        <v>17</v>
      </c>
      <c r="H1376" s="15" t="s">
        <v>18</v>
      </c>
      <c r="I1376" s="14" t="str">
        <f>IMAGE("https://upload.wikimedia.org/wikipedia/commons/6/6f/Mariposa_%E2%80%9Cduendecillo_de_borde_rojo%E2%80%9D_%28Melanis_pixe%29_en_Villeta%2C_Cundinamarca.jpg")</f>
        <v/>
      </c>
    </row>
    <row r="1377" ht="36.0" customHeight="1">
      <c r="A1377" s="16" t="str">
        <f>HYPERLINK("https://commons.wikimedia.org/wiki/User:" &amp; ENCODEURL("NunuAiyi"), "NunuAiyi")</f>
        <v>NunuAiyi</v>
      </c>
      <c r="B1377" s="17" t="s">
        <v>2868</v>
      </c>
      <c r="C1377" s="18">
        <v>46203.858715277776</v>
      </c>
      <c r="D1377" s="17" t="s">
        <v>2869</v>
      </c>
      <c r="E1377" s="19" t="s">
        <v>29</v>
      </c>
      <c r="F1377" s="19" t="s">
        <v>30</v>
      </c>
      <c r="G1377" s="20" t="s">
        <v>17</v>
      </c>
      <c r="H1377" s="20" t="s">
        <v>18</v>
      </c>
      <c r="I1377" s="19" t="str">
        <f>IMAGE("https://upload.wikimedia.org/wikipedia/commons/f/fb/Mariquita_invasora.jpg")</f>
        <v/>
      </c>
    </row>
    <row r="1378" ht="36.0" customHeight="1">
      <c r="A1378" s="10" t="str">
        <f t="shared" ref="A1378:A1379" si="178">HYPERLINK("https://commons.wikimedia.org/wiki/User:" &amp; ENCODEURL("Nbareschu"), "Nbareschu")</f>
        <v>Nbareschu</v>
      </c>
      <c r="B1378" s="11" t="s">
        <v>2870</v>
      </c>
      <c r="C1378" s="12">
        <v>46149.42144675926</v>
      </c>
      <c r="D1378" s="11" t="s">
        <v>2871</v>
      </c>
      <c r="E1378" s="14" t="s">
        <v>2872</v>
      </c>
      <c r="F1378" s="15" t="s">
        <v>16</v>
      </c>
      <c r="G1378" s="15" t="s">
        <v>17</v>
      </c>
      <c r="H1378" s="15" t="s">
        <v>18</v>
      </c>
      <c r="I1378" s="14" t="str">
        <f>IMAGE("https://upload.wikimedia.org/wikipedia/commons/e/ec/Marta_escondida.jpg")</f>
        <v/>
      </c>
    </row>
    <row r="1379" ht="36.0" customHeight="1">
      <c r="A1379" s="16" t="str">
        <f t="shared" si="178"/>
        <v>Nbareschu</v>
      </c>
      <c r="B1379" s="17" t="s">
        <v>2873</v>
      </c>
      <c r="C1379" s="18">
        <v>46149.42141203704</v>
      </c>
      <c r="D1379" s="17" t="s">
        <v>2874</v>
      </c>
      <c r="E1379" s="19" t="s">
        <v>2875</v>
      </c>
      <c r="F1379" s="20" t="s">
        <v>16</v>
      </c>
      <c r="G1379" s="20" t="s">
        <v>17</v>
      </c>
      <c r="H1379" s="20" t="s">
        <v>18</v>
      </c>
      <c r="I1379" s="19" t="str">
        <f>IMAGE("https://upload.wikimedia.org/wikipedia/commons/a/ac/Masdevallia_amanda.jpg")</f>
        <v/>
      </c>
    </row>
    <row r="1380" ht="36.0" customHeight="1">
      <c r="A1380" s="10" t="str">
        <f t="shared" ref="A1380:A1381" si="179">HYPERLINK("https://commons.wikimedia.org/wiki/User:" &amp; ENCODEURL("XimmoY"), "XimmoY")</f>
        <v>XimmoY</v>
      </c>
      <c r="B1380" s="11" t="s">
        <v>2876</v>
      </c>
      <c r="C1380" s="12">
        <v>46203.86077546296</v>
      </c>
      <c r="D1380" s="11" t="s">
        <v>2877</v>
      </c>
      <c r="E1380" s="14" t="s">
        <v>184</v>
      </c>
      <c r="F1380" s="15" t="s">
        <v>16</v>
      </c>
      <c r="G1380" s="15" t="s">
        <v>17</v>
      </c>
      <c r="H1380" s="15" t="s">
        <v>18</v>
      </c>
      <c r="I1380" s="14" t="str">
        <f>IMAGE("https://upload.wikimedia.org/wikipedia/commons/c/cc/Mastigodryas_danieli.jpg")</f>
        <v/>
      </c>
    </row>
    <row r="1381" ht="36.0" customHeight="1">
      <c r="A1381" s="16" t="str">
        <f t="shared" si="179"/>
        <v>XimmoY</v>
      </c>
      <c r="B1381" s="17" t="s">
        <v>2878</v>
      </c>
      <c r="C1381" s="18">
        <v>46203.86077546296</v>
      </c>
      <c r="D1381" s="17" t="s">
        <v>2877</v>
      </c>
      <c r="E1381" s="19" t="s">
        <v>184</v>
      </c>
      <c r="F1381" s="20" t="s">
        <v>16</v>
      </c>
      <c r="G1381" s="20" t="s">
        <v>17</v>
      </c>
      <c r="H1381" s="20" t="s">
        <v>18</v>
      </c>
      <c r="I1381" s="19" t="str">
        <f>IMAGE("https://upload.wikimedia.org/wikipedia/commons/9/98/Mastigodryas_danieli_2026.jpg")</f>
        <v/>
      </c>
    </row>
    <row r="1382" ht="36.0" customHeight="1">
      <c r="A1382" s="10" t="str">
        <f>HYPERLINK("https://commons.wikimedia.org/wiki/User:" &amp; ENCODEURL("Nathaly 1106"), "Nathaly 1106")</f>
        <v>Nathaly 1106</v>
      </c>
      <c r="B1382" s="11" t="s">
        <v>2879</v>
      </c>
      <c r="C1382" s="12">
        <v>46147.62673611111</v>
      </c>
      <c r="D1382" s="11" t="s">
        <v>2880</v>
      </c>
      <c r="E1382" s="14" t="s">
        <v>29</v>
      </c>
      <c r="F1382" s="14" t="s">
        <v>30</v>
      </c>
      <c r="G1382" s="15" t="s">
        <v>17</v>
      </c>
      <c r="H1382" s="15" t="s">
        <v>18</v>
      </c>
      <c r="I1382" s="14" t="str">
        <f>IMAGE("https://upload.wikimedia.org/wikipedia/commons/8/85/Mata_de_platanillo_%28Heliconia%29.jpg")</f>
        <v/>
      </c>
    </row>
    <row r="1383" ht="36.0" customHeight="1">
      <c r="A1383" s="16" t="str">
        <f>HYPERLINK("https://commons.wikimedia.org/wiki/User:" &amp; ENCODEURL("AmiGueko"), "AmiGueko")</f>
        <v>AmiGueko</v>
      </c>
      <c r="B1383" s="17" t="s">
        <v>2881</v>
      </c>
      <c r="C1383" s="18">
        <v>46151.34174768518</v>
      </c>
      <c r="D1383" s="17" t="s">
        <v>2882</v>
      </c>
      <c r="E1383" s="19" t="s">
        <v>2883</v>
      </c>
      <c r="F1383" s="20" t="s">
        <v>16</v>
      </c>
      <c r="G1383" s="20" t="s">
        <v>17</v>
      </c>
      <c r="H1383" s="20" t="s">
        <v>18</v>
      </c>
      <c r="I1383" s="19" t="str">
        <f>IMAGE("https://upload.wikimedia.org/wikipedia/commons/5/53/Matacaballos.jpg")</f>
        <v/>
      </c>
    </row>
    <row r="1384" ht="36.0" customHeight="1">
      <c r="A1384" s="10" t="str">
        <f>HYPERLINK("https://commons.wikimedia.org/wiki/User:" &amp; ENCODEURL("Moisés Barrera Sogamoso"), "Moisés Barrera Sogamoso")</f>
        <v>Moisés Barrera Sogamoso</v>
      </c>
      <c r="B1384" s="11" t="s">
        <v>2884</v>
      </c>
      <c r="C1384" s="12">
        <v>46146.64141203704</v>
      </c>
      <c r="D1384" s="11" t="s">
        <v>2885</v>
      </c>
      <c r="E1384" s="14" t="s">
        <v>29</v>
      </c>
      <c r="F1384" s="14" t="s">
        <v>30</v>
      </c>
      <c r="G1384" s="15" t="s">
        <v>17</v>
      </c>
      <c r="H1384" s="15" t="s">
        <v>18</v>
      </c>
      <c r="I1384" s="14" t="str">
        <f>IMAGE("https://upload.wikimedia.org/wikipedia/commons/4/4d/Matices.jpg")</f>
        <v/>
      </c>
    </row>
    <row r="1385" ht="36.0" customHeight="1">
      <c r="A1385" s="16" t="str">
        <f>HYPERLINK("https://commons.wikimedia.org/wiki/User:" &amp; ENCODEURL("Mottenpriesterin"), "Mottenpriesterin")</f>
        <v>Mottenpriesterin</v>
      </c>
      <c r="B1385" s="17" t="s">
        <v>2886</v>
      </c>
      <c r="C1385" s="18">
        <v>46202.924942129626</v>
      </c>
      <c r="D1385" s="17" t="s">
        <v>2887</v>
      </c>
      <c r="E1385" s="19" t="s">
        <v>29</v>
      </c>
      <c r="F1385" s="19" t="s">
        <v>30</v>
      </c>
      <c r="G1385" s="20" t="s">
        <v>17</v>
      </c>
      <c r="H1385" s="20" t="s">
        <v>18</v>
      </c>
      <c r="I1385" s="19" t="str">
        <f>IMAGE("https://upload.wikimedia.org/wikipedia/commons/d/d8/Mating_pair_of_red_cracker_butterflies_%28Hamadryas_amphinome%29_on_a_tree_trunk%2C_Meta%2C_2025.jpg")</f>
        <v/>
      </c>
    </row>
    <row r="1386" ht="36.0" customHeight="1">
      <c r="A1386" s="10" t="str">
        <f>HYPERLINK("https://commons.wikimedia.org/wiki/User:" &amp; ENCODEURL("Joseeem"), "Joseeem")</f>
        <v>Joseeem</v>
      </c>
      <c r="B1386" s="11" t="s">
        <v>2888</v>
      </c>
      <c r="C1386" s="12">
        <v>46156.94497685185</v>
      </c>
      <c r="D1386" s="11" t="s">
        <v>2889</v>
      </c>
      <c r="E1386" s="14" t="s">
        <v>29</v>
      </c>
      <c r="F1386" s="14" t="s">
        <v>30</v>
      </c>
      <c r="G1386" s="15" t="s">
        <v>17</v>
      </c>
      <c r="H1386" s="15" t="s">
        <v>18</v>
      </c>
      <c r="I1386" s="14" t="str">
        <f>IMAGE("https://upload.wikimedia.org/wikipedia/commons/8/80/Mayapo_Colombia.jpg")</f>
        <v/>
      </c>
    </row>
    <row r="1387" ht="36.0" customHeight="1">
      <c r="A1387" s="16" t="str">
        <f>HYPERLINK("https://commons.wikimedia.org/wiki/User:" &amp; ENCODEURL("Moisés Barrera Sogamoso"), "Moisés Barrera Sogamoso")</f>
        <v>Moisés Barrera Sogamoso</v>
      </c>
      <c r="B1387" s="17" t="s">
        <v>2890</v>
      </c>
      <c r="C1387" s="18">
        <v>46146.64141203704</v>
      </c>
      <c r="D1387" s="17" t="s">
        <v>2891</v>
      </c>
      <c r="E1387" s="19" t="s">
        <v>29</v>
      </c>
      <c r="F1387" s="19" t="s">
        <v>30</v>
      </c>
      <c r="G1387" s="20" t="s">
        <v>17</v>
      </c>
      <c r="H1387" s="20" t="s">
        <v>18</v>
      </c>
      <c r="I1387" s="19" t="str">
        <f>IMAGE("https://upload.wikimedia.org/wikipedia/commons/8/83/Me_cautiva.jpg")</f>
        <v/>
      </c>
    </row>
    <row r="1388" ht="36.0" customHeight="1">
      <c r="A1388" s="10" t="str">
        <f>HYPERLINK("https://commons.wikimedia.org/wiki/User:" &amp; ENCODEURL("Jukaper23"), "Jukaper23")</f>
        <v>Jukaper23</v>
      </c>
      <c r="B1388" s="11" t="s">
        <v>2892</v>
      </c>
      <c r="C1388" s="12">
        <v>46201.53700231481</v>
      </c>
      <c r="D1388" s="11" t="s">
        <v>2893</v>
      </c>
      <c r="E1388" s="14" t="s">
        <v>29</v>
      </c>
      <c r="F1388" s="14" t="s">
        <v>30</v>
      </c>
      <c r="G1388" s="15" t="s">
        <v>17</v>
      </c>
      <c r="H1388" s="15" t="s">
        <v>18</v>
      </c>
      <c r="I1388" s="14" t="str">
        <f>IMAGE("https://upload.wikimedia.org/wikipedia/commons/8/85/Mechanitis_polymnia_-_Alas_de_tigre.jpg")</f>
        <v/>
      </c>
    </row>
    <row r="1389" ht="36.0" customHeight="1">
      <c r="A1389" s="16" t="str">
        <f>HYPERLINK("https://commons.wikimedia.org/wiki/User:" &amp; ENCODEURL("Mig.ast20"), "Mig.ast20")</f>
        <v>Mig.ast20</v>
      </c>
      <c r="B1389" s="17" t="s">
        <v>2894</v>
      </c>
      <c r="C1389" s="18">
        <v>46163.57009259259</v>
      </c>
      <c r="D1389" s="17" t="s">
        <v>2895</v>
      </c>
      <c r="E1389" s="19" t="s">
        <v>29</v>
      </c>
      <c r="F1389" s="19" t="s">
        <v>30</v>
      </c>
      <c r="G1389" s="20" t="s">
        <v>17</v>
      </c>
      <c r="H1389" s="20" t="s">
        <v>18</v>
      </c>
      <c r="I1389" s="19" t="str">
        <f>IMAGE("https://upload.wikimedia.org/wikipedia/commons/d/d5/Medio_sol.jpg")</f>
        <v/>
      </c>
    </row>
    <row r="1390" ht="36.0" customHeight="1">
      <c r="A1390" s="10" t="str">
        <f>HYPERLINK("https://commons.wikimedia.org/wiki/User:" &amp; ENCODEURL("Jhas24.09"), "Jhas24.09")</f>
        <v>Jhas24.09</v>
      </c>
      <c r="B1390" s="11" t="s">
        <v>2896</v>
      </c>
      <c r="C1390" s="12">
        <v>46160.101689814815</v>
      </c>
      <c r="D1390" s="11" t="s">
        <v>840</v>
      </c>
      <c r="E1390" s="14" t="s">
        <v>29</v>
      </c>
      <c r="F1390" s="14" t="s">
        <v>30</v>
      </c>
      <c r="G1390" s="15" t="s">
        <v>17</v>
      </c>
      <c r="H1390" s="15" t="s">
        <v>18</v>
      </c>
      <c r="I1390" s="14" t="str">
        <f>IMAGE("https://upload.wikimedia.org/wikipedia/commons/0/02/Megalobulimus_sp._-_Caracol_terrestre.jpg")</f>
        <v/>
      </c>
    </row>
    <row r="1391" ht="36.0" customHeight="1">
      <c r="A1391" s="16" t="str">
        <f t="shared" ref="A1391:A1394" si="180">HYPERLINK("https://commons.wikimedia.org/wiki/User:" &amp; ENCODEURL("Diferoch"), "Diferoch")</f>
        <v>Diferoch</v>
      </c>
      <c r="B1391" s="17" t="s">
        <v>2897</v>
      </c>
      <c r="C1391" s="18">
        <v>46189.725324074076</v>
      </c>
      <c r="D1391" s="17" t="s">
        <v>2898</v>
      </c>
      <c r="E1391" s="19" t="s">
        <v>2899</v>
      </c>
      <c r="F1391" s="20" t="s">
        <v>16</v>
      </c>
      <c r="G1391" s="20" t="s">
        <v>17</v>
      </c>
      <c r="H1391" s="20" t="s">
        <v>18</v>
      </c>
      <c r="I1391" s="19" t="str">
        <f>IMAGE("https://upload.wikimedia.org/wikipedia/commons/0/0a/Megalopyge_lanata_-_Barrancabermeja%2C_Santander%2C_Colombia_-_28_Jul_2025_-_Diferoch.jpg")</f>
        <v/>
      </c>
    </row>
    <row r="1392" ht="36.0" customHeight="1">
      <c r="A1392" s="10" t="str">
        <f t="shared" si="180"/>
        <v>Diferoch</v>
      </c>
      <c r="B1392" s="11" t="s">
        <v>2900</v>
      </c>
      <c r="C1392" s="12">
        <v>46197.98820601852</v>
      </c>
      <c r="D1392" s="11" t="s">
        <v>2901</v>
      </c>
      <c r="E1392" s="14" t="s">
        <v>2902</v>
      </c>
      <c r="F1392" s="15" t="s">
        <v>16</v>
      </c>
      <c r="G1392" s="15" t="s">
        <v>17</v>
      </c>
      <c r="H1392" s="15" t="s">
        <v>18</v>
      </c>
      <c r="I1392" s="14" t="str">
        <f>IMAGE("https://upload.wikimedia.org/wikipedia/commons/0/01/Megaptera_novaeangliae_australis_-_Nuqu%C3%AD%2C_Choc%C3%B3%2C_Colombia_-_22_Oct_2025_-_Diferoch_-_1.jpg")</f>
        <v/>
      </c>
    </row>
    <row r="1393" ht="36.0" customHeight="1">
      <c r="A1393" s="16" t="str">
        <f t="shared" si="180"/>
        <v>Diferoch</v>
      </c>
      <c r="B1393" s="17" t="s">
        <v>2903</v>
      </c>
      <c r="C1393" s="18">
        <v>46197.988229166665</v>
      </c>
      <c r="D1393" s="17" t="s">
        <v>2901</v>
      </c>
      <c r="E1393" s="19" t="s">
        <v>2904</v>
      </c>
      <c r="F1393" s="20" t="s">
        <v>16</v>
      </c>
      <c r="G1393" s="20" t="s">
        <v>17</v>
      </c>
      <c r="H1393" s="20" t="s">
        <v>18</v>
      </c>
      <c r="I1393" s="19" t="str">
        <f>IMAGE("https://upload.wikimedia.org/wikipedia/commons/f/fb/Megaptera_novaeangliae_australis_-_Nuqu%C3%AD%2C_Choc%C3%B3%2C_Colombia_-_22_Oct_2025_-_Diferoch_-_2.jpg")</f>
        <v/>
      </c>
    </row>
    <row r="1394" ht="36.0" customHeight="1">
      <c r="A1394" s="10" t="str">
        <f t="shared" si="180"/>
        <v>Diferoch</v>
      </c>
      <c r="B1394" s="11" t="s">
        <v>2905</v>
      </c>
      <c r="C1394" s="12">
        <v>46197.98824074074</v>
      </c>
      <c r="D1394" s="11" t="s">
        <v>2901</v>
      </c>
      <c r="E1394" s="14" t="s">
        <v>2906</v>
      </c>
      <c r="F1394" s="15" t="s">
        <v>16</v>
      </c>
      <c r="G1394" s="15" t="s">
        <v>17</v>
      </c>
      <c r="H1394" s="15" t="s">
        <v>18</v>
      </c>
      <c r="I1394" s="14" t="str">
        <f>IMAGE("https://upload.wikimedia.org/wikipedia/commons/a/ae/Megaptera_novaeangliae_australis_-_Nuqu%C3%AD%2C_Choc%C3%B3%2C_Colombia_-_22_Oct_2025_-_Diferoch_-_3.jpg")</f>
        <v/>
      </c>
    </row>
    <row r="1395" ht="36.0" customHeight="1">
      <c r="A1395" s="16" t="str">
        <f>HYPERLINK("https://commons.wikimedia.org/wiki/User:" &amp; ENCODEURL("Alexpanther"), "Alexpanther")</f>
        <v>Alexpanther</v>
      </c>
      <c r="B1395" s="17" t="s">
        <v>2907</v>
      </c>
      <c r="C1395" s="18">
        <v>46203.64832175926</v>
      </c>
      <c r="D1395" s="17" t="s">
        <v>2908</v>
      </c>
      <c r="E1395" s="19" t="s">
        <v>582</v>
      </c>
      <c r="F1395" s="20" t="s">
        <v>16</v>
      </c>
      <c r="G1395" s="20" t="s">
        <v>17</v>
      </c>
      <c r="H1395" s="20" t="s">
        <v>18</v>
      </c>
      <c r="I1395" s="19" t="str">
        <f>IMAGE("https://upload.wikimedia.org/wikipedia/commons/4/40/Melanerpes_cruentatus_Little_Woodpecker.png")</f>
        <v/>
      </c>
    </row>
    <row r="1396" ht="36.0" customHeight="1">
      <c r="A1396" s="10" t="str">
        <f>HYPERLINK("https://commons.wikimedia.org/wiki/User:" &amp; ENCODEURL("JinM143"), "JinM143")</f>
        <v>JinM143</v>
      </c>
      <c r="B1396" s="11" t="s">
        <v>2909</v>
      </c>
      <c r="C1396" s="12">
        <v>46163.5315162037</v>
      </c>
      <c r="D1396" s="11" t="s">
        <v>2910</v>
      </c>
      <c r="E1396" s="14" t="s">
        <v>29</v>
      </c>
      <c r="F1396" s="14" t="s">
        <v>30</v>
      </c>
      <c r="G1396" s="15" t="s">
        <v>17</v>
      </c>
      <c r="H1396" s="15" t="s">
        <v>18</v>
      </c>
      <c r="I1396" s="14" t="str">
        <f>IMAGE("https://upload.wikimedia.org/wikipedia/commons/4/48/Melastomataceae_-_Julian_Barrera.jpg")</f>
        <v/>
      </c>
    </row>
    <row r="1397" ht="36.0" customHeight="1">
      <c r="A1397" s="16" t="str">
        <f>HYPERLINK("https://commons.wikimedia.org/wiki/User:" &amp; ENCODEURL("Johan Andrés Toro"), "Johan Andrés Toro")</f>
        <v>Johan Andrés Toro</v>
      </c>
      <c r="B1397" s="17" t="s">
        <v>2911</v>
      </c>
      <c r="C1397" s="18">
        <v>46176.94572916667</v>
      </c>
      <c r="D1397" s="17" t="s">
        <v>2912</v>
      </c>
      <c r="E1397" s="19" t="s">
        <v>29</v>
      </c>
      <c r="F1397" s="19" t="s">
        <v>30</v>
      </c>
      <c r="G1397" s="20" t="s">
        <v>17</v>
      </c>
      <c r="H1397" s="20" t="s">
        <v>18</v>
      </c>
      <c r="I1397" s="19" t="str">
        <f>IMAGE("https://upload.wikimedia.org/wikipedia/commons/0/0c/Melocactus_curvispinus_en_el_suelo_erosionado_de_la_Tatacoa.jpg")</f>
        <v/>
      </c>
    </row>
    <row r="1398" ht="36.0" customHeight="1">
      <c r="A1398" s="10" t="str">
        <f>HYPERLINK("https://commons.wikimedia.org/wiki/User:" &amp; ENCODEURL("Andres Ggalindo"), "Andres Ggalindo")</f>
        <v>Andres Ggalindo</v>
      </c>
      <c r="B1398" s="11" t="s">
        <v>2913</v>
      </c>
      <c r="C1398" s="12">
        <v>46203.99820601852</v>
      </c>
      <c r="D1398" s="11" t="s">
        <v>2914</v>
      </c>
      <c r="E1398" s="14" t="s">
        <v>29</v>
      </c>
      <c r="F1398" s="14" t="s">
        <v>30</v>
      </c>
      <c r="G1398" s="15" t="s">
        <v>17</v>
      </c>
      <c r="H1398" s="15" t="s">
        <v>18</v>
      </c>
      <c r="I1398" s="14" t="str">
        <f>IMAGE("https://upload.wikimedia.org/wikipedia/commons/6/63/Mesamphiagrion_en_el_Paramo_de_Viracacha.jpg")</f>
        <v/>
      </c>
    </row>
    <row r="1399" ht="36.0" customHeight="1">
      <c r="A1399" s="16" t="str">
        <f>HYPERLINK("https://commons.wikimedia.org/wiki/User:" &amp; ENCODEURL("Laura Milena Moyano Bautista"), "Laura Milena Moyano Bautista")</f>
        <v>Laura Milena Moyano Bautista</v>
      </c>
      <c r="B1399" s="17" t="s">
        <v>2915</v>
      </c>
      <c r="C1399" s="18">
        <v>46163.88872685185</v>
      </c>
      <c r="D1399" s="17" t="s">
        <v>2916</v>
      </c>
      <c r="E1399" s="19" t="s">
        <v>29</v>
      </c>
      <c r="F1399" s="19" t="s">
        <v>30</v>
      </c>
      <c r="G1399" s="20" t="s">
        <v>17</v>
      </c>
      <c r="H1399" s="20" t="s">
        <v>18</v>
      </c>
      <c r="I1399" s="19" t="str">
        <f>IMAGE("https://upload.wikimedia.org/wikipedia/commons/5/5d/Miel_de_flor.jpg")</f>
        <v/>
      </c>
    </row>
    <row r="1400" ht="36.0" customHeight="1">
      <c r="A1400" s="10" t="str">
        <f t="shared" ref="A1400:A1401" si="181">HYPERLINK("https://commons.wikimedia.org/wiki/User:" &amp; ENCODEURL("NicolleTorresG"), "NicolleTorresG")</f>
        <v>NicolleTorresG</v>
      </c>
      <c r="B1400" s="11" t="s">
        <v>2917</v>
      </c>
      <c r="C1400" s="12">
        <v>46199.93894675926</v>
      </c>
      <c r="D1400" s="11" t="s">
        <v>2918</v>
      </c>
      <c r="E1400" s="14" t="s">
        <v>848</v>
      </c>
      <c r="F1400" s="15" t="s">
        <v>16</v>
      </c>
      <c r="G1400" s="15" t="s">
        <v>17</v>
      </c>
      <c r="H1400" s="15" t="s">
        <v>18</v>
      </c>
      <c r="I1400" s="14" t="str">
        <f>IMAGE("https://upload.wikimedia.org/wikipedia/commons/2/28/Mielero_Verde_Hembra_-_Chlorophanes_spiza.jpg")</f>
        <v/>
      </c>
    </row>
    <row r="1401" ht="36.0" customHeight="1">
      <c r="A1401" s="16" t="str">
        <f t="shared" si="181"/>
        <v>NicolleTorresG</v>
      </c>
      <c r="B1401" s="17" t="s">
        <v>2919</v>
      </c>
      <c r="C1401" s="18">
        <v>46199.938935185186</v>
      </c>
      <c r="D1401" s="17" t="s">
        <v>2920</v>
      </c>
      <c r="E1401" s="19" t="s">
        <v>848</v>
      </c>
      <c r="F1401" s="20" t="s">
        <v>16</v>
      </c>
      <c r="G1401" s="20" t="s">
        <v>17</v>
      </c>
      <c r="H1401" s="20" t="s">
        <v>18</v>
      </c>
      <c r="I1401" s="19" t="str">
        <f>IMAGE("https://upload.wikimedia.org/wikipedia/commons/5/57/Mielero_Verde_Macho_-_Chlorophanes_spiza.jpg")</f>
        <v/>
      </c>
    </row>
    <row r="1402" ht="36.0" customHeight="1">
      <c r="A1402" s="10" t="str">
        <f>HYPERLINK("https://commons.wikimedia.org/wiki/User:" &amp; ENCODEURL("Jukaper23"), "Jukaper23")</f>
        <v>Jukaper23</v>
      </c>
      <c r="B1402" s="11" t="s">
        <v>2921</v>
      </c>
      <c r="C1402" s="12">
        <v>46201.53703703704</v>
      </c>
      <c r="D1402" s="11" t="s">
        <v>2922</v>
      </c>
      <c r="E1402" s="14" t="s">
        <v>29</v>
      </c>
      <c r="F1402" s="14" t="s">
        <v>30</v>
      </c>
      <c r="G1402" s="15" t="s">
        <v>17</v>
      </c>
      <c r="H1402" s="15" t="s">
        <v>18</v>
      </c>
      <c r="I1402" s="14" t="str">
        <f>IMAGE("https://upload.wikimedia.org/wikipedia/commons/7/75/Milvago_Chimachima_-_Gavil%C3%A1n_Pollero.jpg")</f>
        <v/>
      </c>
    </row>
    <row r="1403" ht="36.0" customHeight="1">
      <c r="A1403" s="16" t="str">
        <f>HYPERLINK("https://commons.wikimedia.org/wiki/User:" &amp; ENCODEURL("AmiGueko"), "AmiGueko")</f>
        <v>AmiGueko</v>
      </c>
      <c r="B1403" s="17" t="s">
        <v>2923</v>
      </c>
      <c r="C1403" s="18">
        <v>46177.8983912037</v>
      </c>
      <c r="D1403" s="17" t="s">
        <v>2924</v>
      </c>
      <c r="E1403" s="19" t="s">
        <v>2108</v>
      </c>
      <c r="F1403" s="20" t="s">
        <v>16</v>
      </c>
      <c r="G1403" s="20" t="s">
        <v>17</v>
      </c>
      <c r="H1403" s="20" t="s">
        <v>18</v>
      </c>
      <c r="I1403" s="19" t="str">
        <f>IMAGE("https://upload.wikimedia.org/wikipedia/commons/2/28/Mimbre_mayo_2026.jpg")</f>
        <v/>
      </c>
    </row>
    <row r="1404" ht="36.0" customHeight="1">
      <c r="A1404" s="10" t="str">
        <f>HYPERLINK("https://commons.wikimedia.org/wiki/User:" &amp; ENCODEURL("Allysami2215"), "Allysami2215")</f>
        <v>Allysami2215</v>
      </c>
      <c r="B1404" s="11" t="s">
        <v>2925</v>
      </c>
      <c r="C1404" s="12">
        <v>46147.85193287037</v>
      </c>
      <c r="D1404" s="11" t="s">
        <v>2926</v>
      </c>
      <c r="E1404" s="14" t="s">
        <v>29</v>
      </c>
      <c r="F1404" s="14" t="s">
        <v>30</v>
      </c>
      <c r="G1404" s="15" t="s">
        <v>17</v>
      </c>
      <c r="H1404" s="15" t="s">
        <v>18</v>
      </c>
      <c r="I1404" s="14" t="str">
        <f>IMAGE("https://upload.wikimedia.org/wikipedia/commons/9/96/Mina_de_carb%C3%B3n_cucunaba.jpg")</f>
        <v/>
      </c>
    </row>
    <row r="1405" ht="36.0" customHeight="1">
      <c r="A1405" s="16" t="str">
        <f>HYPERLINK("https://commons.wikimedia.org/wiki/User:" &amp; ENCODEURL("Joseeem"), "Joseeem")</f>
        <v>Joseeem</v>
      </c>
      <c r="B1405" s="17" t="s">
        <v>2927</v>
      </c>
      <c r="C1405" s="18">
        <v>46156.94483796296</v>
      </c>
      <c r="D1405" s="17" t="s">
        <v>2928</v>
      </c>
      <c r="E1405" s="19" t="s">
        <v>29</v>
      </c>
      <c r="F1405" s="19" t="s">
        <v>30</v>
      </c>
      <c r="G1405" s="20" t="s">
        <v>17</v>
      </c>
      <c r="H1405" s="20" t="s">
        <v>18</v>
      </c>
      <c r="I1405" s="19" t="str">
        <f>IMAGE("https://upload.wikimedia.org/wikipedia/commons/e/e9/Minca.jpg")</f>
        <v/>
      </c>
    </row>
    <row r="1406" ht="36.0" customHeight="1">
      <c r="A1406" s="10" t="str">
        <f>HYPERLINK("https://commons.wikimedia.org/wiki/User:" &amp; ENCODEURL("Rodrigomacrophoto"), "Rodrigomacrophoto")</f>
        <v>Rodrigomacrophoto</v>
      </c>
      <c r="B1406" s="11" t="s">
        <v>2929</v>
      </c>
      <c r="C1406" s="12">
        <v>46146.7225</v>
      </c>
      <c r="D1406" s="11" t="s">
        <v>2930</v>
      </c>
      <c r="E1406" s="14" t="s">
        <v>2931</v>
      </c>
      <c r="F1406" s="15" t="s">
        <v>16</v>
      </c>
      <c r="G1406" s="15" t="s">
        <v>17</v>
      </c>
      <c r="H1406" s="15" t="s">
        <v>18</v>
      </c>
      <c r="I1406" s="14" t="str">
        <f>IMAGE("https://upload.wikimedia.org/wikipedia/commons/f/ff/Miradas_de_Meliponinos.jpg")</f>
        <v/>
      </c>
    </row>
    <row r="1407" ht="36.0" customHeight="1">
      <c r="A1407" s="16" t="str">
        <f>HYPERLINK("https://commons.wikimedia.org/wiki/User:" &amp; ENCODEURL("Alexpanther"), "Alexpanther")</f>
        <v>Alexpanther</v>
      </c>
      <c r="B1407" s="17" t="s">
        <v>2932</v>
      </c>
      <c r="C1407" s="18">
        <v>46203.500752314816</v>
      </c>
      <c r="D1407" s="17" t="s">
        <v>2933</v>
      </c>
      <c r="E1407" s="19" t="s">
        <v>582</v>
      </c>
      <c r="F1407" s="20" t="s">
        <v>16</v>
      </c>
      <c r="G1407" s="20" t="s">
        <v>17</v>
      </c>
      <c r="H1407" s="20" t="s">
        <v>18</v>
      </c>
      <c r="I1407" s="19" t="str">
        <f>IMAGE("https://upload.wikimedia.org/wikipedia/commons/0/04/Miradas_del_Bosque_Mono_Maicero_en_el_Dosel.png")</f>
        <v/>
      </c>
    </row>
    <row r="1408" ht="36.0" customHeight="1">
      <c r="A1408" s="10" t="str">
        <f>HYPERLINK("https://commons.wikimedia.org/wiki/User:" &amp; ENCODEURL("NataMendietaOrtega"), "NataMendietaOrtega")</f>
        <v>NataMendietaOrtega</v>
      </c>
      <c r="B1408" s="11" t="s">
        <v>2934</v>
      </c>
      <c r="C1408" s="12">
        <v>46163.53706018518</v>
      </c>
      <c r="D1408" s="11" t="s">
        <v>2935</v>
      </c>
      <c r="E1408" s="14" t="s">
        <v>29</v>
      </c>
      <c r="F1408" s="14" t="s">
        <v>30</v>
      </c>
      <c r="G1408" s="15" t="s">
        <v>17</v>
      </c>
      <c r="H1408" s="15" t="s">
        <v>18</v>
      </c>
      <c r="I1408" s="14" t="str">
        <f>IMAGE("https://upload.wikimedia.org/wikipedia/commons/e/e4/Mirador%2C_Bogot%C3%A1%2C_Universidad_Externado.jpg")</f>
        <v/>
      </c>
    </row>
    <row r="1409" ht="36.0" customHeight="1">
      <c r="A1409" s="16" t="str">
        <f>HYPERLINK("https://commons.wikimedia.org/wiki/User:" &amp; ENCODEURL("Anvar2420"), "Anvar2420")</f>
        <v>Anvar2420</v>
      </c>
      <c r="B1409" s="17" t="s">
        <v>2936</v>
      </c>
      <c r="C1409" s="18">
        <v>46163.55681712963</v>
      </c>
      <c r="D1409" s="17" t="s">
        <v>2937</v>
      </c>
      <c r="E1409" s="19" t="s">
        <v>29</v>
      </c>
      <c r="F1409" s="19" t="s">
        <v>30</v>
      </c>
      <c r="G1409" s="20" t="s">
        <v>17</v>
      </c>
      <c r="H1409" s="20" t="s">
        <v>18</v>
      </c>
      <c r="I1409" s="19" t="str">
        <f>IMAGE("https://upload.wikimedia.org/wikipedia/commons/f/fb/Mirador_Bella_Vista_Yopal_-_Casanare.jpg")</f>
        <v/>
      </c>
    </row>
    <row r="1410" ht="36.0" customHeight="1">
      <c r="A1410" s="10" t="str">
        <f>HYPERLINK("https://commons.wikimedia.org/wiki/User:" &amp; ENCODEURL("Allysami2215"), "Allysami2215")</f>
        <v>Allysami2215</v>
      </c>
      <c r="B1410" s="11" t="s">
        <v>2938</v>
      </c>
      <c r="C1410" s="12">
        <v>46147.85178240741</v>
      </c>
      <c r="D1410" s="11" t="s">
        <v>2939</v>
      </c>
      <c r="E1410" s="14" t="s">
        <v>29</v>
      </c>
      <c r="F1410" s="14" t="s">
        <v>30</v>
      </c>
      <c r="G1410" s="15" t="s">
        <v>17</v>
      </c>
      <c r="H1410" s="15" t="s">
        <v>18</v>
      </c>
      <c r="I1410" s="14" t="str">
        <f>IMAGE("https://upload.wikimedia.org/wikipedia/commons/8/8f/Mirador_Usme.jpg")</f>
        <v/>
      </c>
    </row>
    <row r="1411" ht="36.0" customHeight="1">
      <c r="A1411" s="16" t="str">
        <f>HYPERLINK("https://commons.wikimedia.org/wiki/User:" &amp; ENCODEURL("Mar 21DS"), "Mar 21DS")</f>
        <v>Mar 21DS</v>
      </c>
      <c r="B1411" s="17" t="s">
        <v>2940</v>
      </c>
      <c r="C1411" s="18">
        <v>46163.562372685185</v>
      </c>
      <c r="D1411" s="17" t="s">
        <v>2941</v>
      </c>
      <c r="E1411" s="19" t="s">
        <v>29</v>
      </c>
      <c r="F1411" s="19" t="s">
        <v>30</v>
      </c>
      <c r="G1411" s="20" t="s">
        <v>17</v>
      </c>
      <c r="H1411" s="20" t="s">
        <v>18</v>
      </c>
      <c r="I1411" s="19" t="str">
        <f>IMAGE("https://upload.wikimedia.org/wikipedia/commons/d/dc/Mirador_de_cartagena.jpg")</f>
        <v/>
      </c>
    </row>
    <row r="1412" ht="36.0" customHeight="1">
      <c r="A1412" s="10" t="str">
        <f>HYPERLINK("https://commons.wikimedia.org/wiki/User:" &amp; ENCODEURL("Dsjkkms"), "Dsjkkms")</f>
        <v>Dsjkkms</v>
      </c>
      <c r="B1412" s="11" t="s">
        <v>2942</v>
      </c>
      <c r="C1412" s="12">
        <v>46163.537766203706</v>
      </c>
      <c r="D1412" s="11" t="s">
        <v>2943</v>
      </c>
      <c r="E1412" s="14" t="s">
        <v>29</v>
      </c>
      <c r="F1412" s="14" t="s">
        <v>30</v>
      </c>
      <c r="G1412" s="15" t="s">
        <v>17</v>
      </c>
      <c r="H1412" s="15" t="s">
        <v>18</v>
      </c>
      <c r="I1412" s="14" t="str">
        <f>IMAGE("https://upload.wikimedia.org/wikipedia/commons/b/bc/Miramelindos._Impatiens_walleriana.jpg")</f>
        <v/>
      </c>
    </row>
    <row r="1413" ht="36.0" customHeight="1">
      <c r="A1413" s="16" t="str">
        <f>HYPERLINK("https://commons.wikimedia.org/wiki/User:" &amp; ENCODEURL("Laupedrazaa"), "Laupedrazaa")</f>
        <v>Laupedrazaa</v>
      </c>
      <c r="B1413" s="17" t="s">
        <v>2944</v>
      </c>
      <c r="C1413" s="18">
        <v>46167.88943287037</v>
      </c>
      <c r="D1413" s="17" t="s">
        <v>2945</v>
      </c>
      <c r="E1413" s="19" t="s">
        <v>29</v>
      </c>
      <c r="F1413" s="19" t="s">
        <v>30</v>
      </c>
      <c r="G1413" s="20" t="s">
        <v>17</v>
      </c>
      <c r="H1413" s="20" t="s">
        <v>18</v>
      </c>
      <c r="I1413" s="19" t="str">
        <f>IMAGE("https://upload.wikimedia.org/wikipedia/commons/3/35/Mirando_al_Tropicario.jpg")</f>
        <v/>
      </c>
    </row>
    <row r="1414" ht="36.0" customHeight="1">
      <c r="A1414" s="10" t="str">
        <f>HYPERLINK("https://commons.wikimedia.org/wiki/User:" &amp; ENCODEURL("Dalacuel"), "Dalacuel")</f>
        <v>Dalacuel</v>
      </c>
      <c r="B1414" s="11" t="s">
        <v>2946</v>
      </c>
      <c r="C1414" s="12">
        <v>46194.598807870374</v>
      </c>
      <c r="D1414" s="11" t="s">
        <v>2947</v>
      </c>
      <c r="E1414" s="14" t="s">
        <v>2948</v>
      </c>
      <c r="F1414" s="15" t="s">
        <v>16</v>
      </c>
      <c r="G1414" s="15" t="s">
        <v>17</v>
      </c>
      <c r="H1414" s="15" t="s">
        <v>18</v>
      </c>
      <c r="I1414" s="14" t="str">
        <f>IMAGE("https://upload.wikimedia.org/wikipedia/commons/4/4d/Mirasol_mexicano.jpg")</f>
        <v/>
      </c>
    </row>
    <row r="1415" ht="36.0" customHeight="1">
      <c r="A1415" s="16" t="str">
        <f t="shared" ref="A1415:A1416" si="182">HYPERLINK("https://commons.wikimedia.org/wiki/User:" &amp; ENCODEURL("Natlycu"), "Natlycu")</f>
        <v>Natlycu</v>
      </c>
      <c r="B1415" s="17" t="s">
        <v>2949</v>
      </c>
      <c r="C1415" s="18">
        <v>46203.006516203706</v>
      </c>
      <c r="D1415" s="17" t="s">
        <v>2950</v>
      </c>
      <c r="E1415" s="19" t="s">
        <v>2951</v>
      </c>
      <c r="F1415" s="20" t="s">
        <v>16</v>
      </c>
      <c r="G1415" s="20" t="s">
        <v>17</v>
      </c>
      <c r="H1415" s="20" t="s">
        <v>18</v>
      </c>
      <c r="I1415" s="19" t="str">
        <f>IMAGE("https://upload.wikimedia.org/wikipedia/commons/c/ce/Mirla_patinaranja_%28Turdus_fuscater%29_en_el_Jard%C3%ADn_Bot%C3%A1nico_de_Bogot%C3%A1.jpg")</f>
        <v/>
      </c>
    </row>
    <row r="1416" ht="36.0" customHeight="1">
      <c r="A1416" s="10" t="str">
        <f t="shared" si="182"/>
        <v>Natlycu</v>
      </c>
      <c r="B1416" s="11" t="s">
        <v>2952</v>
      </c>
      <c r="C1416" s="12">
        <v>46203.036041666666</v>
      </c>
      <c r="D1416" s="11" t="s">
        <v>2950</v>
      </c>
      <c r="E1416" s="14" t="s">
        <v>2951</v>
      </c>
      <c r="F1416" s="15" t="s">
        <v>16</v>
      </c>
      <c r="G1416" s="15" t="s">
        <v>17</v>
      </c>
      <c r="H1416" s="15" t="s">
        <v>18</v>
      </c>
      <c r="I1416" s="14" t="str">
        <f>IMAGE("https://upload.wikimedia.org/wikipedia/commons/2/27/Mirla_patinaranja_%28Turdus_fuscater%29_en_el_Jard%C3%ADn_Bot%C3%A1nico_de_Bogot%C3%A1_2.jpg")</f>
        <v/>
      </c>
    </row>
    <row r="1417" ht="36.0" customHeight="1">
      <c r="A1417" s="16" t="str">
        <f>HYPERLINK("https://commons.wikimedia.org/wiki/User:" &amp; ENCODEURL("VirginiaClavijo"), "VirginiaClavijo")</f>
        <v>VirginiaClavijo</v>
      </c>
      <c r="B1417" s="17" t="s">
        <v>2953</v>
      </c>
      <c r="C1417" s="18">
        <v>46167.663981481484</v>
      </c>
      <c r="D1417" s="17" t="s">
        <v>2954</v>
      </c>
      <c r="E1417" s="19" t="s">
        <v>2955</v>
      </c>
      <c r="F1417" s="20" t="s">
        <v>16</v>
      </c>
      <c r="G1417" s="20" t="s">
        <v>17</v>
      </c>
      <c r="H1417" s="20" t="s">
        <v>18</v>
      </c>
      <c r="I1417" s="19" t="str">
        <f>IMAGE("https://upload.wikimedia.org/wikipedia/commons/0/08/Mirla_patinaranja_-_turdus_fuscater.jpg")</f>
        <v/>
      </c>
    </row>
    <row r="1418" ht="36.0" customHeight="1">
      <c r="A1418" s="10" t="str">
        <f>HYPERLINK("https://commons.wikimedia.org/wiki/User:" &amp; ENCODEURL("Elprofeta91"), "Elprofeta91")</f>
        <v>Elprofeta91</v>
      </c>
      <c r="B1418" s="11" t="s">
        <v>2956</v>
      </c>
      <c r="C1418" s="12">
        <v>46147.790821759256</v>
      </c>
      <c r="D1418" s="11" t="s">
        <v>2957</v>
      </c>
      <c r="E1418" s="14" t="s">
        <v>2958</v>
      </c>
      <c r="F1418" s="15" t="s">
        <v>16</v>
      </c>
      <c r="G1418" s="15" t="s">
        <v>17</v>
      </c>
      <c r="H1418" s="15" t="s">
        <v>18</v>
      </c>
      <c r="I1418" s="14" t="str">
        <f>IMAGE("https://upload.wikimedia.org/wikipedia/commons/3/33/Mitad_del_camino.jpg")</f>
        <v/>
      </c>
    </row>
    <row r="1419" ht="36.0" customHeight="1">
      <c r="A1419" s="16" t="str">
        <f>HYPERLINK("https://commons.wikimedia.org/wiki/User:" &amp; ENCODEURL("Moisés Barrera Sogamoso"), "Moisés Barrera Sogamoso")</f>
        <v>Moisés Barrera Sogamoso</v>
      </c>
      <c r="B1419" s="17" t="s">
        <v>2959</v>
      </c>
      <c r="C1419" s="18">
        <v>46146.64141203704</v>
      </c>
      <c r="D1419" s="17" t="s">
        <v>2960</v>
      </c>
      <c r="E1419" s="19" t="s">
        <v>29</v>
      </c>
      <c r="F1419" s="19" t="s">
        <v>30</v>
      </c>
      <c r="G1419" s="20" t="s">
        <v>17</v>
      </c>
      <c r="H1419" s="20" t="s">
        <v>18</v>
      </c>
      <c r="I1419" s="19" t="str">
        <f>IMAGE("https://upload.wikimedia.org/wikipedia/commons/b/b8/Mmm_que_delicia.jpg")</f>
        <v/>
      </c>
    </row>
    <row r="1420" ht="36.0" customHeight="1">
      <c r="A1420" s="10" t="str">
        <f t="shared" ref="A1420:A1421" si="183">HYPERLINK("https://commons.wikimedia.org/wiki/User:" &amp; ENCODEURL("AmiGueko"), "AmiGueko")</f>
        <v>AmiGueko</v>
      </c>
      <c r="B1420" s="11" t="s">
        <v>2961</v>
      </c>
      <c r="C1420" s="12">
        <v>46177.89840277778</v>
      </c>
      <c r="D1420" s="11" t="s">
        <v>2962</v>
      </c>
      <c r="E1420" s="14" t="s">
        <v>2108</v>
      </c>
      <c r="F1420" s="15" t="s">
        <v>16</v>
      </c>
      <c r="G1420" s="15" t="s">
        <v>17</v>
      </c>
      <c r="H1420" s="15" t="s">
        <v>18</v>
      </c>
      <c r="I1420" s="14" t="str">
        <f>IMAGE("https://upload.wikimedia.org/wikipedia/commons/e/eb/Molinillo.jpg")</f>
        <v/>
      </c>
    </row>
    <row r="1421" ht="36.0" customHeight="1">
      <c r="A1421" s="16" t="str">
        <f t="shared" si="183"/>
        <v>AmiGueko</v>
      </c>
      <c r="B1421" s="17" t="s">
        <v>2963</v>
      </c>
      <c r="C1421" s="18">
        <v>46177.89842592592</v>
      </c>
      <c r="D1421" s="17" t="s">
        <v>2962</v>
      </c>
      <c r="E1421" s="19" t="s">
        <v>2108</v>
      </c>
      <c r="F1421" s="20" t="s">
        <v>16</v>
      </c>
      <c r="G1421" s="20" t="s">
        <v>17</v>
      </c>
      <c r="H1421" s="20" t="s">
        <v>18</v>
      </c>
      <c r="I1421" s="19" t="str">
        <f>IMAGE("https://upload.wikimedia.org/wikipedia/commons/1/15/Molinillo2.jpg")</f>
        <v/>
      </c>
    </row>
    <row r="1422" ht="36.0" customHeight="1">
      <c r="A1422" s="10" t="str">
        <f>HYPERLINK("https://commons.wikimedia.org/wiki/User:" &amp; ENCODEURL("Aparizap"), "Aparizap")</f>
        <v>Aparizap</v>
      </c>
      <c r="B1422" s="11" t="s">
        <v>2964</v>
      </c>
      <c r="C1422" s="12">
        <v>46199.71703703704</v>
      </c>
      <c r="D1422" s="11" t="s">
        <v>2965</v>
      </c>
      <c r="E1422" s="14" t="s">
        <v>29</v>
      </c>
      <c r="F1422" s="14" t="s">
        <v>30</v>
      </c>
      <c r="G1422" s="15" t="s">
        <v>17</v>
      </c>
      <c r="H1422" s="15" t="s">
        <v>18</v>
      </c>
      <c r="I1422" s="14" t="str">
        <f>IMAGE("https://upload.wikimedia.org/wikipedia/commons/0/04/Mompox_sunset.jpg")</f>
        <v/>
      </c>
    </row>
    <row r="1423" ht="36.0" customHeight="1">
      <c r="A1423" s="16" t="str">
        <f t="shared" ref="A1423:A1440" si="184">HYPERLINK("https://commons.wikimedia.org/wiki/User:" &amp; ENCODEURL("Noeliachalfoun"), "Noeliachalfoun")</f>
        <v>Noeliachalfoun</v>
      </c>
      <c r="B1423" s="17" t="s">
        <v>2966</v>
      </c>
      <c r="C1423" s="18">
        <v>46182.60851851852</v>
      </c>
      <c r="D1423" s="17" t="s">
        <v>2967</v>
      </c>
      <c r="E1423" s="19" t="s">
        <v>29</v>
      </c>
      <c r="F1423" s="19" t="s">
        <v>30</v>
      </c>
      <c r="G1423" s="20" t="s">
        <v>17</v>
      </c>
      <c r="H1423" s="20" t="s">
        <v>18</v>
      </c>
      <c r="I1423" s="19" t="str">
        <f>IMAGE("https://upload.wikimedia.org/wikipedia/commons/9/97/Mono_Capuchino_Cara_Blanca-Parque_Nacional_Natural_Tayrona-Colombia-1.jpg")</f>
        <v/>
      </c>
    </row>
    <row r="1424" ht="36.0" customHeight="1">
      <c r="A1424" s="10" t="str">
        <f t="shared" si="184"/>
        <v>Noeliachalfoun</v>
      </c>
      <c r="B1424" s="11" t="s">
        <v>2968</v>
      </c>
      <c r="C1424" s="12">
        <v>46182.608622685184</v>
      </c>
      <c r="D1424" s="11" t="s">
        <v>2967</v>
      </c>
      <c r="E1424" s="14" t="s">
        <v>29</v>
      </c>
      <c r="F1424" s="14" t="s">
        <v>30</v>
      </c>
      <c r="G1424" s="15" t="s">
        <v>17</v>
      </c>
      <c r="H1424" s="15" t="s">
        <v>18</v>
      </c>
      <c r="I1424" s="14" t="str">
        <f>IMAGE("https://upload.wikimedia.org/wikipedia/commons/6/62/Mono_Capuchino_Cara_Blanca-Parque_Nacional_Natural_Tayrona-Colombia-10.jpg")</f>
        <v/>
      </c>
    </row>
    <row r="1425" ht="36.0" customHeight="1">
      <c r="A1425" s="16" t="str">
        <f t="shared" si="184"/>
        <v>Noeliachalfoun</v>
      </c>
      <c r="B1425" s="17" t="s">
        <v>2969</v>
      </c>
      <c r="C1425" s="18">
        <v>46182.608622685184</v>
      </c>
      <c r="D1425" s="17" t="s">
        <v>2967</v>
      </c>
      <c r="E1425" s="19" t="s">
        <v>29</v>
      </c>
      <c r="F1425" s="19" t="s">
        <v>30</v>
      </c>
      <c r="G1425" s="20" t="s">
        <v>17</v>
      </c>
      <c r="H1425" s="20" t="s">
        <v>18</v>
      </c>
      <c r="I1425" s="19" t="str">
        <f>IMAGE("https://upload.wikimedia.org/wikipedia/commons/e/e5/Mono_Capuchino_Cara_Blanca-Parque_Nacional_Natural_Tayrona-Colombia-11.jpg")</f>
        <v/>
      </c>
    </row>
    <row r="1426" ht="36.0" customHeight="1">
      <c r="A1426" s="10" t="str">
        <f t="shared" si="184"/>
        <v>Noeliachalfoun</v>
      </c>
      <c r="B1426" s="11" t="s">
        <v>2970</v>
      </c>
      <c r="C1426" s="12">
        <v>46182.60864583333</v>
      </c>
      <c r="D1426" s="11" t="s">
        <v>2967</v>
      </c>
      <c r="E1426" s="14" t="s">
        <v>29</v>
      </c>
      <c r="F1426" s="14" t="s">
        <v>30</v>
      </c>
      <c r="G1426" s="15" t="s">
        <v>17</v>
      </c>
      <c r="H1426" s="15" t="s">
        <v>18</v>
      </c>
      <c r="I1426" s="14" t="str">
        <f>IMAGE("https://upload.wikimedia.org/wikipedia/commons/e/e1/Mono_Capuchino_Cara_Blanca-Parque_Nacional_Natural_Tayrona-Colombia-12.jpg")</f>
        <v/>
      </c>
    </row>
    <row r="1427" ht="36.0" customHeight="1">
      <c r="A1427" s="16" t="str">
        <f t="shared" si="184"/>
        <v>Noeliachalfoun</v>
      </c>
      <c r="B1427" s="17" t="s">
        <v>2971</v>
      </c>
      <c r="C1427" s="18">
        <v>46182.60865740741</v>
      </c>
      <c r="D1427" s="17" t="s">
        <v>2967</v>
      </c>
      <c r="E1427" s="19" t="s">
        <v>29</v>
      </c>
      <c r="F1427" s="19" t="s">
        <v>30</v>
      </c>
      <c r="G1427" s="20" t="s">
        <v>17</v>
      </c>
      <c r="H1427" s="20" t="s">
        <v>18</v>
      </c>
      <c r="I1427" s="19" t="str">
        <f>IMAGE("https://upload.wikimedia.org/wikipedia/commons/6/60/Mono_Capuchino_Cara_Blanca-Parque_Nacional_Natural_Tayrona-Colombia-13.jpg")</f>
        <v/>
      </c>
    </row>
    <row r="1428" ht="36.0" customHeight="1">
      <c r="A1428" s="10" t="str">
        <f t="shared" si="184"/>
        <v>Noeliachalfoun</v>
      </c>
      <c r="B1428" s="11" t="s">
        <v>2972</v>
      </c>
      <c r="C1428" s="12">
        <v>46182.60865740741</v>
      </c>
      <c r="D1428" s="11" t="s">
        <v>2967</v>
      </c>
      <c r="E1428" s="14" t="s">
        <v>29</v>
      </c>
      <c r="F1428" s="14" t="s">
        <v>30</v>
      </c>
      <c r="G1428" s="15" t="s">
        <v>17</v>
      </c>
      <c r="H1428" s="15" t="s">
        <v>18</v>
      </c>
      <c r="I1428" s="14" t="str">
        <f>IMAGE("https://upload.wikimedia.org/wikipedia/commons/f/fb/Mono_Capuchino_Cara_Blanca-Parque_Nacional_Natural_Tayrona-Colombia-14.jpg")</f>
        <v/>
      </c>
    </row>
    <row r="1429" ht="36.0" customHeight="1">
      <c r="A1429" s="16" t="str">
        <f t="shared" si="184"/>
        <v>Noeliachalfoun</v>
      </c>
      <c r="B1429" s="17" t="s">
        <v>2973</v>
      </c>
      <c r="C1429" s="18">
        <v>46182.60868055555</v>
      </c>
      <c r="D1429" s="17" t="s">
        <v>2967</v>
      </c>
      <c r="E1429" s="19" t="s">
        <v>29</v>
      </c>
      <c r="F1429" s="19" t="s">
        <v>30</v>
      </c>
      <c r="G1429" s="20" t="s">
        <v>17</v>
      </c>
      <c r="H1429" s="20" t="s">
        <v>18</v>
      </c>
      <c r="I1429" s="19" t="str">
        <f>IMAGE("https://upload.wikimedia.org/wikipedia/commons/e/e7/Mono_Capuchino_Cara_Blanca-Parque_Nacional_Natural_Tayrona-Colombia-15.jpg")</f>
        <v/>
      </c>
    </row>
    <row r="1430" ht="36.0" customHeight="1">
      <c r="A1430" s="10" t="str">
        <f t="shared" si="184"/>
        <v>Noeliachalfoun</v>
      </c>
      <c r="B1430" s="11" t="s">
        <v>2974</v>
      </c>
      <c r="C1430" s="12">
        <v>46182.60869212963</v>
      </c>
      <c r="D1430" s="11" t="s">
        <v>2967</v>
      </c>
      <c r="E1430" s="14" t="s">
        <v>29</v>
      </c>
      <c r="F1430" s="14" t="s">
        <v>30</v>
      </c>
      <c r="G1430" s="15" t="s">
        <v>17</v>
      </c>
      <c r="H1430" s="15" t="s">
        <v>18</v>
      </c>
      <c r="I1430" s="14" t="str">
        <f>IMAGE("https://upload.wikimedia.org/wikipedia/commons/9/98/Mono_Capuchino_Cara_Blanca-Parque_Nacional_Natural_Tayrona-Colombia-16.jpg")</f>
        <v/>
      </c>
    </row>
    <row r="1431" ht="36.0" customHeight="1">
      <c r="A1431" s="16" t="str">
        <f t="shared" si="184"/>
        <v>Noeliachalfoun</v>
      </c>
      <c r="B1431" s="17" t="s">
        <v>2975</v>
      </c>
      <c r="C1431" s="18">
        <v>46182.60870370371</v>
      </c>
      <c r="D1431" s="17" t="s">
        <v>2967</v>
      </c>
      <c r="E1431" s="19" t="s">
        <v>29</v>
      </c>
      <c r="F1431" s="19" t="s">
        <v>30</v>
      </c>
      <c r="G1431" s="20" t="s">
        <v>17</v>
      </c>
      <c r="H1431" s="20" t="s">
        <v>18</v>
      </c>
      <c r="I1431" s="19" t="str">
        <f>IMAGE("https://upload.wikimedia.org/wikipedia/commons/3/3e/Mono_Capuchino_Cara_Blanca-Parque_Nacional_Natural_Tayrona-Colombia-17.jpg")</f>
        <v/>
      </c>
    </row>
    <row r="1432" ht="36.0" customHeight="1">
      <c r="A1432" s="10" t="str">
        <f t="shared" si="184"/>
        <v>Noeliachalfoun</v>
      </c>
      <c r="B1432" s="11" t="s">
        <v>2976</v>
      </c>
      <c r="C1432" s="12">
        <v>46182.608715277776</v>
      </c>
      <c r="D1432" s="11" t="s">
        <v>2967</v>
      </c>
      <c r="E1432" s="14" t="s">
        <v>29</v>
      </c>
      <c r="F1432" s="14" t="s">
        <v>30</v>
      </c>
      <c r="G1432" s="15" t="s">
        <v>17</v>
      </c>
      <c r="H1432" s="15" t="s">
        <v>18</v>
      </c>
      <c r="I1432" s="14" t="str">
        <f>IMAGE("https://upload.wikimedia.org/wikipedia/commons/f/f4/Mono_Capuchino_Cara_Blanca-Parque_Nacional_Natural_Tayrona-Colombia-18.jpg")</f>
        <v/>
      </c>
    </row>
    <row r="1433" ht="36.0" customHeight="1">
      <c r="A1433" s="16" t="str">
        <f t="shared" si="184"/>
        <v>Noeliachalfoun</v>
      </c>
      <c r="B1433" s="17" t="s">
        <v>2977</v>
      </c>
      <c r="C1433" s="18">
        <v>46182.60851851852</v>
      </c>
      <c r="D1433" s="17" t="s">
        <v>2967</v>
      </c>
      <c r="E1433" s="19" t="s">
        <v>29</v>
      </c>
      <c r="F1433" s="19" t="s">
        <v>30</v>
      </c>
      <c r="G1433" s="20" t="s">
        <v>17</v>
      </c>
      <c r="H1433" s="20" t="s">
        <v>18</v>
      </c>
      <c r="I1433" s="19" t="str">
        <f>IMAGE("https://upload.wikimedia.org/wikipedia/commons/f/f8/Mono_Capuchino_Cara_Blanca-Parque_Nacional_Natural_Tayrona-Colombia-2.jpg")</f>
        <v/>
      </c>
    </row>
    <row r="1434" ht="36.0" customHeight="1">
      <c r="A1434" s="10" t="str">
        <f t="shared" si="184"/>
        <v>Noeliachalfoun</v>
      </c>
      <c r="B1434" s="11" t="s">
        <v>2978</v>
      </c>
      <c r="C1434" s="12">
        <v>46182.60851851852</v>
      </c>
      <c r="D1434" s="11" t="s">
        <v>2967</v>
      </c>
      <c r="E1434" s="14" t="s">
        <v>29</v>
      </c>
      <c r="F1434" s="14" t="s">
        <v>30</v>
      </c>
      <c r="G1434" s="15" t="s">
        <v>17</v>
      </c>
      <c r="H1434" s="15" t="s">
        <v>18</v>
      </c>
      <c r="I1434" s="14" t="str">
        <f>IMAGE("https://upload.wikimedia.org/wikipedia/commons/4/43/Mono_Capuchino_Cara_Blanca-Parque_Nacional_Natural_Tayrona-Colombia-3.jpg")</f>
        <v/>
      </c>
    </row>
    <row r="1435" ht="36.0" customHeight="1">
      <c r="A1435" s="16" t="str">
        <f t="shared" si="184"/>
        <v>Noeliachalfoun</v>
      </c>
      <c r="B1435" s="17" t="s">
        <v>2979</v>
      </c>
      <c r="C1435" s="18">
        <v>46182.60855324074</v>
      </c>
      <c r="D1435" s="17" t="s">
        <v>2967</v>
      </c>
      <c r="E1435" s="19" t="s">
        <v>29</v>
      </c>
      <c r="F1435" s="19" t="s">
        <v>30</v>
      </c>
      <c r="G1435" s="20" t="s">
        <v>17</v>
      </c>
      <c r="H1435" s="20" t="s">
        <v>18</v>
      </c>
      <c r="I1435" s="19" t="str">
        <f>IMAGE("https://upload.wikimedia.org/wikipedia/commons/8/86/Mono_Capuchino_Cara_Blanca-Parque_Nacional_Natural_Tayrona-Colombia-4.jpg")</f>
        <v/>
      </c>
    </row>
    <row r="1436" ht="36.0" customHeight="1">
      <c r="A1436" s="10" t="str">
        <f t="shared" si="184"/>
        <v>Noeliachalfoun</v>
      </c>
      <c r="B1436" s="11" t="s">
        <v>2980</v>
      </c>
      <c r="C1436" s="12">
        <v>46182.608564814815</v>
      </c>
      <c r="D1436" s="11" t="s">
        <v>2967</v>
      </c>
      <c r="E1436" s="14" t="s">
        <v>29</v>
      </c>
      <c r="F1436" s="14" t="s">
        <v>30</v>
      </c>
      <c r="G1436" s="15" t="s">
        <v>17</v>
      </c>
      <c r="H1436" s="15" t="s">
        <v>18</v>
      </c>
      <c r="I1436" s="14" t="str">
        <f>IMAGE("https://upload.wikimedia.org/wikipedia/commons/f/f0/Mono_Capuchino_Cara_Blanca-Parque_Nacional_Natural_Tayrona-Colombia-5.jpg")</f>
        <v/>
      </c>
    </row>
    <row r="1437" ht="36.0" customHeight="1">
      <c r="A1437" s="16" t="str">
        <f t="shared" si="184"/>
        <v>Noeliachalfoun</v>
      </c>
      <c r="B1437" s="17" t="s">
        <v>2981</v>
      </c>
      <c r="C1437" s="18">
        <v>46182.608564814815</v>
      </c>
      <c r="D1437" s="17" t="s">
        <v>2967</v>
      </c>
      <c r="E1437" s="19" t="s">
        <v>29</v>
      </c>
      <c r="F1437" s="19" t="s">
        <v>30</v>
      </c>
      <c r="G1437" s="20" t="s">
        <v>17</v>
      </c>
      <c r="H1437" s="20" t="s">
        <v>18</v>
      </c>
      <c r="I1437" s="19" t="str">
        <f>IMAGE("https://upload.wikimedia.org/wikipedia/commons/0/06/Mono_Capuchino_Cara_Blanca-Parque_Nacional_Natural_Tayrona-Colombia-6.jpg")</f>
        <v/>
      </c>
    </row>
    <row r="1438" ht="36.0" customHeight="1">
      <c r="A1438" s="10" t="str">
        <f t="shared" si="184"/>
        <v>Noeliachalfoun</v>
      </c>
      <c r="B1438" s="11" t="s">
        <v>2982</v>
      </c>
      <c r="C1438" s="12">
        <v>46182.60858796296</v>
      </c>
      <c r="D1438" s="11" t="s">
        <v>2967</v>
      </c>
      <c r="E1438" s="14" t="s">
        <v>29</v>
      </c>
      <c r="F1438" s="14" t="s">
        <v>30</v>
      </c>
      <c r="G1438" s="15" t="s">
        <v>17</v>
      </c>
      <c r="H1438" s="15" t="s">
        <v>18</v>
      </c>
      <c r="I1438" s="14" t="str">
        <f>IMAGE("https://upload.wikimedia.org/wikipedia/commons/9/98/Mono_Capuchino_Cara_Blanca-Parque_Nacional_Natural_Tayrona-Colombia-7.jpg")</f>
        <v/>
      </c>
    </row>
    <row r="1439" ht="36.0" customHeight="1">
      <c r="A1439" s="16" t="str">
        <f t="shared" si="184"/>
        <v>Noeliachalfoun</v>
      </c>
      <c r="B1439" s="17" t="s">
        <v>2983</v>
      </c>
      <c r="C1439" s="18">
        <v>46182.60859953704</v>
      </c>
      <c r="D1439" s="17" t="s">
        <v>2967</v>
      </c>
      <c r="E1439" s="19" t="s">
        <v>29</v>
      </c>
      <c r="F1439" s="19" t="s">
        <v>30</v>
      </c>
      <c r="G1439" s="20" t="s">
        <v>17</v>
      </c>
      <c r="H1439" s="20" t="s">
        <v>18</v>
      </c>
      <c r="I1439" s="19" t="str">
        <f>IMAGE("https://upload.wikimedia.org/wikipedia/commons/9/9a/Mono_Capuchino_Cara_Blanca-Parque_Nacional_Natural_Tayrona-Colombia-8.jpg")</f>
        <v/>
      </c>
    </row>
    <row r="1440" ht="36.0" customHeight="1">
      <c r="A1440" s="10" t="str">
        <f t="shared" si="184"/>
        <v>Noeliachalfoun</v>
      </c>
      <c r="B1440" s="11" t="s">
        <v>2984</v>
      </c>
      <c r="C1440" s="12">
        <v>46182.608611111114</v>
      </c>
      <c r="D1440" s="11" t="s">
        <v>2967</v>
      </c>
      <c r="E1440" s="14" t="s">
        <v>29</v>
      </c>
      <c r="F1440" s="14" t="s">
        <v>30</v>
      </c>
      <c r="G1440" s="15" t="s">
        <v>17</v>
      </c>
      <c r="H1440" s="15" t="s">
        <v>18</v>
      </c>
      <c r="I1440" s="14" t="str">
        <f>IMAGE("https://upload.wikimedia.org/wikipedia/commons/b/b2/Mono_Capuchino_Cara_Blanca-Parque_Nacional_Natural_Tayrona-Colombia-9.jpg")</f>
        <v/>
      </c>
    </row>
    <row r="1441" ht="36.0" customHeight="1">
      <c r="A1441" s="16" t="str">
        <f>HYPERLINK("https://commons.wikimedia.org/wiki/User:" &amp; ENCODEURL("Natalia gferia"), "Natalia gferia")</f>
        <v>Natalia gferia</v>
      </c>
      <c r="B1441" s="17" t="s">
        <v>2985</v>
      </c>
      <c r="C1441" s="18">
        <v>46202.59040509259</v>
      </c>
      <c r="D1441" s="17" t="s">
        <v>2986</v>
      </c>
      <c r="E1441" s="19" t="s">
        <v>29</v>
      </c>
      <c r="F1441" s="19" t="s">
        <v>30</v>
      </c>
      <c r="G1441" s="20" t="s">
        <v>17</v>
      </c>
      <c r="H1441" s="20" t="s">
        <v>18</v>
      </c>
      <c r="I1441" s="19" t="str">
        <f>IMAGE("https://upload.wikimedia.org/wikipedia/commons/4/4f/Mono_ardilla_y_su_beb%C3%A9_dormil%C3%B3n.jpg")</f>
        <v/>
      </c>
    </row>
    <row r="1442" ht="36.0" customHeight="1">
      <c r="A1442" s="10" t="str">
        <f>HYPERLINK("https://commons.wikimedia.org/wiki/User:" &amp; ENCODEURL("Diana.Gonart"), "Diana.Gonart")</f>
        <v>Diana.Gonart</v>
      </c>
      <c r="B1442" s="11" t="s">
        <v>2987</v>
      </c>
      <c r="C1442" s="12">
        <v>46202.81034722222</v>
      </c>
      <c r="D1442" s="11" t="s">
        <v>2988</v>
      </c>
      <c r="E1442" s="14" t="s">
        <v>29</v>
      </c>
      <c r="F1442" s="14" t="s">
        <v>30</v>
      </c>
      <c r="G1442" s="15" t="s">
        <v>17</v>
      </c>
      <c r="H1442" s="15" t="s">
        <v>18</v>
      </c>
      <c r="I1442" s="14" t="str">
        <f>IMAGE("https://upload.wikimedia.org/wikipedia/commons/7/70/Mono_churuco.jpg")</f>
        <v/>
      </c>
    </row>
    <row r="1443" ht="36.0" customHeight="1">
      <c r="A1443" s="16" t="str">
        <f>HYPERLINK("https://commons.wikimedia.org/wiki/User:" &amp; ENCODEURL("Mig.ast20"), "Mig.ast20")</f>
        <v>Mig.ast20</v>
      </c>
      <c r="B1443" s="17" t="s">
        <v>2989</v>
      </c>
      <c r="C1443" s="18">
        <v>46163.56998842592</v>
      </c>
      <c r="D1443" s="17" t="s">
        <v>2990</v>
      </c>
      <c r="E1443" s="19" t="s">
        <v>29</v>
      </c>
      <c r="F1443" s="19" t="s">
        <v>30</v>
      </c>
      <c r="G1443" s="20" t="s">
        <v>17</v>
      </c>
      <c r="H1443" s="20" t="s">
        <v>18</v>
      </c>
      <c r="I1443" s="19" t="str">
        <f>IMAGE("https://upload.wikimedia.org/wikipedia/commons/2/29/Mono_curioso.jpg")</f>
        <v/>
      </c>
    </row>
    <row r="1444" ht="36.0" customHeight="1">
      <c r="A1444" s="10" t="str">
        <f>HYPERLINK("https://commons.wikimedia.org/wiki/User:" &amp; ENCODEURL("Nathaly 1106"), "Nathaly 1106")</f>
        <v>Nathaly 1106</v>
      </c>
      <c r="B1444" s="11" t="s">
        <v>2991</v>
      </c>
      <c r="C1444" s="12">
        <v>46148.63138888889</v>
      </c>
      <c r="D1444" s="11" t="s">
        <v>2992</v>
      </c>
      <c r="E1444" s="14" t="s">
        <v>29</v>
      </c>
      <c r="F1444" s="14" t="s">
        <v>30</v>
      </c>
      <c r="G1444" s="15" t="s">
        <v>17</v>
      </c>
      <c r="H1444" s="15" t="s">
        <v>18</v>
      </c>
      <c r="I1444" s="14" t="str">
        <f>IMAGE("https://upload.wikimedia.org/wikipedia/commons/4/4b/Monochaetum_vulcanicum_rosa.jpg")</f>
        <v/>
      </c>
    </row>
    <row r="1445" ht="36.0" customHeight="1">
      <c r="A1445" s="16" t="str">
        <f>HYPERLINK("https://commons.wikimedia.org/wiki/User:" &amp; ENCODEURL("Mig.ast20"), "Mig.ast20")</f>
        <v>Mig.ast20</v>
      </c>
      <c r="B1445" s="17" t="s">
        <v>2993</v>
      </c>
      <c r="C1445" s="18">
        <v>46163.57302083333</v>
      </c>
      <c r="D1445" s="17" t="s">
        <v>2994</v>
      </c>
      <c r="E1445" s="19" t="s">
        <v>29</v>
      </c>
      <c r="F1445" s="19" t="s">
        <v>30</v>
      </c>
      <c r="G1445" s="20" t="s">
        <v>17</v>
      </c>
      <c r="H1445" s="20" t="s">
        <v>18</v>
      </c>
      <c r="I1445" s="19" t="str">
        <f>IMAGE("https://upload.wikimedia.org/wikipedia/commons/a/ae/Monos_titis.jpg")</f>
        <v/>
      </c>
    </row>
    <row r="1446" ht="36.0" customHeight="1">
      <c r="A1446" s="10" t="str">
        <f>HYPERLINK("https://commons.wikimedia.org/wiki/User:" &amp; ENCODEURL("NataMendietaOrtega"), "NataMendietaOrtega")</f>
        <v>NataMendietaOrtega</v>
      </c>
      <c r="B1446" s="11" t="s">
        <v>2995</v>
      </c>
      <c r="C1446" s="12">
        <v>46163.53712962963</v>
      </c>
      <c r="D1446" s="11" t="s">
        <v>2996</v>
      </c>
      <c r="E1446" s="14" t="s">
        <v>29</v>
      </c>
      <c r="F1446" s="14" t="s">
        <v>30</v>
      </c>
      <c r="G1446" s="15" t="s">
        <v>17</v>
      </c>
      <c r="H1446" s="15" t="s">
        <v>18</v>
      </c>
      <c r="I1446" s="14" t="str">
        <f>IMAGE("https://upload.wikimedia.org/wikipedia/commons/e/e6/Monserrate%2C_Bogot%C3%A1%2C_teleferico.jpg")</f>
        <v/>
      </c>
    </row>
    <row r="1447" ht="36.0" customHeight="1">
      <c r="A1447" s="16" t="str">
        <f>HYPERLINK("https://commons.wikimedia.org/wiki/User:" &amp; ENCODEURL("Dyrt.yis"), "Dyrt.yis")</f>
        <v>Dyrt.yis</v>
      </c>
      <c r="B1447" s="17" t="s">
        <v>2997</v>
      </c>
      <c r="C1447" s="18">
        <v>46163.55275462963</v>
      </c>
      <c r="D1447" s="17" t="s">
        <v>2998</v>
      </c>
      <c r="E1447" s="19" t="s">
        <v>29</v>
      </c>
      <c r="F1447" s="19" t="s">
        <v>30</v>
      </c>
      <c r="G1447" s="20" t="s">
        <v>17</v>
      </c>
      <c r="H1447" s="20" t="s">
        <v>18</v>
      </c>
      <c r="I1447" s="19" t="str">
        <f>IMAGE("https://upload.wikimedia.org/wikipedia/commons/2/27/Monserrate%2C_vista_desde_la_iglesia.jpg")</f>
        <v/>
      </c>
    </row>
    <row r="1448" ht="36.0" customHeight="1">
      <c r="A1448" s="10" t="str">
        <f>HYPERLINK("https://commons.wikimedia.org/wiki/User:" &amp; ENCODEURL("Nathaly 1106"), "Nathaly 1106")</f>
        <v>Nathaly 1106</v>
      </c>
      <c r="B1448" s="11" t="s">
        <v>2999</v>
      </c>
      <c r="C1448" s="12">
        <v>46148.957349537035</v>
      </c>
      <c r="D1448" s="11" t="s">
        <v>3000</v>
      </c>
      <c r="E1448" s="14" t="s">
        <v>29</v>
      </c>
      <c r="F1448" s="14" t="s">
        <v>30</v>
      </c>
      <c r="G1448" s="15" t="s">
        <v>17</v>
      </c>
      <c r="H1448" s="15" t="s">
        <v>18</v>
      </c>
      <c r="I1448" s="14" t="str">
        <f>IMAGE("https://upload.wikimedia.org/wikipedia/commons/7/7f/Monta%C3%B1as_desde_San_Francisco_%28Cundinamarca%29.jpg")</f>
        <v/>
      </c>
    </row>
    <row r="1449" ht="36.0" customHeight="1">
      <c r="A1449" s="16" t="str">
        <f>HYPERLINK("https://commons.wikimedia.org/wiki/User:" &amp; ENCODEURL("JuanitoCISF"), "JuanitoCISF")</f>
        <v>JuanitoCISF</v>
      </c>
      <c r="B1449" s="17" t="s">
        <v>3001</v>
      </c>
      <c r="C1449" s="18">
        <v>46170.452685185184</v>
      </c>
      <c r="D1449" s="17" t="s">
        <v>3002</v>
      </c>
      <c r="E1449" s="19" t="s">
        <v>3003</v>
      </c>
      <c r="F1449" s="20" t="s">
        <v>16</v>
      </c>
      <c r="G1449" s="20" t="s">
        <v>17</v>
      </c>
      <c r="H1449" s="20" t="s">
        <v>18</v>
      </c>
      <c r="I1449" s="19" t="str">
        <f>IMAGE("https://upload.wikimedia.org/wikipedia/commons/6/60/Montes_naranjas.jpg")</f>
        <v/>
      </c>
    </row>
    <row r="1450" ht="36.0" customHeight="1">
      <c r="A1450" s="10" t="str">
        <f>HYPERLINK("https://commons.wikimedia.org/wiki/User:" &amp; ENCODEURL("Yiyi93"), "Yiyi93")</f>
        <v>Yiyi93</v>
      </c>
      <c r="B1450" s="11" t="s">
        <v>3004</v>
      </c>
      <c r="C1450" s="12">
        <v>46163.58153935185</v>
      </c>
      <c r="D1450" s="11" t="s">
        <v>3005</v>
      </c>
      <c r="E1450" s="14" t="s">
        <v>29</v>
      </c>
      <c r="F1450" s="14" t="s">
        <v>30</v>
      </c>
      <c r="G1450" s="15" t="s">
        <v>17</v>
      </c>
      <c r="H1450" s="15" t="s">
        <v>18</v>
      </c>
      <c r="I1450" s="14" t="str">
        <f>IMAGE("https://upload.wikimedia.org/wikipedia/commons/3/37/Monumento_corceles_de_la_libertad_%2C_sotaquir%C3%A1.jpg")</f>
        <v/>
      </c>
    </row>
    <row r="1451" ht="36.0" customHeight="1">
      <c r="A1451" s="16" t="str">
        <f>HYPERLINK("https://commons.wikimedia.org/wiki/User:" &amp; ENCODEURL("DeibyJk"), "DeibyJk")</f>
        <v>DeibyJk</v>
      </c>
      <c r="B1451" s="17" t="s">
        <v>3006</v>
      </c>
      <c r="C1451" s="18">
        <v>46166.94189814815</v>
      </c>
      <c r="D1451" s="17" t="s">
        <v>158</v>
      </c>
      <c r="E1451" s="19" t="s">
        <v>29</v>
      </c>
      <c r="F1451" s="19" t="s">
        <v>30</v>
      </c>
      <c r="G1451" s="20" t="s">
        <v>17</v>
      </c>
      <c r="H1451" s="20" t="s">
        <v>18</v>
      </c>
      <c r="I1451" s="19" t="str">
        <f>IMAGE("https://upload.wikimedia.org/wikipedia/commons/a/a0/Moradashuila_04.jpg")</f>
        <v/>
      </c>
    </row>
    <row r="1452" ht="36.0" customHeight="1">
      <c r="A1452" s="10" t="str">
        <f>HYPERLINK("https://commons.wikimedia.org/wiki/User:" &amp; ENCODEURL("JJCL09"), "JJCL09")</f>
        <v>JJCL09</v>
      </c>
      <c r="B1452" s="11" t="s">
        <v>3007</v>
      </c>
      <c r="C1452" s="12">
        <v>46147.88153935185</v>
      </c>
      <c r="D1452" s="11" t="s">
        <v>3008</v>
      </c>
      <c r="E1452" s="14" t="s">
        <v>29</v>
      </c>
      <c r="F1452" s="14" t="s">
        <v>30</v>
      </c>
      <c r="G1452" s="15" t="s">
        <v>17</v>
      </c>
      <c r="H1452" s="15" t="s">
        <v>18</v>
      </c>
      <c r="I1452" s="14" t="str">
        <f>IMAGE("https://upload.wikimedia.org/wikipedia/commons/c/c4/Morado_negro.jpg")</f>
        <v/>
      </c>
    </row>
    <row r="1453" ht="36.0" customHeight="1">
      <c r="A1453" s="16" t="str">
        <f>HYPERLINK("https://commons.wikimedia.org/wiki/User:" &amp; ENCODEURL("Mar 21DS"), "Mar 21DS")</f>
        <v>Mar 21DS</v>
      </c>
      <c r="B1453" s="17" t="s">
        <v>3009</v>
      </c>
      <c r="C1453" s="18">
        <v>46163.52496527778</v>
      </c>
      <c r="D1453" s="17" t="s">
        <v>3010</v>
      </c>
      <c r="E1453" s="19" t="s">
        <v>29</v>
      </c>
      <c r="F1453" s="19" t="s">
        <v>30</v>
      </c>
      <c r="G1453" s="20" t="s">
        <v>17</v>
      </c>
      <c r="H1453" s="20" t="s">
        <v>18</v>
      </c>
      <c r="I1453" s="19" t="str">
        <f>IMAGE("https://upload.wikimedia.org/wikipedia/commons/8/8d/Morro_de_Gaira.jpg")</f>
        <v/>
      </c>
    </row>
    <row r="1454" ht="36.0" customHeight="1">
      <c r="A1454" s="10" t="str">
        <f>HYPERLINK("https://commons.wikimedia.org/wiki/User:" &amp; ENCODEURL("Nathaly 1106"), "Nathaly 1106")</f>
        <v>Nathaly 1106</v>
      </c>
      <c r="B1454" s="11" t="s">
        <v>3011</v>
      </c>
      <c r="C1454" s="12">
        <v>46148.95715277778</v>
      </c>
      <c r="D1454" s="11" t="s">
        <v>3012</v>
      </c>
      <c r="E1454" s="14" t="s">
        <v>29</v>
      </c>
      <c r="F1454" s="14" t="s">
        <v>30</v>
      </c>
      <c r="G1454" s="15" t="s">
        <v>17</v>
      </c>
      <c r="H1454" s="15" t="s">
        <v>18</v>
      </c>
      <c r="I1454" s="14" t="str">
        <f>IMAGE("https://upload.wikimedia.org/wikipedia/commons/2/26/Morro_desde_El_Rodadero_%28Santa_Marta%29.jpg")</f>
        <v/>
      </c>
    </row>
    <row r="1455" ht="36.0" customHeight="1">
      <c r="A1455" s="16" t="str">
        <f>HYPERLINK("https://commons.wikimedia.org/wiki/User:" &amp; ENCODEURL("Alzevi"), "Alzevi")</f>
        <v>Alzevi</v>
      </c>
      <c r="B1455" s="17" t="s">
        <v>3013</v>
      </c>
      <c r="C1455" s="18">
        <v>46149.55134259259</v>
      </c>
      <c r="D1455" s="17" t="s">
        <v>3014</v>
      </c>
      <c r="E1455" s="19" t="s">
        <v>29</v>
      </c>
      <c r="F1455" s="19" t="s">
        <v>30</v>
      </c>
      <c r="G1455" s="20" t="s">
        <v>17</v>
      </c>
      <c r="H1455" s="20" t="s">
        <v>18</v>
      </c>
      <c r="I1455" s="19" t="str">
        <f>IMAGE("https://upload.wikimedia.org/wikipedia/commons/3/3c/Mosca_de_las_flores.jpg")</f>
        <v/>
      </c>
    </row>
    <row r="1456" ht="36.0" customHeight="1">
      <c r="A1456" s="10" t="str">
        <f>HYPERLINK("https://commons.wikimedia.org/wiki/User:" &amp; ENCODEURL("NicolleTorresG"), "NicolleTorresG")</f>
        <v>NicolleTorresG</v>
      </c>
      <c r="B1456" s="11" t="s">
        <v>3015</v>
      </c>
      <c r="C1456" s="12">
        <v>46199.93896990741</v>
      </c>
      <c r="D1456" s="11" t="s">
        <v>3016</v>
      </c>
      <c r="E1456" s="14" t="s">
        <v>3017</v>
      </c>
      <c r="F1456" s="15" t="s">
        <v>16</v>
      </c>
      <c r="G1456" s="15" t="s">
        <v>17</v>
      </c>
      <c r="H1456" s="15" t="s">
        <v>18</v>
      </c>
      <c r="I1456" s="14" t="str">
        <f>IMAGE("https://upload.wikimedia.org/wikipedia/commons/4/4d/Mosquero_Cardenal_-_Pyrocephalus_rubinus.jpg")</f>
        <v/>
      </c>
    </row>
    <row r="1457" ht="36.0" customHeight="1">
      <c r="A1457" s="16" t="str">
        <f>HYPERLINK("https://commons.wikimedia.org/wiki/User:" &amp; ENCODEURL("Johan Andrés Toro"), "Johan Andrés Toro")</f>
        <v>Johan Andrés Toro</v>
      </c>
      <c r="B1457" s="17" t="s">
        <v>3018</v>
      </c>
      <c r="C1457" s="18">
        <v>46171.55564814815</v>
      </c>
      <c r="D1457" s="17" t="s">
        <v>3019</v>
      </c>
      <c r="E1457" s="19" t="s">
        <v>29</v>
      </c>
      <c r="F1457" s="19" t="s">
        <v>30</v>
      </c>
      <c r="G1457" s="20" t="s">
        <v>17</v>
      </c>
      <c r="H1457" s="20" t="s">
        <v>18</v>
      </c>
      <c r="I1457" s="19" t="str">
        <f>IMAGE("https://upload.wikimedia.org/wikipedia/commons/e/ec/Movilidad_rural_y_transporte_alternativo_en_el_valle_del_Magdalena.jpg")</f>
        <v/>
      </c>
    </row>
    <row r="1458" ht="36.0" customHeight="1">
      <c r="A1458" s="10" t="str">
        <f>HYPERLINK("https://commons.wikimedia.org/wiki/User:" &amp; ENCODEURL("Zolsemiya"), "Zolsemiya")</f>
        <v>Zolsemiya</v>
      </c>
      <c r="B1458" s="11" t="s">
        <v>3020</v>
      </c>
      <c r="C1458" s="12">
        <v>46203.74909722222</v>
      </c>
      <c r="D1458" s="11" t="s">
        <v>3021</v>
      </c>
      <c r="E1458" s="14" t="s">
        <v>29</v>
      </c>
      <c r="F1458" s="14" t="s">
        <v>30</v>
      </c>
      <c r="G1458" s="15" t="s">
        <v>17</v>
      </c>
      <c r="H1458" s="15" t="s">
        <v>18</v>
      </c>
      <c r="I1458" s="14" t="str">
        <f>IMAGE("https://upload.wikimedia.org/wikipedia/commons/f/f5/Muerte_en_Guatape.jpg")</f>
        <v/>
      </c>
    </row>
    <row r="1459" ht="36.0" customHeight="1">
      <c r="A1459" s="16" t="str">
        <f>HYPERLINK("https://commons.wikimedia.org/wiki/User:" &amp; ENCODEURL("Elibasan"), "Elibasan")</f>
        <v>Elibasan</v>
      </c>
      <c r="B1459" s="17" t="s">
        <v>3022</v>
      </c>
      <c r="C1459" s="18">
        <v>46193.45425925926</v>
      </c>
      <c r="D1459" s="17" t="s">
        <v>3023</v>
      </c>
      <c r="E1459" s="19" t="s">
        <v>29</v>
      </c>
      <c r="F1459" s="19" t="s">
        <v>30</v>
      </c>
      <c r="G1459" s="20" t="s">
        <v>17</v>
      </c>
      <c r="H1459" s="20" t="s">
        <v>18</v>
      </c>
      <c r="I1459" s="19" t="str">
        <f>IMAGE("https://upload.wikimedia.org/wikipedia/commons/6/67/Mundo_Fung%C3%AD.jpg")</f>
        <v/>
      </c>
    </row>
    <row r="1460" ht="36.0" customHeight="1">
      <c r="A1460" s="10" t="str">
        <f t="shared" ref="A1460:A1462" si="185">HYPERLINK("https://commons.wikimedia.org/wiki/User:" &amp; ENCODEURL("Nbareschu"), "Nbareschu")</f>
        <v>Nbareschu</v>
      </c>
      <c r="B1460" s="11" t="s">
        <v>3024</v>
      </c>
      <c r="C1460" s="12">
        <v>46149.421064814815</v>
      </c>
      <c r="D1460" s="11" t="s">
        <v>3025</v>
      </c>
      <c r="E1460" s="14" t="s">
        <v>3026</v>
      </c>
      <c r="F1460" s="15" t="s">
        <v>16</v>
      </c>
      <c r="G1460" s="15" t="s">
        <v>17</v>
      </c>
      <c r="H1460" s="15" t="s">
        <v>18</v>
      </c>
      <c r="I1460" s="14" t="str">
        <f>IMAGE("https://upload.wikimedia.org/wikipedia/commons/1/13/Musgo_del_P%C3%A1ramo.jpg")</f>
        <v/>
      </c>
    </row>
    <row r="1461" ht="36.0" customHeight="1">
      <c r="A1461" s="16" t="str">
        <f t="shared" si="185"/>
        <v>Nbareschu</v>
      </c>
      <c r="B1461" s="17" t="s">
        <v>3027</v>
      </c>
      <c r="C1461" s="18">
        <v>46149.42123842592</v>
      </c>
      <c r="D1461" s="17" t="s">
        <v>3028</v>
      </c>
      <c r="E1461" s="19" t="s">
        <v>3029</v>
      </c>
      <c r="F1461" s="20" t="s">
        <v>16</v>
      </c>
      <c r="G1461" s="20" t="s">
        <v>17</v>
      </c>
      <c r="H1461" s="20" t="s">
        <v>18</v>
      </c>
      <c r="I1461" s="19" t="str">
        <f>IMAGE("https://upload.wikimedia.org/wikipedia/commons/4/4a/Musgo_en_espiral.jpg")</f>
        <v/>
      </c>
    </row>
    <row r="1462" ht="36.0" customHeight="1">
      <c r="A1462" s="10" t="str">
        <f t="shared" si="185"/>
        <v>Nbareschu</v>
      </c>
      <c r="B1462" s="11" t="s">
        <v>3030</v>
      </c>
      <c r="C1462" s="12">
        <v>46149.421261574076</v>
      </c>
      <c r="D1462" s="11" t="s">
        <v>3031</v>
      </c>
      <c r="E1462" s="14" t="s">
        <v>3032</v>
      </c>
      <c r="F1462" s="15" t="s">
        <v>16</v>
      </c>
      <c r="G1462" s="15" t="s">
        <v>17</v>
      </c>
      <c r="H1462" s="15" t="s">
        <v>18</v>
      </c>
      <c r="I1462" s="14" t="str">
        <f>IMAGE("https://upload.wikimedia.org/wikipedia/commons/b/b9/Musgo_negro.jpg")</f>
        <v/>
      </c>
    </row>
    <row r="1463" ht="36.0" customHeight="1">
      <c r="A1463" s="16" t="str">
        <f>HYPERLINK("https://commons.wikimedia.org/wiki/User:" &amp; ENCODEURL("NunuAiyi"), "NunuAiyi")</f>
        <v>NunuAiyi</v>
      </c>
      <c r="B1463" s="17" t="s">
        <v>3033</v>
      </c>
      <c r="C1463" s="18">
        <v>46203.85873842592</v>
      </c>
      <c r="D1463" s="17" t="s">
        <v>3034</v>
      </c>
      <c r="E1463" s="19" t="s">
        <v>29</v>
      </c>
      <c r="F1463" s="19" t="s">
        <v>30</v>
      </c>
      <c r="G1463" s="20" t="s">
        <v>17</v>
      </c>
      <c r="H1463" s="20" t="s">
        <v>18</v>
      </c>
      <c r="I1463" s="19" t="str">
        <f>IMAGE("https://upload.wikimedia.org/wikipedia/commons/4/4e/Mu%C3%A9rdago.jpg")</f>
        <v/>
      </c>
    </row>
    <row r="1464" ht="36.0" customHeight="1">
      <c r="A1464" s="10" t="str">
        <f t="shared" ref="A1464:A1466" si="186">HYPERLINK("https://commons.wikimedia.org/wiki/User:" &amp; ENCODEURL("Diferoch"), "Diferoch")</f>
        <v>Diferoch</v>
      </c>
      <c r="B1464" s="11" t="s">
        <v>3035</v>
      </c>
      <c r="C1464" s="12">
        <v>46202.93497685185</v>
      </c>
      <c r="D1464" s="11" t="s">
        <v>3036</v>
      </c>
      <c r="E1464" s="14" t="s">
        <v>3037</v>
      </c>
      <c r="F1464" s="15" t="s">
        <v>16</v>
      </c>
      <c r="G1464" s="15" t="s">
        <v>17</v>
      </c>
      <c r="H1464" s="15" t="s">
        <v>18</v>
      </c>
      <c r="I1464" s="14" t="str">
        <f>IMAGE("https://upload.wikimedia.org/wikipedia/commons/8/89/Myiozetetes_-_Barrancabermeja%2C_Santander%2C_Colombia_-_31_Dec_2025_-_Diferoch.jpg")</f>
        <v/>
      </c>
    </row>
    <row r="1465" ht="36.0" customHeight="1">
      <c r="A1465" s="16" t="str">
        <f t="shared" si="186"/>
        <v>Diferoch</v>
      </c>
      <c r="B1465" s="17" t="s">
        <v>3038</v>
      </c>
      <c r="C1465" s="18">
        <v>46202.907118055555</v>
      </c>
      <c r="D1465" s="17" t="s">
        <v>3039</v>
      </c>
      <c r="E1465" s="19" t="s">
        <v>3040</v>
      </c>
      <c r="F1465" s="20" t="s">
        <v>16</v>
      </c>
      <c r="G1465" s="20" t="s">
        <v>17</v>
      </c>
      <c r="H1465" s="20" t="s">
        <v>18</v>
      </c>
      <c r="I1465" s="19" t="str">
        <f>IMAGE("https://upload.wikimedia.org/wikipedia/commons/2/2e/Myiozetetes_cayanensis_hellmayri_-_Barrancabermeja%2C_Santander%2C_Colombia_-_16_Nov_2025_-_Diferoch.jpg")</f>
        <v/>
      </c>
    </row>
    <row r="1466" ht="36.0" customHeight="1">
      <c r="A1466" s="10" t="str">
        <f t="shared" si="186"/>
        <v>Diferoch</v>
      </c>
      <c r="B1466" s="11" t="s">
        <v>3041</v>
      </c>
      <c r="C1466" s="12">
        <v>46202.93497685185</v>
      </c>
      <c r="D1466" s="11" t="s">
        <v>3039</v>
      </c>
      <c r="E1466" s="14" t="s">
        <v>3042</v>
      </c>
      <c r="F1466" s="15" t="s">
        <v>16</v>
      </c>
      <c r="G1466" s="15" t="s">
        <v>17</v>
      </c>
      <c r="H1466" s="15" t="s">
        <v>18</v>
      </c>
      <c r="I1466" s="14" t="str">
        <f>IMAGE("https://upload.wikimedia.org/wikipedia/commons/2/22/Myiozetetes_cayanensis_hellmayri_-_Barrancabermeja%2C_Santander%2C_Colombia_-_31_Dec_2025_-_Diferoch.jpg")</f>
        <v/>
      </c>
    </row>
    <row r="1467" ht="36.0" customHeight="1">
      <c r="A1467" s="16" t="str">
        <f>HYPERLINK("https://commons.wikimedia.org/wiki/User:" &amp; ENCODEURL("Atomini"), "Atomini")</f>
        <v>Atomini</v>
      </c>
      <c r="B1467" s="17" t="s">
        <v>3043</v>
      </c>
      <c r="C1467" s="18">
        <v>46203.44510416667</v>
      </c>
      <c r="D1467" s="17" t="s">
        <v>3044</v>
      </c>
      <c r="E1467" s="19" t="s">
        <v>29</v>
      </c>
      <c r="F1467" s="19" t="s">
        <v>30</v>
      </c>
      <c r="G1467" s="20" t="s">
        <v>17</v>
      </c>
      <c r="H1467" s="20" t="s">
        <v>18</v>
      </c>
      <c r="I1467" s="19" t="str">
        <f>IMAGE("https://upload.wikimedia.org/wikipedia/commons/c/cd/Myriophyllum_aquaticum_texture.jpg")</f>
        <v/>
      </c>
    </row>
    <row r="1468" ht="36.0" customHeight="1">
      <c r="A1468" s="10" t="str">
        <f>HYPERLINK("https://commons.wikimedia.org/wiki/User:" &amp; ENCODEURL("Laupedrazaa"), "Laupedrazaa")</f>
        <v>Laupedrazaa</v>
      </c>
      <c r="B1468" s="11" t="s">
        <v>3045</v>
      </c>
      <c r="C1468" s="12">
        <v>46167.86744212963</v>
      </c>
      <c r="D1468" s="11" t="s">
        <v>3046</v>
      </c>
      <c r="E1468" s="14" t="s">
        <v>29</v>
      </c>
      <c r="F1468" s="14" t="s">
        <v>30</v>
      </c>
      <c r="G1468" s="15" t="s">
        <v>17</v>
      </c>
      <c r="H1468" s="15" t="s">
        <v>18</v>
      </c>
      <c r="I1468" s="14" t="str">
        <f>IMAGE("https://upload.wikimedia.org/wikipedia/commons/e/e4/M%C3%A1s_all%C3%A1_del_muro.jpg")</f>
        <v/>
      </c>
    </row>
    <row r="1469" ht="36.0" customHeight="1">
      <c r="A1469" s="16" t="str">
        <f>HYPERLINK("https://commons.wikimedia.org/wiki/User:" &amp; ENCODEURL("Elprofeta91"), "Elprofeta91")</f>
        <v>Elprofeta91</v>
      </c>
      <c r="B1469" s="17" t="s">
        <v>3047</v>
      </c>
      <c r="C1469" s="18">
        <v>46147.79094907407</v>
      </c>
      <c r="D1469" s="17" t="s">
        <v>32</v>
      </c>
      <c r="E1469" s="19" t="s">
        <v>3048</v>
      </c>
      <c r="F1469" s="20" t="s">
        <v>16</v>
      </c>
      <c r="G1469" s="20" t="s">
        <v>17</v>
      </c>
      <c r="H1469" s="20" t="s">
        <v>18</v>
      </c>
      <c r="I1469" s="19" t="str">
        <f>IMAGE("https://upload.wikimedia.org/wikipedia/commons/7/7b/M%C3%A1s_all%C3%A1_del_pueblo.jpg")</f>
        <v/>
      </c>
    </row>
    <row r="1470" ht="36.0" customHeight="1">
      <c r="A1470" s="10" t="str">
        <f>HYPERLINK("https://commons.wikimedia.org/wiki/User:" &amp; ENCODEURL("Joseeem"), "Joseeem")</f>
        <v>Joseeem</v>
      </c>
      <c r="B1470" s="11" t="s">
        <v>3049</v>
      </c>
      <c r="C1470" s="12">
        <v>46156.94505787037</v>
      </c>
      <c r="D1470" s="11" t="s">
        <v>3050</v>
      </c>
      <c r="E1470" s="14" t="s">
        <v>29</v>
      </c>
      <c r="F1470" s="14" t="s">
        <v>30</v>
      </c>
      <c r="G1470" s="15" t="s">
        <v>17</v>
      </c>
      <c r="H1470" s="15" t="s">
        <v>18</v>
      </c>
      <c r="I1470" s="14" t="str">
        <f>IMAGE("https://upload.wikimedia.org/wikipedia/commons/d/d5/Natural_National_Park.jpg")</f>
        <v/>
      </c>
    </row>
    <row r="1471" ht="36.0" customHeight="1">
      <c r="A1471" s="16" t="str">
        <f>HYPERLINK("https://commons.wikimedia.org/wiki/User:" &amp; ENCODEURL("Maximo10momeridio"), "Maximo10momeridio")</f>
        <v>Maximo10momeridio</v>
      </c>
      <c r="B1471" s="17" t="s">
        <v>3051</v>
      </c>
      <c r="C1471" s="18">
        <v>46163.56693287037</v>
      </c>
      <c r="D1471" s="17" t="s">
        <v>3052</v>
      </c>
      <c r="E1471" s="19" t="s">
        <v>29</v>
      </c>
      <c r="F1471" s="19" t="s">
        <v>30</v>
      </c>
      <c r="G1471" s="20" t="s">
        <v>17</v>
      </c>
      <c r="H1471" s="20" t="s">
        <v>18</v>
      </c>
      <c r="I1471" s="19" t="str">
        <f>IMAGE("https://upload.wikimedia.org/wikipedia/commons/3/38/Naturaleza_rio_sinu.jpg")</f>
        <v/>
      </c>
    </row>
    <row r="1472" ht="36.0" customHeight="1">
      <c r="A1472" s="10" t="str">
        <f>HYPERLINK("https://commons.wikimedia.org/wiki/User:" &amp; ENCODEURL("Laupedrazaa"), "Laupedrazaa")</f>
        <v>Laupedrazaa</v>
      </c>
      <c r="B1472" s="11" t="s">
        <v>3053</v>
      </c>
      <c r="C1472" s="12">
        <v>46167.85732638889</v>
      </c>
      <c r="D1472" s="11" t="s">
        <v>3054</v>
      </c>
      <c r="E1472" s="14" t="s">
        <v>29</v>
      </c>
      <c r="F1472" s="14" t="s">
        <v>30</v>
      </c>
      <c r="G1472" s="15" t="s">
        <v>17</v>
      </c>
      <c r="H1472" s="15" t="s">
        <v>18</v>
      </c>
      <c r="I1472" s="14" t="str">
        <f>IMAGE("https://upload.wikimedia.org/wikipedia/commons/b/bb/Naturaleza_santandereana.jpg")</f>
        <v/>
      </c>
    </row>
    <row r="1473" ht="36.0" customHeight="1">
      <c r="A1473" s="16" t="str">
        <f>HYPERLINK("https://commons.wikimedia.org/wiki/User:" &amp; ENCODEURL("ColombianFibonacci"), "ColombianFibonacci")</f>
        <v>ColombianFibonacci</v>
      </c>
      <c r="B1473" s="17" t="s">
        <v>3055</v>
      </c>
      <c r="C1473" s="18">
        <v>46162.70719907407</v>
      </c>
      <c r="D1473" s="17" t="s">
        <v>3056</v>
      </c>
      <c r="E1473" s="19" t="s">
        <v>29</v>
      </c>
      <c r="F1473" s="19" t="s">
        <v>30</v>
      </c>
      <c r="G1473" s="20" t="s">
        <v>17</v>
      </c>
      <c r="H1473" s="20" t="s">
        <v>18</v>
      </c>
      <c r="I1473" s="19" t="str">
        <f>IMAGE("https://upload.wikimedia.org/wikipedia/commons/6/64/Nature_carved_this_masterpiece_%F0%9F%AA%A8_Palomino%2C_La_Guajira.jpg")</f>
        <v/>
      </c>
    </row>
    <row r="1474" ht="36.0" customHeight="1">
      <c r="A1474" s="10" t="str">
        <f>HYPERLINK("https://commons.wikimedia.org/wiki/User:" &amp; ENCODEURL("Maracome"), "Maracome")</f>
        <v>Maracome</v>
      </c>
      <c r="B1474" s="11" t="s">
        <v>3057</v>
      </c>
      <c r="C1474" s="12">
        <v>46149.953043981484</v>
      </c>
      <c r="D1474" s="11" t="s">
        <v>3058</v>
      </c>
      <c r="E1474" s="14" t="s">
        <v>29</v>
      </c>
      <c r="F1474" s="14" t="s">
        <v>30</v>
      </c>
      <c r="G1474" s="15" t="s">
        <v>17</v>
      </c>
      <c r="H1474" s="15" t="s">
        <v>18</v>
      </c>
      <c r="I1474" s="14" t="str">
        <f>IMAGE("https://upload.wikimedia.org/wikipedia/commons/5/5e/Necocl%C3%AD%2C_Antioquia._2025_05_30.jpg")</f>
        <v/>
      </c>
    </row>
    <row r="1475" ht="36.0" customHeight="1">
      <c r="A1475" s="16" t="str">
        <f>HYPERLINK("https://commons.wikimedia.org/wiki/User:" &amp; ENCODEURL("Juan Carlos Sáenz Rodríguez"), "Juan Carlos Sáenz Rodríguez")</f>
        <v>Juan Carlos Sáenz Rodríguez</v>
      </c>
      <c r="B1475" s="17" t="s">
        <v>3059</v>
      </c>
      <c r="C1475" s="18">
        <v>46194.58321759259</v>
      </c>
      <c r="D1475" s="17" t="s">
        <v>3060</v>
      </c>
      <c r="E1475" s="19" t="s">
        <v>29</v>
      </c>
      <c r="F1475" s="19" t="s">
        <v>30</v>
      </c>
      <c r="G1475" s="20" t="s">
        <v>17</v>
      </c>
      <c r="H1475" s="20" t="s">
        <v>18</v>
      </c>
      <c r="I1475" s="19" t="str">
        <f>IMAGE("https://upload.wikimedia.org/wikipedia/commons/e/e8/Nen%C3%BAfar_Laguna_de_Ubaque.jpg")</f>
        <v/>
      </c>
    </row>
    <row r="1476" ht="36.0" customHeight="1">
      <c r="A1476" s="10" t="str">
        <f>HYPERLINK("https://commons.wikimedia.org/wiki/User:" &amp; ENCODEURL("Oscarvelascomora"), "Oscarvelascomora")</f>
        <v>Oscarvelascomora</v>
      </c>
      <c r="B1476" s="11" t="s">
        <v>3061</v>
      </c>
      <c r="C1476" s="12">
        <v>46151.68304398148</v>
      </c>
      <c r="D1476" s="11" t="s">
        <v>3062</v>
      </c>
      <c r="E1476" s="14" t="s">
        <v>29</v>
      </c>
      <c r="F1476" s="14" t="s">
        <v>30</v>
      </c>
      <c r="G1476" s="15" t="s">
        <v>17</v>
      </c>
      <c r="H1476" s="15" t="s">
        <v>18</v>
      </c>
      <c r="I1476" s="14" t="str">
        <f>IMAGE("https://upload.wikimedia.org/wikipedia/commons/9/9d/Nen%C3%BAfares_Amazonas_Colombia.jpg")</f>
        <v/>
      </c>
    </row>
    <row r="1477" ht="36.0" customHeight="1">
      <c r="A1477" s="16" t="str">
        <f t="shared" ref="A1477:A1478" si="187">HYPERLINK("https://commons.wikimedia.org/wiki/User:" &amp; ENCODEURL("AmiGueko"), "AmiGueko")</f>
        <v>AmiGueko</v>
      </c>
      <c r="B1477" s="17" t="s">
        <v>3063</v>
      </c>
      <c r="C1477" s="18">
        <v>46177.898414351854</v>
      </c>
      <c r="D1477" s="17" t="s">
        <v>3064</v>
      </c>
      <c r="E1477" s="19" t="s">
        <v>2108</v>
      </c>
      <c r="F1477" s="20" t="s">
        <v>16</v>
      </c>
      <c r="G1477" s="20" t="s">
        <v>17</v>
      </c>
      <c r="H1477" s="20" t="s">
        <v>18</v>
      </c>
      <c r="I1477" s="19" t="str">
        <f>IMAGE("https://upload.wikimedia.org/wikipedia/commons/3/36/Neoregelia-Bromeliaceae.jpg")</f>
        <v/>
      </c>
    </row>
    <row r="1478" ht="36.0" customHeight="1">
      <c r="A1478" s="10" t="str">
        <f t="shared" si="187"/>
        <v>AmiGueko</v>
      </c>
      <c r="B1478" s="11" t="s">
        <v>3065</v>
      </c>
      <c r="C1478" s="12">
        <v>46178.396099537036</v>
      </c>
      <c r="D1478" s="11" t="s">
        <v>3066</v>
      </c>
      <c r="E1478" s="14" t="s">
        <v>103</v>
      </c>
      <c r="F1478" s="15" t="s">
        <v>16</v>
      </c>
      <c r="G1478" s="15" t="s">
        <v>17</v>
      </c>
      <c r="H1478" s="15" t="s">
        <v>18</v>
      </c>
      <c r="I1478" s="14" t="str">
        <f>IMAGE("https://upload.wikimedia.org/wikipedia/commons/3/36/Neoregelia-Bromeliaceae_mayo_de_2026.jpg")</f>
        <v/>
      </c>
    </row>
    <row r="1479" ht="36.0" customHeight="1">
      <c r="A1479" s="16" t="str">
        <f>HYPERLINK("https://commons.wikimedia.org/wiki/User:" &amp; ENCODEURL("Judcar"), "Judcar")</f>
        <v>Judcar</v>
      </c>
      <c r="B1479" s="17" t="s">
        <v>3067</v>
      </c>
      <c r="C1479" s="18">
        <v>46163.56935185185</v>
      </c>
      <c r="D1479" s="17" t="s">
        <v>3068</v>
      </c>
      <c r="E1479" s="19" t="s">
        <v>29</v>
      </c>
      <c r="F1479" s="19" t="s">
        <v>30</v>
      </c>
      <c r="G1479" s="20" t="s">
        <v>17</v>
      </c>
      <c r="H1479" s="20" t="s">
        <v>18</v>
      </c>
      <c r="I1479" s="19" t="str">
        <f>IMAGE("https://upload.wikimedia.org/wikipedia/commons/b/b7/Nephrolepis_cordifolia_Jard%C3%ADn_Botanico_Bogot%C3%A1.jpg")</f>
        <v/>
      </c>
    </row>
    <row r="1480" ht="36.0" customHeight="1">
      <c r="A1480" s="10" t="str">
        <f>HYPERLINK("https://commons.wikimedia.org/wiki/User:" &amp; ENCODEURL("JuanitoCISF"), "JuanitoCISF")</f>
        <v>JuanitoCISF</v>
      </c>
      <c r="B1480" s="11" t="s">
        <v>3069</v>
      </c>
      <c r="C1480" s="12">
        <v>46170.43733796296</v>
      </c>
      <c r="D1480" s="11" t="s">
        <v>3070</v>
      </c>
      <c r="E1480" s="14" t="s">
        <v>3071</v>
      </c>
      <c r="F1480" s="15" t="s">
        <v>16</v>
      </c>
      <c r="G1480" s="15" t="s">
        <v>17</v>
      </c>
      <c r="H1480" s="15" t="s">
        <v>18</v>
      </c>
      <c r="I1480" s="14" t="str">
        <f>IMAGE("https://upload.wikimedia.org/wikipedia/commons/0/00/Neusa_desde_las_alturas.jpg")</f>
        <v/>
      </c>
    </row>
    <row r="1481" ht="36.0" customHeight="1">
      <c r="A1481" s="16" t="str">
        <f>HYPERLINK("https://commons.wikimedia.org/wiki/User:" &amp; ENCODEURL("Torozuluaga"), "Torozuluaga")</f>
        <v>Torozuluaga</v>
      </c>
      <c r="B1481" s="17" t="s">
        <v>3072</v>
      </c>
      <c r="C1481" s="18">
        <v>46145.381840277776</v>
      </c>
      <c r="D1481" s="17" t="s">
        <v>3073</v>
      </c>
      <c r="E1481" s="19" t="s">
        <v>29</v>
      </c>
      <c r="F1481" s="19" t="s">
        <v>30</v>
      </c>
      <c r="G1481" s="20" t="s">
        <v>17</v>
      </c>
      <c r="H1481" s="20" t="s">
        <v>18</v>
      </c>
      <c r="I1481" s="19" t="str">
        <f>IMAGE("https://upload.wikimedia.org/wikipedia/commons/1/1d/Nevada_en_la_cordillera_Central.jpg")</f>
        <v/>
      </c>
    </row>
    <row r="1482" ht="36.0" customHeight="1">
      <c r="A1482" s="10" t="str">
        <f>HYPERLINK("https://commons.wikimedia.org/wiki/User:" &amp; ENCODEURL("AmiGueko"), "AmiGueko")</f>
        <v>AmiGueko</v>
      </c>
      <c r="B1482" s="11" t="s">
        <v>3074</v>
      </c>
      <c r="C1482" s="12">
        <v>46157.854780092595</v>
      </c>
      <c r="D1482" s="11" t="s">
        <v>3075</v>
      </c>
      <c r="E1482" s="14" t="s">
        <v>3076</v>
      </c>
      <c r="F1482" s="15" t="s">
        <v>16</v>
      </c>
      <c r="G1482" s="15" t="s">
        <v>17</v>
      </c>
      <c r="H1482" s="15" t="s">
        <v>18</v>
      </c>
      <c r="I1482" s="14" t="str">
        <f>IMAGE("https://upload.wikimedia.org/wikipedia/commons/5/5d/Nevado_del_Ruiz_a_la_altura_de_Manizales.jpg")</f>
        <v/>
      </c>
    </row>
    <row r="1483" ht="36.0" customHeight="1">
      <c r="A1483" s="16" t="str">
        <f>HYPERLINK("https://commons.wikimedia.org/wiki/User:" &amp; ENCODEURL("AntonioEliseo"), "AntonioEliseo")</f>
        <v>AntonioEliseo</v>
      </c>
      <c r="B1483" s="17" t="s">
        <v>3077</v>
      </c>
      <c r="C1483" s="18">
        <v>46203.83770833333</v>
      </c>
      <c r="D1483" s="17" t="s">
        <v>3078</v>
      </c>
      <c r="E1483" s="19" t="s">
        <v>3079</v>
      </c>
      <c r="F1483" s="20" t="s">
        <v>16</v>
      </c>
      <c r="G1483" s="20" t="s">
        <v>17</v>
      </c>
      <c r="H1483" s="20" t="s">
        <v>18</v>
      </c>
      <c r="I1483" s="19" t="str">
        <f>IMAGE("https://upload.wikimedia.org/wikipedia/commons/4/43/Nevado_del_Tolima_vista_en_atardecer.jpg")</f>
        <v/>
      </c>
    </row>
    <row r="1484" ht="36.0" customHeight="1">
      <c r="A1484" s="10" t="str">
        <f>HYPERLINK("https://commons.wikimedia.org/wiki/User:" &amp; ENCODEURL("Natlycu"), "Natlycu")</f>
        <v>Natlycu</v>
      </c>
      <c r="B1484" s="11" t="s">
        <v>3080</v>
      </c>
      <c r="C1484" s="12">
        <v>46203.03600694444</v>
      </c>
      <c r="D1484" s="11" t="s">
        <v>3081</v>
      </c>
      <c r="E1484" s="14" t="s">
        <v>1158</v>
      </c>
      <c r="F1484" s="15" t="s">
        <v>16</v>
      </c>
      <c r="G1484" s="15" t="s">
        <v>17</v>
      </c>
      <c r="H1484" s="15" t="s">
        <v>18</v>
      </c>
      <c r="I1484" s="14" t="str">
        <f>IMAGE("https://upload.wikimedia.org/wikipedia/commons/9/9a/Nevado_del_Tolima_visto_desde_Fusagasug%C3%A1.jpg")</f>
        <v/>
      </c>
    </row>
    <row r="1485" ht="36.0" customHeight="1">
      <c r="A1485" s="16" t="str">
        <f>HYPERLINK("https://commons.wikimedia.org/wiki/User:" &amp; ENCODEURL("Torozuluaga"), "Torozuluaga")</f>
        <v>Torozuluaga</v>
      </c>
      <c r="B1485" s="17" t="s">
        <v>3082</v>
      </c>
      <c r="C1485" s="18">
        <v>46145.38185185185</v>
      </c>
      <c r="D1485" s="17" t="s">
        <v>3083</v>
      </c>
      <c r="E1485" s="19" t="s">
        <v>29</v>
      </c>
      <c r="F1485" s="19" t="s">
        <v>30</v>
      </c>
      <c r="G1485" s="20" t="s">
        <v>17</v>
      </c>
      <c r="H1485" s="20" t="s">
        <v>18</v>
      </c>
      <c r="I1485" s="19" t="str">
        <f>IMAGE("https://upload.wikimedia.org/wikipedia/commons/b/b2/Nevado_del_Tolima_visto_desde_Salento.jpg")</f>
        <v/>
      </c>
    </row>
    <row r="1486" ht="36.0" customHeight="1">
      <c r="A1486" s="10" t="str">
        <f>HYPERLINK("https://commons.wikimedia.org/wiki/User:" &amp; ENCODEURL("Luisalberto p"), "Luisalberto p")</f>
        <v>Luisalberto p</v>
      </c>
      <c r="B1486" s="11" t="s">
        <v>3084</v>
      </c>
      <c r="C1486" s="12">
        <v>46175.773460648146</v>
      </c>
      <c r="D1486" s="11" t="s">
        <v>3085</v>
      </c>
      <c r="E1486" s="14" t="s">
        <v>29</v>
      </c>
      <c r="F1486" s="14" t="s">
        <v>30</v>
      </c>
      <c r="G1486" s="15" t="s">
        <v>17</v>
      </c>
      <c r="H1486" s="15" t="s">
        <v>18</v>
      </c>
      <c r="I1486" s="14" t="str">
        <f>IMAGE("https://upload.wikimedia.org/wikipedia/commons/9/95/Nido_de_Ramphomicron_microrhynchum.jpg")</f>
        <v/>
      </c>
    </row>
    <row r="1487" ht="36.0" customHeight="1">
      <c r="A1487" s="16" t="str">
        <f>HYPERLINK("https://commons.wikimedia.org/wiki/User:" &amp; ENCODEURL("Johannelob"), "Johannelob")</f>
        <v>Johannelob</v>
      </c>
      <c r="B1487" s="17" t="s">
        <v>3086</v>
      </c>
      <c r="C1487" s="18">
        <v>46200.68084490741</v>
      </c>
      <c r="D1487" s="17" t="s">
        <v>3087</v>
      </c>
      <c r="E1487" s="19" t="s">
        <v>223</v>
      </c>
      <c r="F1487" s="20" t="s">
        <v>16</v>
      </c>
      <c r="G1487" s="20" t="s">
        <v>17</v>
      </c>
      <c r="H1487" s="20" t="s">
        <v>18</v>
      </c>
      <c r="I1487" s="19" t="str">
        <f>IMAGE("https://upload.wikimedia.org/wikipedia/commons/7/7a/Nido_de_aves_urbano.jpg")</f>
        <v/>
      </c>
    </row>
    <row r="1488" ht="36.0" customHeight="1">
      <c r="A1488" s="10" t="str">
        <f>HYPERLINK("https://commons.wikimedia.org/wiki/User:" &amp; ENCODEURL("Sanfelpa"), "Sanfelpa")</f>
        <v>Sanfelpa</v>
      </c>
      <c r="B1488" s="11" t="s">
        <v>3088</v>
      </c>
      <c r="C1488" s="12">
        <v>46194.30274305555</v>
      </c>
      <c r="D1488" s="11" t="s">
        <v>2191</v>
      </c>
      <c r="E1488" s="14" t="s">
        <v>29</v>
      </c>
      <c r="F1488" s="14" t="s">
        <v>30</v>
      </c>
      <c r="G1488" s="15" t="s">
        <v>17</v>
      </c>
      <c r="H1488" s="15" t="s">
        <v>18</v>
      </c>
      <c r="I1488" s="14" t="str">
        <f>IMAGE("https://upload.wikimedia.org/wikipedia/commons/c/cd/Nido_euphonia_piquigruesa.jpg")</f>
        <v/>
      </c>
    </row>
    <row r="1489" ht="36.0" customHeight="1">
      <c r="A1489" s="16" t="str">
        <f>HYPERLINK("https://commons.wikimedia.org/wiki/User:" &amp; ENCODEURL("Mfrancoavellaneda"), "Mfrancoavellaneda")</f>
        <v>Mfrancoavellaneda</v>
      </c>
      <c r="B1489" s="17" t="s">
        <v>3089</v>
      </c>
      <c r="C1489" s="18">
        <v>46203.838055555556</v>
      </c>
      <c r="D1489" s="17" t="s">
        <v>3090</v>
      </c>
      <c r="E1489" s="19" t="s">
        <v>29</v>
      </c>
      <c r="F1489" s="19" t="s">
        <v>30</v>
      </c>
      <c r="G1489" s="20" t="s">
        <v>17</v>
      </c>
      <c r="H1489" s="20" t="s">
        <v>18</v>
      </c>
      <c r="I1489" s="19" t="str">
        <f>IMAGE("https://upload.wikimedia.org/wikipedia/commons/e/e0/Nidos_de_arboles.jpg")</f>
        <v/>
      </c>
    </row>
    <row r="1490" ht="36.0" customHeight="1">
      <c r="A1490" s="10" t="str">
        <f t="shared" ref="A1490:A1491" si="188">HYPERLINK("https://commons.wikimedia.org/wiki/User:" &amp; ENCODEURL("Luifereduardoo"), "Luifereduardoo")</f>
        <v>Luifereduardoo</v>
      </c>
      <c r="B1490" s="11" t="s">
        <v>3091</v>
      </c>
      <c r="C1490" s="12">
        <v>46164.55871527778</v>
      </c>
      <c r="D1490" s="11" t="s">
        <v>3092</v>
      </c>
      <c r="E1490" s="14" t="s">
        <v>3093</v>
      </c>
      <c r="F1490" s="15" t="s">
        <v>16</v>
      </c>
      <c r="G1490" s="15" t="s">
        <v>17</v>
      </c>
      <c r="H1490" s="15" t="s">
        <v>18</v>
      </c>
      <c r="I1490" s="14" t="str">
        <f>IMAGE("https://upload.wikimedia.org/wikipedia/commons/2/21/Nieve_cocuy.jpg")</f>
        <v/>
      </c>
    </row>
    <row r="1491" ht="36.0" customHeight="1">
      <c r="A1491" s="16" t="str">
        <f t="shared" si="188"/>
        <v>Luifereduardoo</v>
      </c>
      <c r="B1491" s="17" t="s">
        <v>3094</v>
      </c>
      <c r="C1491" s="18">
        <v>46164.55868055556</v>
      </c>
      <c r="D1491" s="17" t="s">
        <v>3095</v>
      </c>
      <c r="E1491" s="19" t="s">
        <v>3093</v>
      </c>
      <c r="F1491" s="20" t="s">
        <v>16</v>
      </c>
      <c r="G1491" s="20" t="s">
        <v>17</v>
      </c>
      <c r="H1491" s="20" t="s">
        <v>18</v>
      </c>
      <c r="I1491" s="19" t="str">
        <f>IMAGE("https://upload.wikimedia.org/wikipedia/commons/9/93/Nieve_en_las_monta%C3%B1as.jpg")</f>
        <v/>
      </c>
    </row>
    <row r="1492" ht="36.0" customHeight="1">
      <c r="A1492" s="10" t="str">
        <f>HYPERLINK("https://commons.wikimedia.org/wiki/User:" &amp; ENCODEURL("Jaiber.Guzman"), "Jaiber.Guzman")</f>
        <v>Jaiber.Guzman</v>
      </c>
      <c r="B1492" s="11" t="s">
        <v>3096</v>
      </c>
      <c r="C1492" s="12">
        <v>46155.9080787037</v>
      </c>
      <c r="D1492" s="11" t="s">
        <v>3097</v>
      </c>
      <c r="E1492" s="14" t="s">
        <v>3098</v>
      </c>
      <c r="F1492" s="15" t="s">
        <v>16</v>
      </c>
      <c r="G1492" s="15" t="s">
        <v>17</v>
      </c>
      <c r="H1492" s="15" t="s">
        <v>18</v>
      </c>
      <c r="I1492" s="14" t="str">
        <f>IMAGE("https://upload.wikimedia.org/wikipedia/commons/3/38/Niflheim%2CVereda_Santuario%2C_Carmen_de_Carupa%2C_Cundinamarca.jpg")</f>
        <v/>
      </c>
    </row>
    <row r="1493" ht="36.0" customHeight="1">
      <c r="A1493" s="16" t="str">
        <f>HYPERLINK("https://commons.wikimedia.org/wiki/User:" &amp; ENCODEURL("NicolleTorresG"), "NicolleTorresG")</f>
        <v>NicolleTorresG</v>
      </c>
      <c r="B1493" s="17" t="s">
        <v>3099</v>
      </c>
      <c r="C1493" s="18">
        <v>46199.93898148148</v>
      </c>
      <c r="D1493" s="17" t="s">
        <v>3100</v>
      </c>
      <c r="E1493" s="19" t="s">
        <v>848</v>
      </c>
      <c r="F1493" s="20" t="s">
        <v>16</v>
      </c>
      <c r="G1493" s="20" t="s">
        <v>17</v>
      </c>
      <c r="H1493" s="20" t="s">
        <v>18</v>
      </c>
      <c r="I1493" s="19" t="str">
        <f>IMAGE("https://upload.wikimedia.org/wikipedia/commons/1/12/Ninfa_Coronada_-_Thalurania_colombica.jpg")</f>
        <v/>
      </c>
    </row>
    <row r="1494" ht="36.0" customHeight="1">
      <c r="A1494" s="10" t="str">
        <f>HYPERLINK("https://commons.wikimedia.org/wiki/User:" &amp; ENCODEURL("Rodrigomacrophoto"), "Rodrigomacrophoto")</f>
        <v>Rodrigomacrophoto</v>
      </c>
      <c r="B1494" s="11" t="s">
        <v>3101</v>
      </c>
      <c r="C1494" s="12">
        <v>46174.54195601852</v>
      </c>
      <c r="D1494" s="11" t="s">
        <v>3102</v>
      </c>
      <c r="E1494" s="14" t="s">
        <v>266</v>
      </c>
      <c r="F1494" s="15" t="s">
        <v>16</v>
      </c>
      <c r="G1494" s="15" t="s">
        <v>17</v>
      </c>
      <c r="H1494" s="15" t="s">
        <v>18</v>
      </c>
      <c r="I1494" s="14" t="str">
        <f>IMAGE("https://upload.wikimedia.org/wikipedia/commons/2/23/Ninfas_de_chinche._Familia_Coreidae.jpg")</f>
        <v/>
      </c>
    </row>
    <row r="1495" ht="36.0" customHeight="1">
      <c r="A1495" s="16" t="str">
        <f>HYPERLINK("https://commons.wikimedia.org/wiki/User:" &amp; ENCODEURL("TeaBonsai"), "TeaBonsai")</f>
        <v>TeaBonsai</v>
      </c>
      <c r="B1495" s="17" t="s">
        <v>3103</v>
      </c>
      <c r="C1495" s="18">
        <v>46193.38960648148</v>
      </c>
      <c r="D1495" s="17" t="s">
        <v>430</v>
      </c>
      <c r="E1495" s="19" t="s">
        <v>3104</v>
      </c>
      <c r="F1495" s="20" t="s">
        <v>16</v>
      </c>
      <c r="G1495" s="20" t="s">
        <v>17</v>
      </c>
      <c r="H1495" s="20" t="s">
        <v>18</v>
      </c>
      <c r="I1495" s="19" t="str">
        <f>IMAGE("https://upload.wikimedia.org/wikipedia/commons/4/4b/Ni%C3%B1os_en_la_playa_de_Rioacha_al_atardecer_junio_2026.jpg")</f>
        <v/>
      </c>
    </row>
    <row r="1496" ht="36.0" customHeight="1">
      <c r="A1496" s="10" t="str">
        <f>HYPERLINK("https://commons.wikimedia.org/wiki/User:" &amp; ENCODEURL("Guiverfer"), "Guiverfer")</f>
        <v>Guiverfer</v>
      </c>
      <c r="B1496" s="11" t="s">
        <v>3105</v>
      </c>
      <c r="C1496" s="12">
        <v>46199.83792824074</v>
      </c>
      <c r="D1496" s="11" t="s">
        <v>3106</v>
      </c>
      <c r="E1496" s="14" t="s">
        <v>3107</v>
      </c>
      <c r="F1496" s="15" t="s">
        <v>16</v>
      </c>
      <c r="G1496" s="15" t="s">
        <v>17</v>
      </c>
      <c r="H1496" s="15" t="s">
        <v>18</v>
      </c>
      <c r="I1496" s="14" t="str">
        <f>IMAGE("https://upload.wikimedia.org/wikipedia/commons/0/07/No_apto_para_ba%C3%B1arse.jpg")</f>
        <v/>
      </c>
    </row>
    <row r="1497" ht="36.0" customHeight="1">
      <c r="A1497" s="16" t="str">
        <f>HYPERLINK("https://commons.wikimedia.org/wiki/User:" &amp; ENCODEURL("Vvelashue21"), "Vvelashue21")</f>
        <v>Vvelashue21</v>
      </c>
      <c r="B1497" s="17" t="s">
        <v>3108</v>
      </c>
      <c r="C1497" s="18">
        <v>46163.54802083333</v>
      </c>
      <c r="D1497" s="17" t="s">
        <v>3109</v>
      </c>
      <c r="E1497" s="19" t="s">
        <v>29</v>
      </c>
      <c r="F1497" s="19" t="s">
        <v>30</v>
      </c>
      <c r="G1497" s="20" t="s">
        <v>17</v>
      </c>
      <c r="H1497" s="20" t="s">
        <v>18</v>
      </c>
      <c r="I1497" s="19" t="str">
        <f>IMAGE("https://upload.wikimedia.org/wikipedia/commons/9/93/Noche_con_paisaje.jpg")</f>
        <v/>
      </c>
    </row>
    <row r="1498" ht="36.0" customHeight="1">
      <c r="A1498" s="10" t="str">
        <f>HYPERLINK("https://commons.wikimedia.org/wiki/User:" &amp; ENCODEURL("XRkstudiox"), "XRkstudiox")</f>
        <v>XRkstudiox</v>
      </c>
      <c r="B1498" s="11" t="s">
        <v>3110</v>
      </c>
      <c r="C1498" s="12">
        <v>46203.714641203704</v>
      </c>
      <c r="D1498" s="11" t="s">
        <v>415</v>
      </c>
      <c r="E1498" s="14" t="s">
        <v>29</v>
      </c>
      <c r="F1498" s="14" t="s">
        <v>30</v>
      </c>
      <c r="G1498" s="15" t="s">
        <v>17</v>
      </c>
      <c r="H1498" s="15" t="s">
        <v>18</v>
      </c>
      <c r="I1498" s="14" t="str">
        <f>IMAGE("https://upload.wikimedia.org/wikipedia/commons/d/d9/Noche_en_el_r%C3%ADo_In%C3%ADrida.jpg")</f>
        <v/>
      </c>
    </row>
    <row r="1499" ht="36.0" customHeight="1">
      <c r="A1499" s="16" t="str">
        <f t="shared" ref="A1499:A1500" si="189">HYPERLINK("https://commons.wikimedia.org/wiki/User:" &amp; ENCODEURL("JJCL09"), "JJCL09")</f>
        <v>JJCL09</v>
      </c>
      <c r="B1499" s="17" t="s">
        <v>3111</v>
      </c>
      <c r="C1499" s="18">
        <v>46147.88146990741</v>
      </c>
      <c r="D1499" s="17" t="s">
        <v>3112</v>
      </c>
      <c r="E1499" s="19" t="s">
        <v>3113</v>
      </c>
      <c r="F1499" s="20" t="s">
        <v>16</v>
      </c>
      <c r="G1499" s="20" t="s">
        <v>17</v>
      </c>
      <c r="H1499" s="20" t="s">
        <v>18</v>
      </c>
      <c r="I1499" s="19" t="str">
        <f>IMAGE("https://upload.wikimedia.org/wikipedia/commons/4/4c/Norcasia_natural.jpg")</f>
        <v/>
      </c>
    </row>
    <row r="1500" ht="36.0" customHeight="1">
      <c r="A1500" s="10" t="str">
        <f t="shared" si="189"/>
        <v>JJCL09</v>
      </c>
      <c r="B1500" s="11" t="s">
        <v>3114</v>
      </c>
      <c r="C1500" s="12">
        <v>46147.88155092593</v>
      </c>
      <c r="D1500" s="11" t="s">
        <v>3115</v>
      </c>
      <c r="E1500" s="14" t="s">
        <v>3116</v>
      </c>
      <c r="F1500" s="15" t="s">
        <v>16</v>
      </c>
      <c r="G1500" s="15" t="s">
        <v>17</v>
      </c>
      <c r="H1500" s="15" t="s">
        <v>18</v>
      </c>
      <c r="I1500" s="14" t="str">
        <f>IMAGE("https://upload.wikimedia.org/wikipedia/commons/7/77/Norcasia_verde.jpg")</f>
        <v/>
      </c>
    </row>
    <row r="1501" ht="36.0" customHeight="1">
      <c r="A1501" s="16" t="str">
        <f>HYPERLINK("https://commons.wikimedia.org/wiki/User:" &amp; ENCODEURL("NunuAiyi"), "NunuAiyi")</f>
        <v>NunuAiyi</v>
      </c>
      <c r="B1501" s="17" t="s">
        <v>3117</v>
      </c>
      <c r="C1501" s="18">
        <v>46203.858622685184</v>
      </c>
      <c r="D1501" s="17" t="s">
        <v>3118</v>
      </c>
      <c r="E1501" s="19" t="s">
        <v>29</v>
      </c>
      <c r="F1501" s="19" t="s">
        <v>30</v>
      </c>
      <c r="G1501" s="20" t="s">
        <v>17</v>
      </c>
      <c r="H1501" s="20" t="s">
        <v>18</v>
      </c>
      <c r="I1501" s="19" t="str">
        <f>IMAGE("https://upload.wikimedia.org/wikipedia/commons/1/11/Nubes_con_elefante_juguet%C3%B3n.jpg")</f>
        <v/>
      </c>
    </row>
    <row r="1502" ht="36.0" customHeight="1">
      <c r="A1502" s="10" t="str">
        <f>HYPERLINK("https://commons.wikimedia.org/wiki/User:" &amp; ENCODEURL("Maracome"), "Maracome")</f>
        <v>Maracome</v>
      </c>
      <c r="B1502" s="11" t="s">
        <v>3119</v>
      </c>
      <c r="C1502" s="12">
        <v>46149.95300925926</v>
      </c>
      <c r="D1502" s="11" t="s">
        <v>3120</v>
      </c>
      <c r="E1502" s="14" t="s">
        <v>29</v>
      </c>
      <c r="F1502" s="14" t="s">
        <v>30</v>
      </c>
      <c r="G1502" s="15" t="s">
        <v>17</v>
      </c>
      <c r="H1502" s="15" t="s">
        <v>18</v>
      </c>
      <c r="I1502" s="14" t="str">
        <f>IMAGE("https://upload.wikimedia.org/wikipedia/commons/a/a5/Nuestras_Monta%C3%B1as.jpg")</f>
        <v/>
      </c>
    </row>
    <row r="1503" ht="36.0" customHeight="1">
      <c r="A1503" s="16" t="str">
        <f t="shared" ref="A1503:A1504" si="190">HYPERLINK("https://commons.wikimedia.org/wiki/User:" &amp; ENCODEURL("Diferoch"), "Diferoch")</f>
        <v>Diferoch</v>
      </c>
      <c r="B1503" s="17" t="s">
        <v>3121</v>
      </c>
      <c r="C1503" s="18">
        <v>46198.74233796296</v>
      </c>
      <c r="D1503" s="17" t="s">
        <v>3122</v>
      </c>
      <c r="E1503" s="19" t="s">
        <v>3123</v>
      </c>
      <c r="F1503" s="20" t="s">
        <v>16</v>
      </c>
      <c r="G1503" s="20" t="s">
        <v>17</v>
      </c>
      <c r="H1503" s="20" t="s">
        <v>18</v>
      </c>
      <c r="I1503" s="19" t="str">
        <f>IMAGE("https://upload.wikimedia.org/wikipedia/commons/b/b0/Numenius_hudsonicus_-_Nuqu%C3%AD%2C_Choc%C3%B3%2C_Colombia_-_23_Oct_2025_-_Diferoch.jpg")</f>
        <v/>
      </c>
    </row>
    <row r="1504" ht="36.0" customHeight="1">
      <c r="A1504" s="10" t="str">
        <f t="shared" si="190"/>
        <v>Diferoch</v>
      </c>
      <c r="B1504" s="11" t="s">
        <v>3124</v>
      </c>
      <c r="C1504" s="12">
        <v>46173.76231481481</v>
      </c>
      <c r="D1504" s="11" t="s">
        <v>3125</v>
      </c>
      <c r="E1504" s="14" t="s">
        <v>3126</v>
      </c>
      <c r="F1504" s="15" t="s">
        <v>16</v>
      </c>
      <c r="G1504" s="15" t="s">
        <v>17</v>
      </c>
      <c r="H1504" s="15" t="s">
        <v>18</v>
      </c>
      <c r="I1504" s="14" t="str">
        <f>IMAGE("https://upload.wikimedia.org/wikipedia/commons/4/4c/Nyctibius_grandis_-_Barrancabermeja%2C_Santander%2C_Colombia_-_14_Jun_2026_-_Diferoch.jpg")</f>
        <v/>
      </c>
    </row>
    <row r="1505" ht="36.0" customHeight="1">
      <c r="A1505" s="16" t="str">
        <f t="shared" ref="A1505:A1506" si="191">HYPERLINK("https://commons.wikimedia.org/wiki/User:" &amp; ENCODEURL("Supertita"), "Supertita")</f>
        <v>Supertita</v>
      </c>
      <c r="B1505" s="17" t="s">
        <v>3127</v>
      </c>
      <c r="C1505" s="18">
        <v>46191.90539351852</v>
      </c>
      <c r="D1505" s="17" t="s">
        <v>3128</v>
      </c>
      <c r="E1505" s="19" t="s">
        <v>15</v>
      </c>
      <c r="F1505" s="20" t="s">
        <v>16</v>
      </c>
      <c r="G1505" s="20" t="s">
        <v>17</v>
      </c>
      <c r="H1505" s="20" t="s">
        <v>18</v>
      </c>
      <c r="I1505" s="19" t="str">
        <f>IMAGE("https://upload.wikimedia.org/wikipedia/commons/5/54/Nymphaea-nen%C3%BAfar_rosa.jpg")</f>
        <v/>
      </c>
    </row>
    <row r="1506" ht="36.0" customHeight="1">
      <c r="A1506" s="10" t="str">
        <f t="shared" si="191"/>
        <v>Supertita</v>
      </c>
      <c r="B1506" s="11" t="s">
        <v>3129</v>
      </c>
      <c r="C1506" s="12">
        <v>46192.60923611111</v>
      </c>
      <c r="D1506" s="11" t="s">
        <v>3130</v>
      </c>
      <c r="E1506" s="14" t="s">
        <v>604</v>
      </c>
      <c r="F1506" s="15" t="s">
        <v>16</v>
      </c>
      <c r="G1506" s="15" t="s">
        <v>17</v>
      </c>
      <c r="H1506" s="15" t="s">
        <v>18</v>
      </c>
      <c r="I1506" s="14" t="str">
        <f>IMAGE("https://upload.wikimedia.org/wikipedia/commons/2/2f/Nymphaeaceae_family-waterlily_or_lotus_-_and_damselfly.jpg")</f>
        <v/>
      </c>
    </row>
    <row r="1507" ht="36.0" customHeight="1">
      <c r="A1507" s="16" t="str">
        <f>HYPERLINK("https://commons.wikimedia.org/wiki/User:" &amp; ENCODEURL("María Victoria Alzate Acevedo"), "María Victoria Alzate Acevedo")</f>
        <v>María Victoria Alzate Acevedo</v>
      </c>
      <c r="B1507" s="17" t="s">
        <v>3131</v>
      </c>
      <c r="C1507" s="18">
        <v>46166.63375</v>
      </c>
      <c r="D1507" s="17" t="s">
        <v>3132</v>
      </c>
      <c r="E1507" s="19" t="s">
        <v>29</v>
      </c>
      <c r="F1507" s="19" t="s">
        <v>30</v>
      </c>
      <c r="G1507" s="20" t="s">
        <v>17</v>
      </c>
      <c r="H1507" s="20" t="s">
        <v>18</v>
      </c>
      <c r="I1507" s="19" t="str">
        <f>IMAGE("https://upload.wikimedia.org/wikipedia/commons/6/62/ORQUIA_COLOMBIANA_ZAPATITO_DE_OBISPO.jpg")</f>
        <v/>
      </c>
    </row>
    <row r="1508" ht="36.0" customHeight="1">
      <c r="A1508" s="10" t="str">
        <f>HYPERLINK("https://commons.wikimedia.org/wiki/User:" &amp; ENCODEURL("Joseeem"), "Joseeem")</f>
        <v>Joseeem</v>
      </c>
      <c r="B1508" s="11" t="s">
        <v>3133</v>
      </c>
      <c r="C1508" s="12">
        <v>46156.94511574074</v>
      </c>
      <c r="D1508" s="11" t="s">
        <v>3134</v>
      </c>
      <c r="E1508" s="14" t="s">
        <v>29</v>
      </c>
      <c r="F1508" s="14" t="s">
        <v>30</v>
      </c>
      <c r="G1508" s="15" t="s">
        <v>17</v>
      </c>
      <c r="H1508" s="15" t="s">
        <v>18</v>
      </c>
      <c r="I1508" s="14" t="str">
        <f>IMAGE("https://upload.wikimedia.org/wikipedia/commons/4/49/Ocean_in_Palomino.jpg")</f>
        <v/>
      </c>
    </row>
    <row r="1509" ht="36.0" customHeight="1">
      <c r="A1509" s="16" t="str">
        <f>HYPERLINK("https://commons.wikimedia.org/wiki/User:" &amp; ENCODEURL("Mottenpriesterin"), "Mottenpriesterin")</f>
        <v>Mottenpriesterin</v>
      </c>
      <c r="B1509" s="17" t="s">
        <v>3135</v>
      </c>
      <c r="C1509" s="18">
        <v>46202.920011574075</v>
      </c>
      <c r="D1509" s="17" t="s">
        <v>3136</v>
      </c>
      <c r="E1509" s="19" t="s">
        <v>29</v>
      </c>
      <c r="F1509" s="19" t="s">
        <v>30</v>
      </c>
      <c r="G1509" s="20" t="s">
        <v>17</v>
      </c>
      <c r="H1509" s="20" t="s">
        <v>18</v>
      </c>
      <c r="I1509" s="19" t="str">
        <f>IMAGE("https://upload.wikimedia.org/wikipedia/commons/f/fe/Ocky_hiking_trail_with_Opuntia_cacti_and_stratified_cliffs_near_Villa_de_Leyva%2C_2026.jpg")</f>
        <v/>
      </c>
    </row>
    <row r="1510" ht="36.0" customHeight="1">
      <c r="A1510" s="10" t="str">
        <f>HYPERLINK("https://commons.wikimedia.org/wiki/User:" &amp; ENCODEURL("Diferoch"), "Diferoch")</f>
        <v>Diferoch</v>
      </c>
      <c r="B1510" s="11" t="s">
        <v>3137</v>
      </c>
      <c r="C1510" s="12">
        <v>46197.98836805556</v>
      </c>
      <c r="D1510" s="11" t="s">
        <v>3138</v>
      </c>
      <c r="E1510" s="14" t="s">
        <v>3139</v>
      </c>
      <c r="F1510" s="15" t="s">
        <v>16</v>
      </c>
      <c r="G1510" s="15" t="s">
        <v>17</v>
      </c>
      <c r="H1510" s="15" t="s">
        <v>18</v>
      </c>
      <c r="I1510" s="14" t="str">
        <f>IMAGE("https://upload.wikimedia.org/wikipedia/commons/e/e2/Ocypode_gaudichaudii_-_Nuqu%C3%AD%2C_Choc%C3%B3%2C_Colombia_-_22_Oct_2025_-_Diferoch.jpg")</f>
        <v/>
      </c>
    </row>
    <row r="1511" ht="36.0" customHeight="1">
      <c r="A1511" s="16" t="str">
        <f>HYPERLINK("https://commons.wikimedia.org/wiki/User:" &amp; ENCODEURL("Nathaly 1106"), "Nathaly 1106")</f>
        <v>Nathaly 1106</v>
      </c>
      <c r="B1511" s="17" t="s">
        <v>3140</v>
      </c>
      <c r="C1511" s="18">
        <v>46148.957233796296</v>
      </c>
      <c r="D1511" s="17" t="s">
        <v>3141</v>
      </c>
      <c r="E1511" s="19" t="s">
        <v>29</v>
      </c>
      <c r="F1511" s="19" t="s">
        <v>30</v>
      </c>
      <c r="G1511" s="20" t="s">
        <v>17</v>
      </c>
      <c r="H1511" s="20" t="s">
        <v>18</v>
      </c>
      <c r="I1511" s="19" t="str">
        <f>IMAGE("https://upload.wikimedia.org/wikipedia/commons/3/3d/Oc%C3%A9ano_Atl%C3%A1ntico.jpg")</f>
        <v/>
      </c>
    </row>
    <row r="1512" ht="36.0" customHeight="1">
      <c r="A1512" s="10" t="str">
        <f>HYPERLINK("https://commons.wikimedia.org/wiki/User:" &amp; ENCODEURL("Johan Andrés Toro"), "Johan Andrés Toro")</f>
        <v>Johan Andrés Toro</v>
      </c>
      <c r="B1512" s="11" t="s">
        <v>3142</v>
      </c>
      <c r="C1512" s="12">
        <v>46171.87678240741</v>
      </c>
      <c r="D1512" s="11" t="s">
        <v>3143</v>
      </c>
      <c r="E1512" s="14" t="s">
        <v>29</v>
      </c>
      <c r="F1512" s="14" t="s">
        <v>30</v>
      </c>
      <c r="G1512" s="15" t="s">
        <v>17</v>
      </c>
      <c r="H1512" s="15" t="s">
        <v>18</v>
      </c>
      <c r="I1512" s="14" t="str">
        <f>IMAGE("https://upload.wikimedia.org/wikipedia/commons/2/25/Oc%C3%A9ano_de_niebla_avanzando_sobre_las_cumbres_de_Sumapaz.jpg")</f>
        <v/>
      </c>
    </row>
    <row r="1513" ht="36.0" customHeight="1">
      <c r="A1513" s="16" t="str">
        <f t="shared" ref="A1513:A1514" si="192">HYPERLINK("https://commons.wikimedia.org/wiki/User:" &amp; ENCODEURL("Supertita"), "Supertita")</f>
        <v>Supertita</v>
      </c>
      <c r="B1513" s="17" t="s">
        <v>3144</v>
      </c>
      <c r="C1513" s="18">
        <v>46192.70726851852</v>
      </c>
      <c r="D1513" s="17" t="s">
        <v>3145</v>
      </c>
      <c r="E1513" s="19" t="s">
        <v>21</v>
      </c>
      <c r="F1513" s="20" t="s">
        <v>16</v>
      </c>
      <c r="G1513" s="20" t="s">
        <v>17</v>
      </c>
      <c r="H1513" s="20" t="s">
        <v>18</v>
      </c>
      <c r="I1513" s="19" t="str">
        <f>IMAGE("https://upload.wikimedia.org/wikipedia/commons/6/6f/Odocoileus_goudotii%29_female.jpg")</f>
        <v/>
      </c>
    </row>
    <row r="1514" ht="36.0" customHeight="1">
      <c r="A1514" s="10" t="str">
        <f t="shared" si="192"/>
        <v>Supertita</v>
      </c>
      <c r="B1514" s="11" t="s">
        <v>3146</v>
      </c>
      <c r="C1514" s="12">
        <v>46192.70743055556</v>
      </c>
      <c r="D1514" s="11" t="s">
        <v>3147</v>
      </c>
      <c r="E1514" s="14" t="s">
        <v>21</v>
      </c>
      <c r="F1514" s="15" t="s">
        <v>16</v>
      </c>
      <c r="G1514" s="15" t="s">
        <v>17</v>
      </c>
      <c r="H1514" s="15" t="s">
        <v>18</v>
      </c>
      <c r="I1514" s="14" t="str">
        <f>IMAGE("https://upload.wikimedia.org/wikipedia/commons/f/fe/Odocoileus_virginianus-venado_de_cola_blanca.jpg")</f>
        <v/>
      </c>
    </row>
    <row r="1515" ht="36.0" customHeight="1">
      <c r="A1515" s="16" t="str">
        <f t="shared" ref="A1515:A1517" si="193">HYPERLINK("https://commons.wikimedia.org/wiki/User:" &amp; ENCODEURL("Chechogonzalez"), "Chechogonzalez")</f>
        <v>Chechogonzalez</v>
      </c>
      <c r="B1515" s="17" t="s">
        <v>3148</v>
      </c>
      <c r="C1515" s="18">
        <v>46177.80837962963</v>
      </c>
      <c r="D1515" s="17" t="s">
        <v>3149</v>
      </c>
      <c r="E1515" s="19" t="s">
        <v>29</v>
      </c>
      <c r="F1515" s="19" t="s">
        <v>30</v>
      </c>
      <c r="G1515" s="20" t="s">
        <v>17</v>
      </c>
      <c r="H1515" s="20" t="s">
        <v>18</v>
      </c>
      <c r="I1515" s="19" t="str">
        <f>IMAGE("https://upload.wikimedia.org/wikipedia/commons/d/d2/Oedipomidas_leucopus_01.jpg")</f>
        <v/>
      </c>
    </row>
    <row r="1516" ht="36.0" customHeight="1">
      <c r="A1516" s="10" t="str">
        <f t="shared" si="193"/>
        <v>Chechogonzalez</v>
      </c>
      <c r="B1516" s="11" t="s">
        <v>3150</v>
      </c>
      <c r="C1516" s="12">
        <v>46177.80837962963</v>
      </c>
      <c r="D1516" s="11" t="s">
        <v>3149</v>
      </c>
      <c r="E1516" s="14" t="s">
        <v>29</v>
      </c>
      <c r="F1516" s="14" t="s">
        <v>30</v>
      </c>
      <c r="G1516" s="15" t="s">
        <v>17</v>
      </c>
      <c r="H1516" s="15" t="s">
        <v>18</v>
      </c>
      <c r="I1516" s="14" t="str">
        <f>IMAGE("https://upload.wikimedia.org/wikipedia/commons/1/19/Oedipomidas_leucopus_02.jpg")</f>
        <v/>
      </c>
    </row>
    <row r="1517" ht="36.0" customHeight="1">
      <c r="A1517" s="16" t="str">
        <f t="shared" si="193"/>
        <v>Chechogonzalez</v>
      </c>
      <c r="B1517" s="17" t="s">
        <v>3151</v>
      </c>
      <c r="C1517" s="18">
        <v>46177.80837962963</v>
      </c>
      <c r="D1517" s="17" t="s">
        <v>3149</v>
      </c>
      <c r="E1517" s="19" t="s">
        <v>29</v>
      </c>
      <c r="F1517" s="19" t="s">
        <v>30</v>
      </c>
      <c r="G1517" s="20" t="s">
        <v>17</v>
      </c>
      <c r="H1517" s="20" t="s">
        <v>18</v>
      </c>
      <c r="I1517" s="19" t="str">
        <f>IMAGE("https://upload.wikimedia.org/wikipedia/commons/2/28/Oedipomidas_leucopus_03.jpg")</f>
        <v/>
      </c>
    </row>
    <row r="1518" ht="36.0" customHeight="1">
      <c r="A1518" s="10" t="str">
        <f t="shared" ref="A1518:A1520" si="194">HYPERLINK("https://commons.wikimedia.org/wiki/User:" &amp; ENCODEURL("Luisalberto p"), "Luisalberto p")</f>
        <v>Luisalberto p</v>
      </c>
      <c r="B1518" s="11" t="s">
        <v>3152</v>
      </c>
      <c r="C1518" s="12">
        <v>46175.77349537037</v>
      </c>
      <c r="D1518" s="11" t="s">
        <v>3153</v>
      </c>
      <c r="E1518" s="14" t="s">
        <v>3154</v>
      </c>
      <c r="F1518" s="15" t="s">
        <v>16</v>
      </c>
      <c r="G1518" s="15" t="s">
        <v>17</v>
      </c>
      <c r="H1518" s="15" t="s">
        <v>18</v>
      </c>
      <c r="I1518" s="14" t="str">
        <f>IMAGE("https://upload.wikimedia.org/wikipedia/commons/9/91/Ognorhynchus_icterotis%2C_loro_orejiamarillo_en_su_nido.jpg")</f>
        <v/>
      </c>
    </row>
    <row r="1519" ht="36.0" customHeight="1">
      <c r="A1519" s="16" t="str">
        <f t="shared" si="194"/>
        <v>Luisalberto p</v>
      </c>
      <c r="B1519" s="17" t="s">
        <v>3155</v>
      </c>
      <c r="C1519" s="18">
        <v>46175.77349537037</v>
      </c>
      <c r="D1519" s="17" t="s">
        <v>3156</v>
      </c>
      <c r="E1519" s="19" t="s">
        <v>3154</v>
      </c>
      <c r="F1519" s="20" t="s">
        <v>16</v>
      </c>
      <c r="G1519" s="20" t="s">
        <v>17</v>
      </c>
      <c r="H1519" s="20" t="s">
        <v>18</v>
      </c>
      <c r="I1519" s="19" t="str">
        <f>IMAGE("https://upload.wikimedia.org/wikipedia/commons/b/b3/Ognorhynchus_icterotis%2C_loro_orejiamarillo_en_su_sitio_de_nidificaci%C3%B3n_habitual.jpg")</f>
        <v/>
      </c>
    </row>
    <row r="1520" ht="36.0" customHeight="1">
      <c r="A1520" s="10" t="str">
        <f t="shared" si="194"/>
        <v>Luisalberto p</v>
      </c>
      <c r="B1520" s="11" t="s">
        <v>3157</v>
      </c>
      <c r="C1520" s="12">
        <v>46175.773506944446</v>
      </c>
      <c r="D1520" s="11" t="s">
        <v>3158</v>
      </c>
      <c r="E1520" s="14" t="s">
        <v>3154</v>
      </c>
      <c r="F1520" s="15" t="s">
        <v>16</v>
      </c>
      <c r="G1520" s="15" t="s">
        <v>17</v>
      </c>
      <c r="H1520" s="15" t="s">
        <v>18</v>
      </c>
      <c r="I1520" s="14" t="str">
        <f>IMAGE("https://upload.wikimedia.org/wikipedia/commons/8/86/Ognorhynchus_icterotis%2C_loro_orejiamarillo_saliendo_de_su_nido.jpg")</f>
        <v/>
      </c>
    </row>
    <row r="1521" ht="36.0" customHeight="1">
      <c r="A1521" s="16" t="str">
        <f>HYPERLINK("https://commons.wikimedia.org/wiki/User:" &amp; ENCODEURL("JuanitoCISF"), "JuanitoCISF")</f>
        <v>JuanitoCISF</v>
      </c>
      <c r="B1521" s="17" t="s">
        <v>3159</v>
      </c>
      <c r="C1521" s="18">
        <v>46170.452673611115</v>
      </c>
      <c r="D1521" s="17" t="s">
        <v>3160</v>
      </c>
      <c r="E1521" s="19" t="s">
        <v>3161</v>
      </c>
      <c r="F1521" s="20" t="s">
        <v>16</v>
      </c>
      <c r="G1521" s="20" t="s">
        <v>17</v>
      </c>
      <c r="H1521" s="20" t="s">
        <v>18</v>
      </c>
      <c r="I1521" s="19" t="str">
        <f>IMAGE("https://upload.wikimedia.org/wikipedia/commons/f/f8/Ojo_de_Poeta.jpg")</f>
        <v/>
      </c>
    </row>
    <row r="1522" ht="36.0" customHeight="1">
      <c r="A1522" s="10" t="str">
        <f>HYPERLINK("https://commons.wikimedia.org/wiki/User:" &amp; ENCODEURL("Halleyuncometafotografo"), "Halleyuncometafotografo")</f>
        <v>Halleyuncometafotografo</v>
      </c>
      <c r="B1522" s="11" t="s">
        <v>3162</v>
      </c>
      <c r="C1522" s="12">
        <v>46203.8984837963</v>
      </c>
      <c r="D1522" s="11" t="s">
        <v>3163</v>
      </c>
      <c r="E1522" s="14" t="s">
        <v>3164</v>
      </c>
      <c r="F1522" s="15" t="s">
        <v>16</v>
      </c>
      <c r="G1522" s="15" t="s">
        <v>17</v>
      </c>
      <c r="H1522" s="15" t="s">
        <v>18</v>
      </c>
      <c r="I1522" s="14" t="str">
        <f>IMAGE("https://upload.wikimedia.org/wikipedia/commons/a/aa/Ojos_nocturnos.jpg")</f>
        <v/>
      </c>
    </row>
    <row r="1523" ht="36.0" customHeight="1">
      <c r="A1523" s="16" t="str">
        <f>HYPERLINK("https://commons.wikimedia.org/wiki/User:" &amp; ENCODEURL("Dewinjj"), "Dewinjj")</f>
        <v>Dewinjj</v>
      </c>
      <c r="B1523" s="17" t="s">
        <v>3165</v>
      </c>
      <c r="C1523" s="18">
        <v>46158.63344907408</v>
      </c>
      <c r="D1523" s="17" t="s">
        <v>576</v>
      </c>
      <c r="E1523" s="19" t="s">
        <v>3166</v>
      </c>
      <c r="F1523" s="20" t="s">
        <v>16</v>
      </c>
      <c r="G1523" s="20" t="s">
        <v>17</v>
      </c>
      <c r="H1523" s="20" t="s">
        <v>18</v>
      </c>
      <c r="I1523" s="19" t="str">
        <f>IMAGE("https://upload.wikimedia.org/wikipedia/commons/a/ac/Oranged.jpg")</f>
        <v/>
      </c>
    </row>
    <row r="1524" ht="36.0" customHeight="1">
      <c r="A1524" s="10" t="str">
        <f>HYPERLINK("https://commons.wikimedia.org/wiki/User:" &amp; ENCODEURL("AmiGueko"), "AmiGueko")</f>
        <v>AmiGueko</v>
      </c>
      <c r="B1524" s="11" t="s">
        <v>3167</v>
      </c>
      <c r="C1524" s="12">
        <v>46178.3959375</v>
      </c>
      <c r="D1524" s="11" t="s">
        <v>3168</v>
      </c>
      <c r="E1524" s="14" t="s">
        <v>103</v>
      </c>
      <c r="F1524" s="15" t="s">
        <v>16</v>
      </c>
      <c r="G1524" s="15" t="s">
        <v>17</v>
      </c>
      <c r="H1524" s="15" t="s">
        <v>18</v>
      </c>
      <c r="I1524" s="14" t="str">
        <f>IMAGE("https://upload.wikimedia.org/wikipedia/commons/3/36/Oreja_de_elefante.jpg")</f>
        <v/>
      </c>
    </row>
    <row r="1525" ht="36.0" customHeight="1">
      <c r="A1525" s="16" t="str">
        <f t="shared" ref="A1525:A1526" si="195">HYPERLINK("https://commons.wikimedia.org/wiki/User:" &amp; ENCODEURL("Nathaly 1106"), "Nathaly 1106")</f>
        <v>Nathaly 1106</v>
      </c>
      <c r="B1525" s="17" t="s">
        <v>3169</v>
      </c>
      <c r="C1525" s="18">
        <v>46147.60940972222</v>
      </c>
      <c r="D1525" s="17" t="s">
        <v>3170</v>
      </c>
      <c r="E1525" s="19" t="s">
        <v>29</v>
      </c>
      <c r="F1525" s="19" t="s">
        <v>30</v>
      </c>
      <c r="G1525" s="20" t="s">
        <v>17</v>
      </c>
      <c r="H1525" s="20" t="s">
        <v>18</v>
      </c>
      <c r="I1525" s="19" t="str">
        <f>IMAGE("https://upload.wikimedia.org/wikipedia/commons/c/c8/Oreja_de_elefante_%28Colocasia_esculenta%29.jpg")</f>
        <v/>
      </c>
    </row>
    <row r="1526" ht="36.0" customHeight="1">
      <c r="A1526" s="10" t="str">
        <f t="shared" si="195"/>
        <v>Nathaly 1106</v>
      </c>
      <c r="B1526" s="11" t="s">
        <v>3171</v>
      </c>
      <c r="C1526" s="12">
        <v>46147.60938657408</v>
      </c>
      <c r="D1526" s="11" t="s">
        <v>3170</v>
      </c>
      <c r="E1526" s="14" t="s">
        <v>29</v>
      </c>
      <c r="F1526" s="14" t="s">
        <v>30</v>
      </c>
      <c r="G1526" s="15" t="s">
        <v>17</v>
      </c>
      <c r="H1526" s="15" t="s">
        <v>18</v>
      </c>
      <c r="I1526" s="14" t="str">
        <f>IMAGE("https://upload.wikimedia.org/wikipedia/commons/2/26/Oreja_de_elefante_en_relaci%C3%B3n_a_mano_humana_%28Colocasia_esculenta%29.jpg")</f>
        <v/>
      </c>
    </row>
    <row r="1527" ht="36.0" customHeight="1">
      <c r="A1527" s="16" t="str">
        <f>HYPERLINK("https://commons.wikimedia.org/wiki/User:" &amp; ENCODEURL("DeibyJk"), "DeibyJk")</f>
        <v>DeibyJk</v>
      </c>
      <c r="B1527" s="17" t="s">
        <v>3172</v>
      </c>
      <c r="C1527" s="18">
        <v>46166.942083333335</v>
      </c>
      <c r="D1527" s="17" t="s">
        <v>3173</v>
      </c>
      <c r="E1527" s="19" t="s">
        <v>29</v>
      </c>
      <c r="F1527" s="19" t="s">
        <v>30</v>
      </c>
      <c r="G1527" s="20" t="s">
        <v>17</v>
      </c>
      <c r="H1527" s="20" t="s">
        <v>18</v>
      </c>
      <c r="I1527" s="19" t="str">
        <f>IMAGE("https://upload.wikimedia.org/wikipedia/commons/c/cf/Orejashuila_14.jpg")</f>
        <v/>
      </c>
    </row>
    <row r="1528" ht="36.0" customHeight="1">
      <c r="A1528" s="10" t="str">
        <f>HYPERLINK("https://commons.wikimedia.org/wiki/User:" &amp; ENCODEURL("JACAndreas"), "JACAndreas")</f>
        <v>JACAndreas</v>
      </c>
      <c r="B1528" s="11" t="s">
        <v>3174</v>
      </c>
      <c r="C1528" s="12">
        <v>46203.65078703704</v>
      </c>
      <c r="D1528" s="11" t="s">
        <v>3175</v>
      </c>
      <c r="E1528" s="14" t="s">
        <v>29</v>
      </c>
      <c r="F1528" s="14" t="s">
        <v>30</v>
      </c>
      <c r="G1528" s="15" t="s">
        <v>17</v>
      </c>
      <c r="H1528" s="15" t="s">
        <v>18</v>
      </c>
      <c r="I1528" s="14" t="str">
        <f>IMAGE("https://upload.wikimedia.org/wikipedia/commons/4/4e/Orion_y_la_Luna_Suesca_10_enero_2025.jpg")</f>
        <v/>
      </c>
    </row>
    <row r="1529" ht="36.0" customHeight="1">
      <c r="A1529" s="16" t="str">
        <f>HYPERLINK("https://commons.wikimedia.org/wiki/User:" &amp; ENCODEURL("Yiyi93"), "Yiyi93")</f>
        <v>Yiyi93</v>
      </c>
      <c r="B1529" s="17" t="s">
        <v>3176</v>
      </c>
      <c r="C1529" s="18">
        <v>46163.58164351852</v>
      </c>
      <c r="D1529" s="17" t="s">
        <v>1901</v>
      </c>
      <c r="E1529" s="19" t="s">
        <v>29</v>
      </c>
      <c r="F1529" s="19" t="s">
        <v>30</v>
      </c>
      <c r="G1529" s="20" t="s">
        <v>17</v>
      </c>
      <c r="H1529" s="20" t="s">
        <v>18</v>
      </c>
      <c r="I1529" s="19" t="str">
        <f>IMAGE("https://upload.wikimedia.org/wikipedia/commons/9/9d/Orquidea_de_la_reserva_de_natural_de_Guataqui_de_potosi.jpg")</f>
        <v/>
      </c>
    </row>
    <row r="1530" ht="36.0" customHeight="1">
      <c r="A1530" s="10" t="str">
        <f>HYPERLINK("https://commons.wikimedia.org/wiki/User:" &amp; ENCODEURL("Juanrapave"), "Juanrapave")</f>
        <v>Juanrapave</v>
      </c>
      <c r="B1530" s="11" t="s">
        <v>3177</v>
      </c>
      <c r="C1530" s="12">
        <v>46166.313159722224</v>
      </c>
      <c r="D1530" s="11" t="s">
        <v>3178</v>
      </c>
      <c r="E1530" s="14" t="s">
        <v>29</v>
      </c>
      <c r="F1530" s="14" t="s">
        <v>30</v>
      </c>
      <c r="G1530" s="15" t="s">
        <v>17</v>
      </c>
      <c r="H1530" s="15" t="s">
        <v>18</v>
      </c>
      <c r="I1530" s="14" t="str">
        <f>IMAGE("https://upload.wikimedia.org/wikipedia/commons/d/dd/Orquidea_en_casa_en_Ruinas.jpg")</f>
        <v/>
      </c>
    </row>
    <row r="1531" ht="36.0" customHeight="1">
      <c r="A1531" s="16" t="str">
        <f>HYPERLINK("https://commons.wikimedia.org/wiki/User:" &amp; ENCODEURL("AmiGueko"), "AmiGueko")</f>
        <v>AmiGueko</v>
      </c>
      <c r="B1531" s="17" t="s">
        <v>3179</v>
      </c>
      <c r="C1531" s="18">
        <v>46177.8984375</v>
      </c>
      <c r="D1531" s="17" t="s">
        <v>3180</v>
      </c>
      <c r="E1531" s="19" t="s">
        <v>2108</v>
      </c>
      <c r="F1531" s="20" t="s">
        <v>16</v>
      </c>
      <c r="G1531" s="20" t="s">
        <v>17</v>
      </c>
      <c r="H1531" s="20" t="s">
        <v>18</v>
      </c>
      <c r="I1531" s="19" t="str">
        <f>IMAGE("https://upload.wikimedia.org/wikipedia/commons/d/d4/Orquidea_mayo_de_2026.jpg")</f>
        <v/>
      </c>
    </row>
    <row r="1532" ht="36.0" customHeight="1">
      <c r="A1532" s="10" t="str">
        <f t="shared" ref="A1532:A1533" si="196">HYPERLINK("https://commons.wikimedia.org/wiki/User:" &amp; ENCODEURL("Nathaly 1106"), "Nathaly 1106")</f>
        <v>Nathaly 1106</v>
      </c>
      <c r="B1532" s="11" t="s">
        <v>3181</v>
      </c>
      <c r="C1532" s="12">
        <v>46147.626759259256</v>
      </c>
      <c r="D1532" s="11" t="s">
        <v>3182</v>
      </c>
      <c r="E1532" s="14" t="s">
        <v>29</v>
      </c>
      <c r="F1532" s="14" t="s">
        <v>30</v>
      </c>
      <c r="G1532" s="15" t="s">
        <v>17</v>
      </c>
      <c r="H1532" s="15" t="s">
        <v>18</v>
      </c>
      <c r="I1532" s="14" t="str">
        <f>IMAGE("https://upload.wikimedia.org/wikipedia/commons/3/3b/Orqu%C3%ADdea_%28Gomphichis%29.jpg")</f>
        <v/>
      </c>
    </row>
    <row r="1533" ht="36.0" customHeight="1">
      <c r="A1533" s="16" t="str">
        <f t="shared" si="196"/>
        <v>Nathaly 1106</v>
      </c>
      <c r="B1533" s="17" t="s">
        <v>3183</v>
      </c>
      <c r="C1533" s="18">
        <v>46147.62679398148</v>
      </c>
      <c r="D1533" s="17" t="s">
        <v>3184</v>
      </c>
      <c r="E1533" s="19" t="s">
        <v>29</v>
      </c>
      <c r="F1533" s="19" t="s">
        <v>30</v>
      </c>
      <c r="G1533" s="20" t="s">
        <v>17</v>
      </c>
      <c r="H1533" s="20" t="s">
        <v>18</v>
      </c>
      <c r="I1533" s="19" t="str">
        <f>IMAGE("https://upload.wikimedia.org/wikipedia/commons/6/6a/Orqu%C3%ADdea_%28Oncidium%29.jpg")</f>
        <v/>
      </c>
    </row>
    <row r="1534" ht="36.0" customHeight="1">
      <c r="A1534" s="10" t="str">
        <f>HYPERLINK("https://commons.wikimedia.org/wiki/User:" &amp; ENCODEURL("Dalacuel"), "Dalacuel")</f>
        <v>Dalacuel</v>
      </c>
      <c r="B1534" s="11" t="s">
        <v>3185</v>
      </c>
      <c r="C1534" s="12">
        <v>46194.598807870374</v>
      </c>
      <c r="D1534" s="11" t="s">
        <v>3186</v>
      </c>
      <c r="E1534" s="14" t="s">
        <v>3187</v>
      </c>
      <c r="F1534" s="15" t="s">
        <v>16</v>
      </c>
      <c r="G1534" s="15" t="s">
        <v>17</v>
      </c>
      <c r="H1534" s="15" t="s">
        <v>18</v>
      </c>
      <c r="I1534" s="14" t="str">
        <f>IMAGE("https://upload.wikimedia.org/wikipedia/commons/8/83/Orqu%C3%ADdea_cactus.jpg")</f>
        <v/>
      </c>
    </row>
    <row r="1535" ht="36.0" customHeight="1">
      <c r="A1535" s="16" t="str">
        <f>HYPERLINK("https://commons.wikimedia.org/wiki/User:" &amp; ENCODEURL("Mpmarula1"), "Mpmarula1")</f>
        <v>Mpmarula1</v>
      </c>
      <c r="B1535" s="17" t="s">
        <v>3188</v>
      </c>
      <c r="C1535" s="18">
        <v>46150.99618055556</v>
      </c>
      <c r="D1535" s="17" t="s">
        <v>3189</v>
      </c>
      <c r="E1535" s="19" t="s">
        <v>3190</v>
      </c>
      <c r="F1535" s="20" t="s">
        <v>16</v>
      </c>
      <c r="G1535" s="20" t="s">
        <v>17</v>
      </c>
      <c r="H1535" s="20" t="s">
        <v>18</v>
      </c>
      <c r="I1535" s="19" t="str">
        <f>IMAGE("https://upload.wikimedia.org/wikipedia/commons/a/a5/Orqu%C3%ADdea_colombiana.jpg")</f>
        <v/>
      </c>
    </row>
    <row r="1536" ht="36.0" customHeight="1">
      <c r="A1536" s="10" t="str">
        <f t="shared" ref="A1536:A1537" si="197">HYPERLINK("https://commons.wikimedia.org/wiki/User:" &amp; ENCODEURL("Nbareschu"), "Nbareschu")</f>
        <v>Nbareschu</v>
      </c>
      <c r="B1536" s="11" t="s">
        <v>3191</v>
      </c>
      <c r="C1536" s="12">
        <v>46149.421111111114</v>
      </c>
      <c r="D1536" s="11" t="s">
        <v>3192</v>
      </c>
      <c r="E1536" s="14" t="s">
        <v>3193</v>
      </c>
      <c r="F1536" s="15" t="s">
        <v>16</v>
      </c>
      <c r="G1536" s="15" t="s">
        <v>17</v>
      </c>
      <c r="H1536" s="15" t="s">
        <v>18</v>
      </c>
      <c r="I1536" s="14" t="str">
        <f>IMAGE("https://upload.wikimedia.org/wikipedia/commons/4/45/Orqu%C3%ADdea_de_cruz_verde.jpg")</f>
        <v/>
      </c>
    </row>
    <row r="1537" ht="36.0" customHeight="1">
      <c r="A1537" s="16" t="str">
        <f t="shared" si="197"/>
        <v>Nbareschu</v>
      </c>
      <c r="B1537" s="17" t="s">
        <v>3194</v>
      </c>
      <c r="C1537" s="18">
        <v>46149.42107638889</v>
      </c>
      <c r="D1537" s="17" t="s">
        <v>3195</v>
      </c>
      <c r="E1537" s="19" t="s">
        <v>3196</v>
      </c>
      <c r="F1537" s="20" t="s">
        <v>16</v>
      </c>
      <c r="G1537" s="20" t="s">
        <v>17</v>
      </c>
      <c r="H1537" s="20" t="s">
        <v>18</v>
      </c>
      <c r="I1537" s="19" t="str">
        <f>IMAGE("https://upload.wikimedia.org/wikipedia/commons/5/5b/Orqu%C3%ADdea_de_mata_redonda.jpg")</f>
        <v/>
      </c>
    </row>
    <row r="1538" ht="36.0" customHeight="1">
      <c r="A1538" s="10" t="str">
        <f>HYPERLINK("https://commons.wikimedia.org/wiki/User:" &amp; ENCODEURL("NMontoya (WMCO)"), "NMontoya (WMCO)")</f>
        <v>NMontoya (WMCO)</v>
      </c>
      <c r="B1538" s="11" t="s">
        <v>3197</v>
      </c>
      <c r="C1538" s="12">
        <v>46191.8078125</v>
      </c>
      <c r="D1538" s="11" t="s">
        <v>3198</v>
      </c>
      <c r="E1538" s="14" t="s">
        <v>683</v>
      </c>
      <c r="F1538" s="15" t="s">
        <v>16</v>
      </c>
      <c r="G1538" s="15" t="s">
        <v>17</v>
      </c>
      <c r="H1538" s="15" t="s">
        <v>18</v>
      </c>
      <c r="I1538" s="14" t="str">
        <f>IMAGE("https://upload.wikimedia.org/wikipedia/commons/8/8a/Orqu%C3%ADdea_de_tierra_-_Spathoglottis_plicata_Blume.jpg")</f>
        <v/>
      </c>
    </row>
    <row r="1539" ht="36.0" customHeight="1">
      <c r="A1539" s="16" t="str">
        <f>HYPERLINK("https://commons.wikimedia.org/wiki/User:" &amp; ENCODEURL("Juli 2000 her"), "Juli 2000 her")</f>
        <v>Juli 2000 her</v>
      </c>
      <c r="B1539" s="17" t="s">
        <v>3199</v>
      </c>
      <c r="C1539" s="18">
        <v>46189.05420138889</v>
      </c>
      <c r="D1539" s="17" t="s">
        <v>3200</v>
      </c>
      <c r="E1539" s="19" t="s">
        <v>29</v>
      </c>
      <c r="F1539" s="19" t="s">
        <v>30</v>
      </c>
      <c r="G1539" s="20" t="s">
        <v>17</v>
      </c>
      <c r="H1539" s="20" t="s">
        <v>18</v>
      </c>
      <c r="I1539" s="19" t="str">
        <f>IMAGE("https://upload.wikimedia.org/wikipedia/commons/4/4c/Orqu%C3%ADdea_del_g%C3%A9nero_Oncidium_en_la_Reserva_Biol%C3%B3gica_Encenillo%2C_Colombia.jpg")</f>
        <v/>
      </c>
    </row>
    <row r="1540" ht="36.0" customHeight="1">
      <c r="A1540" s="10" t="str">
        <f t="shared" ref="A1540:A1547" si="198">HYPERLINK("https://commons.wikimedia.org/wiki/User:" &amp; ENCODEURL("AmiGueko"), "AmiGueko")</f>
        <v>AmiGueko</v>
      </c>
      <c r="B1540" s="11" t="s">
        <v>3201</v>
      </c>
      <c r="C1540" s="12">
        <v>46166.5721875</v>
      </c>
      <c r="D1540" s="11" t="s">
        <v>3202</v>
      </c>
      <c r="E1540" s="14" t="s">
        <v>3203</v>
      </c>
      <c r="F1540" s="15" t="s">
        <v>16</v>
      </c>
      <c r="G1540" s="15" t="s">
        <v>17</v>
      </c>
      <c r="H1540" s="15" t="s">
        <v>18</v>
      </c>
      <c r="I1540" s="14" t="str">
        <f>IMAGE("https://upload.wikimedia.org/wikipedia/commons/6/68/Orqu%C3%ADdeas_%2813744%29.jpg")</f>
        <v/>
      </c>
    </row>
    <row r="1541" ht="36.0" customHeight="1">
      <c r="A1541" s="16" t="str">
        <f t="shared" si="198"/>
        <v>AmiGueko</v>
      </c>
      <c r="B1541" s="17" t="s">
        <v>3204</v>
      </c>
      <c r="C1541" s="18">
        <v>46166.5718287037</v>
      </c>
      <c r="D1541" s="17" t="s">
        <v>3202</v>
      </c>
      <c r="E1541" s="19" t="s">
        <v>3205</v>
      </c>
      <c r="F1541" s="20" t="s">
        <v>16</v>
      </c>
      <c r="G1541" s="20" t="s">
        <v>17</v>
      </c>
      <c r="H1541" s="20" t="s">
        <v>18</v>
      </c>
      <c r="I1541" s="19" t="str">
        <f>IMAGE("https://upload.wikimedia.org/wikipedia/commons/c/c1/Orqu%C3%ADdeas_%2825083%29.jpg")</f>
        <v/>
      </c>
    </row>
    <row r="1542" ht="36.0" customHeight="1">
      <c r="A1542" s="10" t="str">
        <f t="shared" si="198"/>
        <v>AmiGueko</v>
      </c>
      <c r="B1542" s="11" t="s">
        <v>3206</v>
      </c>
      <c r="C1542" s="12">
        <v>46166.571967592594</v>
      </c>
      <c r="D1542" s="11" t="s">
        <v>3202</v>
      </c>
      <c r="E1542" s="14" t="s">
        <v>3207</v>
      </c>
      <c r="F1542" s="15" t="s">
        <v>16</v>
      </c>
      <c r="G1542" s="15" t="s">
        <v>17</v>
      </c>
      <c r="H1542" s="15" t="s">
        <v>18</v>
      </c>
      <c r="I1542" s="14" t="str">
        <f>IMAGE("https://upload.wikimedia.org/wikipedia/commons/f/fd/Orqu%C3%ADdeas_%2843127%29.jpg")</f>
        <v/>
      </c>
    </row>
    <row r="1543" ht="36.0" customHeight="1">
      <c r="A1543" s="16" t="str">
        <f t="shared" si="198"/>
        <v>AmiGueko</v>
      </c>
      <c r="B1543" s="17" t="s">
        <v>3208</v>
      </c>
      <c r="C1543" s="18">
        <v>46166.57251157407</v>
      </c>
      <c r="D1543" s="17" t="s">
        <v>3202</v>
      </c>
      <c r="E1543" s="19" t="s">
        <v>3209</v>
      </c>
      <c r="F1543" s="20" t="s">
        <v>16</v>
      </c>
      <c r="G1543" s="20" t="s">
        <v>17</v>
      </c>
      <c r="H1543" s="20" t="s">
        <v>18</v>
      </c>
      <c r="I1543" s="19" t="str">
        <f>IMAGE("https://upload.wikimedia.org/wikipedia/commons/e/e0/Orqu%C3%ADdeas_%2858671%29.jpg")</f>
        <v/>
      </c>
    </row>
    <row r="1544" ht="36.0" customHeight="1">
      <c r="A1544" s="10" t="str">
        <f t="shared" si="198"/>
        <v>AmiGueko</v>
      </c>
      <c r="B1544" s="11" t="s">
        <v>3210</v>
      </c>
      <c r="C1544" s="12">
        <v>46166.57241898148</v>
      </c>
      <c r="D1544" s="11" t="s">
        <v>3202</v>
      </c>
      <c r="E1544" s="14" t="s">
        <v>3211</v>
      </c>
      <c r="F1544" s="15" t="s">
        <v>16</v>
      </c>
      <c r="G1544" s="15" t="s">
        <v>17</v>
      </c>
      <c r="H1544" s="15" t="s">
        <v>18</v>
      </c>
      <c r="I1544" s="14" t="str">
        <f>IMAGE("https://upload.wikimedia.org/wikipedia/commons/e/ec/Orqu%C3%ADdeas_%2879044%29.jpg")</f>
        <v/>
      </c>
    </row>
    <row r="1545" ht="36.0" customHeight="1">
      <c r="A1545" s="16" t="str">
        <f t="shared" si="198"/>
        <v>AmiGueko</v>
      </c>
      <c r="B1545" s="17" t="s">
        <v>3212</v>
      </c>
      <c r="C1545" s="18">
        <v>46166.572291666664</v>
      </c>
      <c r="D1545" s="17" t="s">
        <v>3202</v>
      </c>
      <c r="E1545" s="19" t="s">
        <v>3213</v>
      </c>
      <c r="F1545" s="20" t="s">
        <v>16</v>
      </c>
      <c r="G1545" s="20" t="s">
        <v>17</v>
      </c>
      <c r="H1545" s="20" t="s">
        <v>18</v>
      </c>
      <c r="I1545" s="19" t="str">
        <f>IMAGE("https://upload.wikimedia.org/wikipedia/commons/7/77/Orqu%C3%ADdeas_%2881266%29.jpg")</f>
        <v/>
      </c>
    </row>
    <row r="1546" ht="36.0" customHeight="1">
      <c r="A1546" s="10" t="str">
        <f t="shared" si="198"/>
        <v>AmiGueko</v>
      </c>
      <c r="B1546" s="11" t="s">
        <v>3214</v>
      </c>
      <c r="C1546" s="12">
        <v>46166.57261574074</v>
      </c>
      <c r="D1546" s="11" t="s">
        <v>3202</v>
      </c>
      <c r="E1546" s="14" t="s">
        <v>3215</v>
      </c>
      <c r="F1546" s="15" t="s">
        <v>16</v>
      </c>
      <c r="G1546" s="15" t="s">
        <v>17</v>
      </c>
      <c r="H1546" s="15" t="s">
        <v>18</v>
      </c>
      <c r="I1546" s="14" t="str">
        <f>IMAGE("https://upload.wikimedia.org/wikipedia/commons/0/06/Orqu%C3%ADdeas_%2881617%29.jpg")</f>
        <v/>
      </c>
    </row>
    <row r="1547" ht="36.0" customHeight="1">
      <c r="A1547" s="16" t="str">
        <f t="shared" si="198"/>
        <v>AmiGueko</v>
      </c>
      <c r="B1547" s="17" t="s">
        <v>3216</v>
      </c>
      <c r="C1547" s="18">
        <v>46166.57209490741</v>
      </c>
      <c r="D1547" s="17" t="s">
        <v>3202</v>
      </c>
      <c r="E1547" s="19" t="s">
        <v>3217</v>
      </c>
      <c r="F1547" s="20" t="s">
        <v>16</v>
      </c>
      <c r="G1547" s="20" t="s">
        <v>17</v>
      </c>
      <c r="H1547" s="20" t="s">
        <v>18</v>
      </c>
      <c r="I1547" s="19" t="str">
        <f>IMAGE("https://upload.wikimedia.org/wikipedia/commons/a/ae/Orqu%C3%ADdeas_%2886734%29.jpg")</f>
        <v/>
      </c>
    </row>
    <row r="1548" ht="36.0" customHeight="1">
      <c r="A1548" s="10" t="str">
        <f>HYPERLINK("https://commons.wikimedia.org/wiki/User:" &amp; ENCODEURL("Diferoch"), "Diferoch")</f>
        <v>Diferoch</v>
      </c>
      <c r="B1548" s="11" t="s">
        <v>3218</v>
      </c>
      <c r="C1548" s="12">
        <v>46190.84474537037</v>
      </c>
      <c r="D1548" s="11" t="s">
        <v>3219</v>
      </c>
      <c r="E1548" s="14" t="s">
        <v>3220</v>
      </c>
      <c r="F1548" s="15" t="s">
        <v>16</v>
      </c>
      <c r="G1548" s="15" t="s">
        <v>17</v>
      </c>
      <c r="H1548" s="15" t="s">
        <v>18</v>
      </c>
      <c r="I1548" s="14" t="str">
        <f>IMAGE("https://upload.wikimedia.org/wikipedia/commons/7/7c/Orthoptera_-_Cimitarra%2C_Santander%2C_Colombia_-_30_Sep_2025_-_Diferoch.jpg")</f>
        <v/>
      </c>
    </row>
    <row r="1549" ht="36.0" customHeight="1">
      <c r="A1549" s="16" t="str">
        <f>HYPERLINK("https://commons.wikimedia.org/wiki/User:" &amp; ENCODEURL("Eumastacidae"), "Eumastacidae")</f>
        <v>Eumastacidae</v>
      </c>
      <c r="B1549" s="17" t="s">
        <v>3221</v>
      </c>
      <c r="C1549" s="18">
        <v>46163.529490740744</v>
      </c>
      <c r="D1549" s="17" t="s">
        <v>3222</v>
      </c>
      <c r="E1549" s="19" t="s">
        <v>29</v>
      </c>
      <c r="F1549" s="19" t="s">
        <v>30</v>
      </c>
      <c r="G1549" s="20" t="s">
        <v>17</v>
      </c>
      <c r="H1549" s="20" t="s">
        <v>18</v>
      </c>
      <c r="I1549" s="19" t="str">
        <f>IMAGE("https://upload.wikimedia.org/wikipedia/commons/7/71/Orthoptero_en_Iza%2C_Boyac%C3%A1.jpg")</f>
        <v/>
      </c>
    </row>
    <row r="1550" ht="36.0" customHeight="1">
      <c r="A1550" s="10" t="str">
        <f>HYPERLINK("https://commons.wikimedia.org/wiki/User:" &amp; ENCODEURL("Jhas24.09"), "Jhas24.09")</f>
        <v>Jhas24.09</v>
      </c>
      <c r="B1550" s="11" t="s">
        <v>3223</v>
      </c>
      <c r="C1550" s="12">
        <v>46160.10162037037</v>
      </c>
      <c r="D1550" s="11" t="s">
        <v>3224</v>
      </c>
      <c r="E1550" s="14" t="s">
        <v>29</v>
      </c>
      <c r="F1550" s="14" t="s">
        <v>30</v>
      </c>
      <c r="G1550" s="15" t="s">
        <v>17</v>
      </c>
      <c r="H1550" s="15" t="s">
        <v>18</v>
      </c>
      <c r="I1550" s="14" t="str">
        <f>IMAGE("https://upload.wikimedia.org/wikipedia/commons/5/5b/Oruga_de_la_mariposa_monarca_sudamericana.jpg")</f>
        <v/>
      </c>
    </row>
    <row r="1551" ht="36.0" customHeight="1">
      <c r="A1551" s="16" t="str">
        <f>HYPERLINK("https://commons.wikimedia.org/wiki/User:" &amp; ENCODEURL("Alzevi"), "Alzevi")</f>
        <v>Alzevi</v>
      </c>
      <c r="B1551" s="17" t="s">
        <v>3225</v>
      </c>
      <c r="C1551" s="18">
        <v>46149.55134259259</v>
      </c>
      <c r="D1551" s="17" t="s">
        <v>3226</v>
      </c>
      <c r="E1551" s="19" t="s">
        <v>29</v>
      </c>
      <c r="F1551" s="19" t="s">
        <v>30</v>
      </c>
      <c r="G1551" s="20" t="s">
        <v>17</v>
      </c>
      <c r="H1551" s="20" t="s">
        <v>18</v>
      </c>
      <c r="I1551" s="19" t="str">
        <f>IMAGE("https://upload.wikimedia.org/wikipedia/commons/f/f0/Oruga_de_mariposa_monarca.jpg")</f>
        <v/>
      </c>
    </row>
    <row r="1552" ht="36.0" customHeight="1">
      <c r="A1552" s="10" t="str">
        <f>HYPERLINK("https://commons.wikimedia.org/wiki/User:" &amp; ENCODEURL("Pilarrb9286"), "Pilarrb9286")</f>
        <v>Pilarrb9286</v>
      </c>
      <c r="B1552" s="11" t="s">
        <v>3227</v>
      </c>
      <c r="C1552" s="12">
        <v>46150.85334490741</v>
      </c>
      <c r="D1552" s="11" t="s">
        <v>3228</v>
      </c>
      <c r="E1552" s="14" t="s">
        <v>283</v>
      </c>
      <c r="F1552" s="15" t="s">
        <v>16</v>
      </c>
      <c r="G1552" s="15" t="s">
        <v>17</v>
      </c>
      <c r="H1552" s="15" t="s">
        <v>18</v>
      </c>
      <c r="I1552" s="14" t="str">
        <f>IMAGE("https://upload.wikimedia.org/wikipedia/commons/8/8e/Oruga_Paipa.jpg")</f>
        <v/>
      </c>
    </row>
    <row r="1553" ht="36.0" customHeight="1">
      <c r="A1553" s="16" t="str">
        <f>HYPERLINK("https://commons.wikimedia.org/wiki/User:" &amp; ENCODEURL("Rodrigomacrophoto"), "Rodrigomacrophoto")</f>
        <v>Rodrigomacrophoto</v>
      </c>
      <c r="B1553" s="17" t="s">
        <v>3229</v>
      </c>
      <c r="C1553" s="18">
        <v>46146.7225</v>
      </c>
      <c r="D1553" s="17" t="s">
        <v>3230</v>
      </c>
      <c r="E1553" s="19" t="s">
        <v>3231</v>
      </c>
      <c r="F1553" s="20" t="s">
        <v>16</v>
      </c>
      <c r="G1553" s="20" t="s">
        <v>17</v>
      </c>
      <c r="H1553" s="20" t="s">
        <v>18</v>
      </c>
      <c r="I1553" s="19" t="str">
        <f>IMAGE("https://upload.wikimedia.org/wikipedia/commons/a/a3/Oruga_de_polilla_cesta_de_oro.jpg")</f>
        <v/>
      </c>
    </row>
    <row r="1554" ht="36.0" customHeight="1">
      <c r="A1554" s="10" t="str">
        <f t="shared" ref="A1554:A1555" si="199">HYPERLINK("https://commons.wikimedia.org/wiki/User:" &amp; ENCODEURL("AmiGueko"), "AmiGueko")</f>
        <v>AmiGueko</v>
      </c>
      <c r="B1554" s="11" t="s">
        <v>3232</v>
      </c>
      <c r="C1554" s="12">
        <v>46156.96425925926</v>
      </c>
      <c r="D1554" s="11" t="s">
        <v>3233</v>
      </c>
      <c r="E1554" s="14" t="s">
        <v>3234</v>
      </c>
      <c r="F1554" s="15" t="s">
        <v>16</v>
      </c>
      <c r="G1554" s="15" t="s">
        <v>17</v>
      </c>
      <c r="H1554" s="15" t="s">
        <v>18</v>
      </c>
      <c r="I1554" s="14" t="str">
        <f>IMAGE("https://upload.wikimedia.org/wikipedia/commons/d/d1/Oruga_en_San_Francisco%2C_Cundinamarca.jpg")</f>
        <v/>
      </c>
    </row>
    <row r="1555" ht="36.0" customHeight="1">
      <c r="A1555" s="16" t="str">
        <f t="shared" si="199"/>
        <v>AmiGueko</v>
      </c>
      <c r="B1555" s="17" t="s">
        <v>3235</v>
      </c>
      <c r="C1555" s="18">
        <v>46166.59155092593</v>
      </c>
      <c r="D1555" s="17" t="s">
        <v>3236</v>
      </c>
      <c r="E1555" s="19" t="s">
        <v>3237</v>
      </c>
      <c r="F1555" s="20" t="s">
        <v>16</v>
      </c>
      <c r="G1555" s="20" t="s">
        <v>17</v>
      </c>
      <c r="H1555" s="20" t="s">
        <v>18</v>
      </c>
      <c r="I1555" s="19" t="str">
        <f>IMAGE("https://upload.wikimedia.org/wikipedia/commons/7/70/Orugas.jpg")</f>
        <v/>
      </c>
    </row>
    <row r="1556" ht="36.0" customHeight="1">
      <c r="A1556" s="10" t="str">
        <f t="shared" ref="A1556:A1557" si="200">HYPERLINK("https://commons.wikimedia.org/wiki/User:" &amp; ENCODEURL("Elprofeta91"), "Elprofeta91")</f>
        <v>Elprofeta91</v>
      </c>
      <c r="B1556" s="11" t="s">
        <v>3238</v>
      </c>
      <c r="C1556" s="12">
        <v>46147.79126157407</v>
      </c>
      <c r="D1556" s="11" t="s">
        <v>32</v>
      </c>
      <c r="E1556" s="14" t="s">
        <v>3239</v>
      </c>
      <c r="F1556" s="15" t="s">
        <v>16</v>
      </c>
      <c r="G1556" s="15" t="s">
        <v>17</v>
      </c>
      <c r="H1556" s="15" t="s">
        <v>18</v>
      </c>
      <c r="I1556" s="14" t="str">
        <f>IMAGE("https://upload.wikimedia.org/wikipedia/commons/1/14/Otro_d%C3%ADa.jpg")</f>
        <v/>
      </c>
    </row>
    <row r="1557" ht="36.0" customHeight="1">
      <c r="A1557" s="16" t="str">
        <f t="shared" si="200"/>
        <v>Elprofeta91</v>
      </c>
      <c r="B1557" s="17" t="s">
        <v>3240</v>
      </c>
      <c r="C1557" s="18">
        <v>46147.791180555556</v>
      </c>
      <c r="D1557" s="17" t="s">
        <v>32</v>
      </c>
      <c r="E1557" s="19" t="s">
        <v>3241</v>
      </c>
      <c r="F1557" s="20" t="s">
        <v>16</v>
      </c>
      <c r="G1557" s="20" t="s">
        <v>17</v>
      </c>
      <c r="H1557" s="20" t="s">
        <v>18</v>
      </c>
      <c r="I1557" s="19" t="str">
        <f>IMAGE("https://upload.wikimedia.org/wikipedia/commons/9/9c/Otro_d%C3%ADa_normal.jpg")</f>
        <v/>
      </c>
    </row>
    <row r="1558" ht="36.0" customHeight="1">
      <c r="A1558" s="10" t="str">
        <f t="shared" ref="A1558:A1559" si="201">HYPERLINK("https://commons.wikimedia.org/wiki/User:" &amp; ENCODEURL("Diferoch"), "Diferoch")</f>
        <v>Diferoch</v>
      </c>
      <c r="B1558" s="11" t="s">
        <v>3242</v>
      </c>
      <c r="C1558" s="12">
        <v>46197.98815972222</v>
      </c>
      <c r="D1558" s="11" t="s">
        <v>3243</v>
      </c>
      <c r="E1558" s="14" t="s">
        <v>3244</v>
      </c>
      <c r="F1558" s="15" t="s">
        <v>16</v>
      </c>
      <c r="G1558" s="15" t="s">
        <v>17</v>
      </c>
      <c r="H1558" s="15" t="s">
        <v>18</v>
      </c>
      <c r="I1558" s="14" t="str">
        <f>IMAGE("https://upload.wikimedia.org/wikipedia/commons/0/0e/Pacific_Ocean_-_Nuqu%C3%AD%2C_Choc%C3%B3%2C_Colombia_-_22_Oct_2025_-_Diferoch.jpg")</f>
        <v/>
      </c>
    </row>
    <row r="1559" ht="36.0" customHeight="1">
      <c r="A1559" s="16" t="str">
        <f t="shared" si="201"/>
        <v>Diferoch</v>
      </c>
      <c r="B1559" s="17" t="s">
        <v>3245</v>
      </c>
      <c r="C1559" s="18">
        <v>46198.742418981485</v>
      </c>
      <c r="D1559" s="17" t="s">
        <v>3246</v>
      </c>
      <c r="E1559" s="19" t="s">
        <v>3247</v>
      </c>
      <c r="F1559" s="20" t="s">
        <v>16</v>
      </c>
      <c r="G1559" s="20" t="s">
        <v>17</v>
      </c>
      <c r="H1559" s="20" t="s">
        <v>18</v>
      </c>
      <c r="I1559" s="19" t="str">
        <f>IMAGE("https://upload.wikimedia.org/wikipedia/commons/b/bc/Pacific_Ocean_-_Nuqu%C3%AD%2C_Choc%C3%B3%2C_Colombia_-_23_Oct_2025_-_Diferoch.jpg")</f>
        <v/>
      </c>
    </row>
    <row r="1560" ht="36.0" customHeight="1">
      <c r="A1560" s="10" t="str">
        <f>HYPERLINK("https://commons.wikimedia.org/wiki/User:" &amp; ENCODEURL("Lualollipop"), "Lualollipop")</f>
        <v>Lualollipop</v>
      </c>
      <c r="B1560" s="11" t="s">
        <v>3248</v>
      </c>
      <c r="C1560" s="12">
        <v>46200.608622685184</v>
      </c>
      <c r="D1560" s="11" t="s">
        <v>3249</v>
      </c>
      <c r="E1560" s="14" t="s">
        <v>29</v>
      </c>
      <c r="F1560" s="14" t="s">
        <v>30</v>
      </c>
      <c r="G1560" s="15" t="s">
        <v>17</v>
      </c>
      <c r="H1560" s="15" t="s">
        <v>18</v>
      </c>
      <c r="I1560" s="14" t="str">
        <f>IMAGE("https://upload.wikimedia.org/wikipedia/commons/4/4a/Paipa%2C_Boyac%C3%A1%2C_2026.jpg")</f>
        <v/>
      </c>
    </row>
    <row r="1561" ht="36.0" customHeight="1">
      <c r="A1561" s="16" t="str">
        <f>HYPERLINK("https://commons.wikimedia.org/wiki/User:" &amp; ENCODEURL("Saboru Miro"), "Saboru Miro")</f>
        <v>Saboru Miro</v>
      </c>
      <c r="B1561" s="17" t="s">
        <v>3250</v>
      </c>
      <c r="C1561" s="18">
        <v>46143.40877314815</v>
      </c>
      <c r="D1561" s="17" t="s">
        <v>3251</v>
      </c>
      <c r="E1561" s="19" t="s">
        <v>29</v>
      </c>
      <c r="F1561" s="19" t="s">
        <v>30</v>
      </c>
      <c r="G1561" s="20" t="s">
        <v>17</v>
      </c>
      <c r="H1561" s="20" t="s">
        <v>18</v>
      </c>
      <c r="I1561" s="19" t="str">
        <f>IMAGE("https://upload.wikimedia.org/wikipedia/commons/2/21/Pair_of_%22Barranqueros%22_in_the_woods_of_Santa_Elena.jpg")</f>
        <v/>
      </c>
    </row>
    <row r="1562" ht="36.0" customHeight="1">
      <c r="A1562" s="10" t="str">
        <f>HYPERLINK("https://commons.wikimedia.org/wiki/User:" &amp; ENCODEURL("Dsjkkms"), "Dsjkkms")</f>
        <v>Dsjkkms</v>
      </c>
      <c r="B1562" s="11" t="s">
        <v>3252</v>
      </c>
      <c r="C1562" s="12">
        <v>46163.54231481482</v>
      </c>
      <c r="D1562" s="11" t="s">
        <v>3253</v>
      </c>
      <c r="E1562" s="14" t="s">
        <v>29</v>
      </c>
      <c r="F1562" s="14" t="s">
        <v>30</v>
      </c>
      <c r="G1562" s="15" t="s">
        <v>17</v>
      </c>
      <c r="H1562" s="15" t="s">
        <v>18</v>
      </c>
      <c r="I1562" s="14" t="str">
        <f>IMAGE("https://upload.wikimedia.org/wikipedia/commons/8/89/Paisaje_-_Parque_de_los_novios.jpg")</f>
        <v/>
      </c>
    </row>
    <row r="1563" ht="36.0" customHeight="1">
      <c r="A1563" s="16" t="str">
        <f>HYPERLINK("https://commons.wikimedia.org/wiki/User:" &amp; ENCODEURL("Willandre1194"), "Willandre1194")</f>
        <v>Willandre1194</v>
      </c>
      <c r="B1563" s="17" t="s">
        <v>3254</v>
      </c>
      <c r="C1563" s="18">
        <v>46155.66085648148</v>
      </c>
      <c r="D1563" s="17" t="s">
        <v>3255</v>
      </c>
      <c r="E1563" s="19" t="s">
        <v>29</v>
      </c>
      <c r="F1563" s="19" t="s">
        <v>30</v>
      </c>
      <c r="G1563" s="20" t="s">
        <v>17</v>
      </c>
      <c r="H1563" s="20" t="s">
        <v>18</v>
      </c>
      <c r="I1563" s="19" t="str">
        <f>IMAGE("https://upload.wikimedia.org/wikipedia/commons/c/cf/Paisaje_Barichara.jpg")</f>
        <v/>
      </c>
    </row>
    <row r="1564" ht="36.0" customHeight="1">
      <c r="A1564" s="10" t="str">
        <f>HYPERLINK("https://commons.wikimedia.org/wiki/User:" &amp; ENCODEURL("Project5443"), "Project5443")</f>
        <v>Project5443</v>
      </c>
      <c r="B1564" s="11" t="s">
        <v>3256</v>
      </c>
      <c r="C1564" s="12">
        <v>46163.52751157407</v>
      </c>
      <c r="D1564" s="11" t="s">
        <v>3257</v>
      </c>
      <c r="E1564" s="14" t="s">
        <v>1544</v>
      </c>
      <c r="F1564" s="15" t="s">
        <v>16</v>
      </c>
      <c r="G1564" s="15" t="s">
        <v>17</v>
      </c>
      <c r="H1564" s="15" t="s">
        <v>18</v>
      </c>
      <c r="I1564" s="14" t="str">
        <f>IMAGE("https://upload.wikimedia.org/wikipedia/commons/0/09/Paisaje_Ci%C3%A9naga_de_Mallorqu%C3%ADn.jpg")</f>
        <v/>
      </c>
    </row>
    <row r="1565" ht="36.0" customHeight="1">
      <c r="A1565" s="16" t="str">
        <f t="shared" ref="A1565:A1568" si="202">HYPERLINK("https://commons.wikimedia.org/wiki/User:" &amp; ENCODEURL("C0MC25"), "C0MC25")</f>
        <v>C0MC25</v>
      </c>
      <c r="B1565" s="17" t="s">
        <v>3258</v>
      </c>
      <c r="C1565" s="18">
        <v>46163.54304398148</v>
      </c>
      <c r="D1565" s="17" t="s">
        <v>3259</v>
      </c>
      <c r="E1565" s="19" t="s">
        <v>29</v>
      </c>
      <c r="F1565" s="19" t="s">
        <v>30</v>
      </c>
      <c r="G1565" s="20" t="s">
        <v>17</v>
      </c>
      <c r="H1565" s="20" t="s">
        <v>18</v>
      </c>
      <c r="I1565" s="19" t="str">
        <f>IMAGE("https://upload.wikimedia.org/wikipedia/commons/b/bc/Paisaje_Desierto_Gris.jpg")</f>
        <v/>
      </c>
    </row>
    <row r="1566" ht="36.0" customHeight="1">
      <c r="A1566" s="10" t="str">
        <f t="shared" si="202"/>
        <v>C0MC25</v>
      </c>
      <c r="B1566" s="11" t="s">
        <v>3260</v>
      </c>
      <c r="C1566" s="12">
        <v>46163.54304398148</v>
      </c>
      <c r="D1566" s="11" t="s">
        <v>3261</v>
      </c>
      <c r="E1566" s="14" t="s">
        <v>29</v>
      </c>
      <c r="F1566" s="14" t="s">
        <v>30</v>
      </c>
      <c r="G1566" s="15" t="s">
        <v>17</v>
      </c>
      <c r="H1566" s="15" t="s">
        <v>18</v>
      </c>
      <c r="I1566" s="14" t="str">
        <f>IMAGE("https://upload.wikimedia.org/wikipedia/commons/8/8b/Paisaje_Desierto_Tatacoa_01.jpg")</f>
        <v/>
      </c>
    </row>
    <row r="1567" ht="36.0" customHeight="1">
      <c r="A1567" s="16" t="str">
        <f t="shared" si="202"/>
        <v>C0MC25</v>
      </c>
      <c r="B1567" s="17" t="s">
        <v>3262</v>
      </c>
      <c r="C1567" s="18">
        <v>46163.54304398148</v>
      </c>
      <c r="D1567" s="17" t="s">
        <v>3261</v>
      </c>
      <c r="E1567" s="19" t="s">
        <v>29</v>
      </c>
      <c r="F1567" s="19" t="s">
        <v>30</v>
      </c>
      <c r="G1567" s="20" t="s">
        <v>17</v>
      </c>
      <c r="H1567" s="20" t="s">
        <v>18</v>
      </c>
      <c r="I1567" s="19" t="str">
        <f>IMAGE("https://upload.wikimedia.org/wikipedia/commons/6/62/Paisaje_Desierto_Tatacoa_02.jpg")</f>
        <v/>
      </c>
    </row>
    <row r="1568" ht="36.0" customHeight="1">
      <c r="A1568" s="10" t="str">
        <f t="shared" si="202"/>
        <v>C0MC25</v>
      </c>
      <c r="B1568" s="11" t="s">
        <v>3263</v>
      </c>
      <c r="C1568" s="12">
        <v>46163.543078703704</v>
      </c>
      <c r="D1568" s="11" t="s">
        <v>3261</v>
      </c>
      <c r="E1568" s="14" t="s">
        <v>29</v>
      </c>
      <c r="F1568" s="14" t="s">
        <v>30</v>
      </c>
      <c r="G1568" s="15" t="s">
        <v>17</v>
      </c>
      <c r="H1568" s="15" t="s">
        <v>18</v>
      </c>
      <c r="I1568" s="14" t="str">
        <f>IMAGE("https://upload.wikimedia.org/wikipedia/commons/e/ea/Paisaje_Desierto_Tatacoa_03.jpg")</f>
        <v/>
      </c>
    </row>
    <row r="1569" ht="36.0" customHeight="1">
      <c r="A1569" s="16" t="str">
        <f>HYPERLINK("https://commons.wikimedia.org/wiki/User:" &amp; ENCODEURL("Nathaly 1106"), "Nathaly 1106")</f>
        <v>Nathaly 1106</v>
      </c>
      <c r="B1569" s="17" t="s">
        <v>3264</v>
      </c>
      <c r="C1569" s="18">
        <v>46148.61928240741</v>
      </c>
      <c r="D1569" s="17" t="s">
        <v>3265</v>
      </c>
      <c r="E1569" s="19" t="s">
        <v>29</v>
      </c>
      <c r="F1569" s="19" t="s">
        <v>30</v>
      </c>
      <c r="G1569" s="20" t="s">
        <v>17</v>
      </c>
      <c r="H1569" s="20" t="s">
        <v>18</v>
      </c>
      <c r="I1569" s="19" t="str">
        <f>IMAGE("https://upload.wikimedia.org/wikipedia/commons/5/5e/Paisaje_Jard%C3%ADn_Bot%C3%A1nico_de_Bogot%C3%A1.jpg")</f>
        <v/>
      </c>
    </row>
    <row r="1570" ht="36.0" customHeight="1">
      <c r="A1570" s="10" t="str">
        <f>HYPERLINK("https://commons.wikimedia.org/wiki/User:" &amp; ENCODEURL("Maximo10momeridio"), "Maximo10momeridio")</f>
        <v>Maximo10momeridio</v>
      </c>
      <c r="B1570" s="11" t="s">
        <v>3266</v>
      </c>
      <c r="C1570" s="12">
        <v>46163.56689814815</v>
      </c>
      <c r="D1570" s="11" t="s">
        <v>3267</v>
      </c>
      <c r="E1570" s="14" t="s">
        <v>29</v>
      </c>
      <c r="F1570" s="14" t="s">
        <v>30</v>
      </c>
      <c r="G1570" s="15" t="s">
        <v>17</v>
      </c>
      <c r="H1570" s="15" t="s">
        <v>18</v>
      </c>
      <c r="I1570" s="14" t="str">
        <f>IMAGE("https://upload.wikimedia.org/wikipedia/commons/d/d6/Paisaje_av_68_con_3_bogota.jpg")</f>
        <v/>
      </c>
    </row>
    <row r="1571" ht="36.0" customHeight="1">
      <c r="A1571" s="16" t="str">
        <f>HYPERLINK("https://commons.wikimedia.org/wiki/User:" &amp; ENCODEURL("Mfrancoavellaneda"), "Mfrancoavellaneda")</f>
        <v>Mfrancoavellaneda</v>
      </c>
      <c r="B1571" s="17" t="s">
        <v>3268</v>
      </c>
      <c r="C1571" s="18">
        <v>46203.83814814815</v>
      </c>
      <c r="D1571" s="17" t="s">
        <v>3269</v>
      </c>
      <c r="E1571" s="19" t="s">
        <v>29</v>
      </c>
      <c r="F1571" s="19" t="s">
        <v>30</v>
      </c>
      <c r="G1571" s="20" t="s">
        <v>17</v>
      </c>
      <c r="H1571" s="20" t="s">
        <v>18</v>
      </c>
      <c r="I1571" s="19" t="str">
        <f>IMAGE("https://upload.wikimedia.org/wikipedia/commons/8/8f/Paisaje_bosque_seco_tropical_Tatacoa.jpg")</f>
        <v/>
      </c>
    </row>
    <row r="1572" ht="36.0" customHeight="1">
      <c r="A1572" s="10" t="str">
        <f>HYPERLINK("https://commons.wikimedia.org/wiki/User:" &amp; ENCODEURL("Nathaly 1106"), "Nathaly 1106")</f>
        <v>Nathaly 1106</v>
      </c>
      <c r="B1572" s="11" t="s">
        <v>3270</v>
      </c>
      <c r="C1572" s="12">
        <v>46148.95737268519</v>
      </c>
      <c r="D1572" s="11" t="s">
        <v>3271</v>
      </c>
      <c r="E1572" s="14" t="s">
        <v>29</v>
      </c>
      <c r="F1572" s="14" t="s">
        <v>30</v>
      </c>
      <c r="G1572" s="15" t="s">
        <v>17</v>
      </c>
      <c r="H1572" s="15" t="s">
        <v>18</v>
      </c>
      <c r="I1572" s="14" t="str">
        <f>IMAGE("https://upload.wikimedia.org/wikipedia/commons/a/a3/Paisaje_boyacense.jpg")</f>
        <v/>
      </c>
    </row>
    <row r="1573" ht="36.0" customHeight="1">
      <c r="A1573" s="16" t="str">
        <f>HYPERLINK("https://commons.wikimedia.org/wiki/User:" &amp; ENCODEURL("SergioM01"), "SergioM01")</f>
        <v>SergioM01</v>
      </c>
      <c r="B1573" s="17" t="s">
        <v>3272</v>
      </c>
      <c r="C1573" s="18">
        <v>46197.70175925926</v>
      </c>
      <c r="D1573" s="17" t="s">
        <v>3273</v>
      </c>
      <c r="E1573" s="19" t="s">
        <v>2002</v>
      </c>
      <c r="F1573" s="20" t="s">
        <v>16</v>
      </c>
      <c r="G1573" s="20" t="s">
        <v>17</v>
      </c>
      <c r="H1573" s="20" t="s">
        <v>18</v>
      </c>
      <c r="I1573" s="19" t="str">
        <f>IMAGE("https://upload.wikimedia.org/wikipedia/commons/e/e8/Paisaje_de_Frailejones.jpg")</f>
        <v/>
      </c>
    </row>
    <row r="1574" ht="36.0" customHeight="1">
      <c r="A1574" s="10" t="str">
        <f t="shared" ref="A1574:A1576" si="203">HYPERLINK("https://commons.wikimedia.org/wiki/User:" &amp; ENCODEURL("Estudiante0001"), "Estudiante0001")</f>
        <v>Estudiante0001</v>
      </c>
      <c r="B1574" s="11" t="s">
        <v>3274</v>
      </c>
      <c r="C1574" s="12">
        <v>46163.555601851855</v>
      </c>
      <c r="D1574" s="11" t="s">
        <v>3275</v>
      </c>
      <c r="E1574" s="14" t="s">
        <v>3276</v>
      </c>
      <c r="F1574" s="15" t="s">
        <v>16</v>
      </c>
      <c r="G1574" s="15" t="s">
        <v>17</v>
      </c>
      <c r="H1574" s="15" t="s">
        <v>18</v>
      </c>
      <c r="I1574" s="14" t="str">
        <f>IMAGE("https://upload.wikimedia.org/wikipedia/commons/4/47/Paisaje_de_Guasca.jpg")</f>
        <v/>
      </c>
    </row>
    <row r="1575" ht="36.0" customHeight="1">
      <c r="A1575" s="16" t="str">
        <f t="shared" si="203"/>
        <v>Estudiante0001</v>
      </c>
      <c r="B1575" s="17" t="s">
        <v>3277</v>
      </c>
      <c r="C1575" s="18">
        <v>46163.555613425924</v>
      </c>
      <c r="D1575" s="17" t="s">
        <v>3275</v>
      </c>
      <c r="E1575" s="19" t="s">
        <v>3278</v>
      </c>
      <c r="F1575" s="20" t="s">
        <v>16</v>
      </c>
      <c r="G1575" s="20" t="s">
        <v>17</v>
      </c>
      <c r="H1575" s="20" t="s">
        <v>18</v>
      </c>
      <c r="I1575" s="19" t="str">
        <f>IMAGE("https://upload.wikimedia.org/wikipedia/commons/4/43/Paisaje_de_Guasca_-_La_Reserva_El_Zoque.jpg")</f>
        <v/>
      </c>
    </row>
    <row r="1576" ht="36.0" customHeight="1">
      <c r="A1576" s="10" t="str">
        <f t="shared" si="203"/>
        <v>Estudiante0001</v>
      </c>
      <c r="B1576" s="11" t="s">
        <v>3279</v>
      </c>
      <c r="C1576" s="12">
        <v>46163.55553240741</v>
      </c>
      <c r="D1576" s="11" t="s">
        <v>3280</v>
      </c>
      <c r="E1576" s="14" t="s">
        <v>29</v>
      </c>
      <c r="F1576" s="14" t="s">
        <v>30</v>
      </c>
      <c r="G1576" s="15" t="s">
        <v>17</v>
      </c>
      <c r="H1576" s="15" t="s">
        <v>18</v>
      </c>
      <c r="I1576" s="14" t="str">
        <f>IMAGE("https://upload.wikimedia.org/wikipedia/commons/d/da/Paisaje_de_Iza%2C_Boyac%C3%A1.jpg")</f>
        <v/>
      </c>
    </row>
    <row r="1577" ht="36.0" customHeight="1">
      <c r="A1577" s="16" t="str">
        <f t="shared" ref="A1577:A1579" si="204">HYPERLINK("https://commons.wikimedia.org/wiki/User:" &amp; ENCODEURL("AmiGueko"), "AmiGueko")</f>
        <v>AmiGueko</v>
      </c>
      <c r="B1577" s="17" t="s">
        <v>3281</v>
      </c>
      <c r="C1577" s="18">
        <v>46156.94368055555</v>
      </c>
      <c r="D1577" s="17" t="s">
        <v>3282</v>
      </c>
      <c r="E1577" s="19" t="s">
        <v>29</v>
      </c>
      <c r="F1577" s="19" t="s">
        <v>30</v>
      </c>
      <c r="G1577" s="20" t="s">
        <v>17</v>
      </c>
      <c r="H1577" s="20" t="s">
        <v>18</v>
      </c>
      <c r="I1577" s="19" t="str">
        <f>IMAGE("https://upload.wikimedia.org/wikipedia/commons/0/09/Paisaje_de_San_Francisco%2C_Cundinamarca.jpg")</f>
        <v/>
      </c>
    </row>
    <row r="1578" ht="36.0" customHeight="1">
      <c r="A1578" s="10" t="str">
        <f t="shared" si="204"/>
        <v>AmiGueko</v>
      </c>
      <c r="B1578" s="11" t="s">
        <v>3283</v>
      </c>
      <c r="C1578" s="12">
        <v>46156.94409722222</v>
      </c>
      <c r="D1578" s="11" t="s">
        <v>3282</v>
      </c>
      <c r="E1578" s="14" t="s">
        <v>29</v>
      </c>
      <c r="F1578" s="14" t="s">
        <v>30</v>
      </c>
      <c r="G1578" s="15" t="s">
        <v>17</v>
      </c>
      <c r="H1578" s="15" t="s">
        <v>18</v>
      </c>
      <c r="I1578" s="14" t="str">
        <f>IMAGE("https://upload.wikimedia.org/wikipedia/commons/8/84/Paisaje_de_San_Francisco%2C_Cundinamarca_%2866826%29.jpg")</f>
        <v/>
      </c>
    </row>
    <row r="1579" ht="36.0" customHeight="1">
      <c r="A1579" s="16" t="str">
        <f t="shared" si="204"/>
        <v>AmiGueko</v>
      </c>
      <c r="B1579" s="17" t="s">
        <v>3284</v>
      </c>
      <c r="C1579" s="18">
        <v>46156.944444444445</v>
      </c>
      <c r="D1579" s="17" t="s">
        <v>3282</v>
      </c>
      <c r="E1579" s="19" t="s">
        <v>3285</v>
      </c>
      <c r="F1579" s="20" t="s">
        <v>16</v>
      </c>
      <c r="G1579" s="20" t="s">
        <v>17</v>
      </c>
      <c r="H1579" s="20" t="s">
        <v>18</v>
      </c>
      <c r="I1579" s="19" t="str">
        <f>IMAGE("https://upload.wikimedia.org/wikipedia/commons/a/ac/Paisaje_de_San_Francisco%2C_Cundinamarca_%2887853%29.jpg")</f>
        <v/>
      </c>
    </row>
    <row r="1580" ht="36.0" customHeight="1">
      <c r="A1580" s="10" t="str">
        <f>HYPERLINK("https://commons.wikimedia.org/wiki/User:" &amp; ENCODEURL("Juli 2000 her"), "Juli 2000 her")</f>
        <v>Juli 2000 her</v>
      </c>
      <c r="B1580" s="11" t="s">
        <v>3286</v>
      </c>
      <c r="C1580" s="12">
        <v>46189.05480324074</v>
      </c>
      <c r="D1580" s="11" t="s">
        <v>3287</v>
      </c>
      <c r="E1580" s="14" t="s">
        <v>29</v>
      </c>
      <c r="F1580" s="14" t="s">
        <v>30</v>
      </c>
      <c r="G1580" s="15" t="s">
        <v>17</v>
      </c>
      <c r="H1580" s="15" t="s">
        <v>18</v>
      </c>
      <c r="I1580" s="14" t="str">
        <f>IMAGE("https://upload.wikimedia.org/wikipedia/commons/3/38/Paisaje_de_entrada_al_p%C3%A1ramo_Cruz_Verde%2C_Cundinamarca.jpg")</f>
        <v/>
      </c>
    </row>
    <row r="1581" ht="36.0" customHeight="1">
      <c r="A1581" s="16" t="str">
        <f>HYPERLINK("https://commons.wikimedia.org/wiki/User:" &amp; ENCODEURL("Supertita"), "Supertita")</f>
        <v>Supertita</v>
      </c>
      <c r="B1581" s="17" t="s">
        <v>3288</v>
      </c>
      <c r="C1581" s="18">
        <v>46192.75497685185</v>
      </c>
      <c r="D1581" s="17" t="s">
        <v>3289</v>
      </c>
      <c r="E1581" s="19" t="s">
        <v>446</v>
      </c>
      <c r="F1581" s="20" t="s">
        <v>16</v>
      </c>
      <c r="G1581" s="20" t="s">
        <v>17</v>
      </c>
      <c r="H1581" s="20" t="s">
        <v>18</v>
      </c>
      <c r="I1581" s="19" t="str">
        <f>IMAGE("https://upload.wikimedia.org/wikipedia/commons/a/aa/Paisaje_de_monta%C3%B1a_de_San_Francisco_entre_neblina.jpg")</f>
        <v/>
      </c>
    </row>
    <row r="1582" ht="36.0" customHeight="1">
      <c r="A1582" s="10" t="str">
        <f>HYPERLINK("https://commons.wikimedia.org/wiki/User:" &amp; ENCODEURL("Vvelashue21"), "Vvelashue21")</f>
        <v>Vvelashue21</v>
      </c>
      <c r="B1582" s="11" t="s">
        <v>3290</v>
      </c>
      <c r="C1582" s="12">
        <v>46163.54791666667</v>
      </c>
      <c r="D1582" s="11" t="s">
        <v>3291</v>
      </c>
      <c r="E1582" s="14" t="s">
        <v>29</v>
      </c>
      <c r="F1582" s="14" t="s">
        <v>30</v>
      </c>
      <c r="G1582" s="15" t="s">
        <v>17</v>
      </c>
      <c r="H1582" s="15" t="s">
        <v>18</v>
      </c>
      <c r="I1582" s="14" t="str">
        <f>IMAGE("https://upload.wikimedia.org/wikipedia/commons/9/90/Paisaje_de_san_andres.jpg")</f>
        <v/>
      </c>
    </row>
    <row r="1583" ht="36.0" customHeight="1">
      <c r="A1583" s="16" t="str">
        <f>HYPERLINK("https://commons.wikimedia.org/wiki/User:" &amp; ENCODEURL("Laura Milena Moyano Bautista"), "Laura Milena Moyano Bautista")</f>
        <v>Laura Milena Moyano Bautista</v>
      </c>
      <c r="B1583" s="17" t="s">
        <v>3292</v>
      </c>
      <c r="C1583" s="18">
        <v>46163.88868055555</v>
      </c>
      <c r="D1583" s="17" t="s">
        <v>3293</v>
      </c>
      <c r="E1583" s="19" t="s">
        <v>29</v>
      </c>
      <c r="F1583" s="19" t="s">
        <v>30</v>
      </c>
      <c r="G1583" s="20" t="s">
        <v>17</v>
      </c>
      <c r="H1583" s="20" t="s">
        <v>18</v>
      </c>
      <c r="I1583" s="19" t="str">
        <f>IMAGE("https://upload.wikimedia.org/wikipedia/commons/b/b4/Paisaje_doblemente_boyacense.jpg")</f>
        <v/>
      </c>
    </row>
    <row r="1584" ht="36.0" customHeight="1">
      <c r="A1584" s="10" t="str">
        <f t="shared" ref="A1584:A1594" si="205">HYPERLINK("https://commons.wikimedia.org/wiki/User:" &amp; ENCODEURL("AmiGueko"), "AmiGueko")</f>
        <v>AmiGueko</v>
      </c>
      <c r="B1584" s="11" t="s">
        <v>3294</v>
      </c>
      <c r="C1584" s="12">
        <v>46156.968194444446</v>
      </c>
      <c r="D1584" s="11" t="s">
        <v>3295</v>
      </c>
      <c r="E1584" s="14" t="s">
        <v>29</v>
      </c>
      <c r="F1584" s="14" t="s">
        <v>30</v>
      </c>
      <c r="G1584" s="15" t="s">
        <v>17</v>
      </c>
      <c r="H1584" s="15" t="s">
        <v>18</v>
      </c>
      <c r="I1584" s="14" t="str">
        <f>IMAGE("https://upload.wikimedia.org/wikipedia/commons/6/67/Paisaje_en_Cocorn%C3%A1%2C_Antioquia.jpg")</f>
        <v/>
      </c>
    </row>
    <row r="1585" ht="36.0" customHeight="1">
      <c r="A1585" s="16" t="str">
        <f t="shared" si="205"/>
        <v>AmiGueko</v>
      </c>
      <c r="B1585" s="17" t="s">
        <v>3296</v>
      </c>
      <c r="C1585" s="18">
        <v>46156.97201388889</v>
      </c>
      <c r="D1585" s="17" t="s">
        <v>3295</v>
      </c>
      <c r="E1585" s="19" t="s">
        <v>3297</v>
      </c>
      <c r="F1585" s="20" t="s">
        <v>16</v>
      </c>
      <c r="G1585" s="20" t="s">
        <v>17</v>
      </c>
      <c r="H1585" s="20" t="s">
        <v>18</v>
      </c>
      <c r="I1585" s="19" t="str">
        <f>IMAGE("https://upload.wikimedia.org/wikipedia/commons/a/a4/Paisaje_en_Cocorn%C3%A1%2C_Antioquia_%2812306%29.jpg")</f>
        <v/>
      </c>
    </row>
    <row r="1586" ht="36.0" customHeight="1">
      <c r="A1586" s="10" t="str">
        <f t="shared" si="205"/>
        <v>AmiGueko</v>
      </c>
      <c r="B1586" s="11" t="s">
        <v>3298</v>
      </c>
      <c r="C1586" s="12">
        <v>46156.96943287037</v>
      </c>
      <c r="D1586" s="11" t="s">
        <v>3295</v>
      </c>
      <c r="E1586" s="14" t="s">
        <v>29</v>
      </c>
      <c r="F1586" s="14" t="s">
        <v>30</v>
      </c>
      <c r="G1586" s="15" t="s">
        <v>17</v>
      </c>
      <c r="H1586" s="15" t="s">
        <v>18</v>
      </c>
      <c r="I1586" s="14" t="str">
        <f>IMAGE("https://upload.wikimedia.org/wikipedia/commons/a/a9/Paisaje_en_Cocorn%C3%A1%2C_Antioquia_%2813769%29.jpg")</f>
        <v/>
      </c>
    </row>
    <row r="1587" ht="36.0" customHeight="1">
      <c r="A1587" s="16" t="str">
        <f t="shared" si="205"/>
        <v>AmiGueko</v>
      </c>
      <c r="B1587" s="17" t="s">
        <v>3299</v>
      </c>
      <c r="C1587" s="18">
        <v>46156.97293981481</v>
      </c>
      <c r="D1587" s="17" t="s">
        <v>3295</v>
      </c>
      <c r="E1587" s="19" t="s">
        <v>29</v>
      </c>
      <c r="F1587" s="19" t="s">
        <v>30</v>
      </c>
      <c r="G1587" s="20" t="s">
        <v>17</v>
      </c>
      <c r="H1587" s="20" t="s">
        <v>18</v>
      </c>
      <c r="I1587" s="19" t="str">
        <f>IMAGE("https://upload.wikimedia.org/wikipedia/commons/d/d4/Paisaje_en_Cocorn%C3%A1%2C_Antioquia_%2814272%29.jpg")</f>
        <v/>
      </c>
    </row>
    <row r="1588" ht="36.0" customHeight="1">
      <c r="A1588" s="10" t="str">
        <f t="shared" si="205"/>
        <v>AmiGueko</v>
      </c>
      <c r="B1588" s="11" t="s">
        <v>3300</v>
      </c>
      <c r="C1588" s="12">
        <v>46156.97451388889</v>
      </c>
      <c r="D1588" s="11" t="s">
        <v>3295</v>
      </c>
      <c r="E1588" s="14" t="s">
        <v>29</v>
      </c>
      <c r="F1588" s="14" t="s">
        <v>30</v>
      </c>
      <c r="G1588" s="15" t="s">
        <v>17</v>
      </c>
      <c r="H1588" s="15" t="s">
        <v>18</v>
      </c>
      <c r="I1588" s="14" t="str">
        <f>IMAGE("https://upload.wikimedia.org/wikipedia/commons/2/2f/Paisaje_en_Cocorn%C3%A1%2C_Antioquia_%2817644%29.jpg")</f>
        <v/>
      </c>
    </row>
    <row r="1589" ht="36.0" customHeight="1">
      <c r="A1589" s="16" t="str">
        <f t="shared" si="205"/>
        <v>AmiGueko</v>
      </c>
      <c r="B1589" s="17" t="s">
        <v>3301</v>
      </c>
      <c r="C1589" s="18">
        <v>46156.97137731482</v>
      </c>
      <c r="D1589" s="17" t="s">
        <v>3295</v>
      </c>
      <c r="E1589" s="19" t="s">
        <v>29</v>
      </c>
      <c r="F1589" s="19" t="s">
        <v>30</v>
      </c>
      <c r="G1589" s="20" t="s">
        <v>17</v>
      </c>
      <c r="H1589" s="20" t="s">
        <v>18</v>
      </c>
      <c r="I1589" s="19" t="str">
        <f>IMAGE("https://upload.wikimedia.org/wikipedia/commons/d/df/Paisaje_en_Cocorn%C3%A1%2C_Antioquia_%2817682%29.jpg")</f>
        <v/>
      </c>
    </row>
    <row r="1590" ht="36.0" customHeight="1">
      <c r="A1590" s="10" t="str">
        <f t="shared" si="205"/>
        <v>AmiGueko</v>
      </c>
      <c r="B1590" s="11" t="s">
        <v>3302</v>
      </c>
      <c r="C1590" s="12">
        <v>46156.97394675926</v>
      </c>
      <c r="D1590" s="11" t="s">
        <v>3295</v>
      </c>
      <c r="E1590" s="14" t="s">
        <v>29</v>
      </c>
      <c r="F1590" s="14" t="s">
        <v>30</v>
      </c>
      <c r="G1590" s="15" t="s">
        <v>17</v>
      </c>
      <c r="H1590" s="15" t="s">
        <v>18</v>
      </c>
      <c r="I1590" s="14" t="str">
        <f>IMAGE("https://upload.wikimedia.org/wikipedia/commons/f/f4/Paisaje_en_Cocorn%C3%A1%2C_Antioquia_%2858810%29.jpg")</f>
        <v/>
      </c>
    </row>
    <row r="1591" ht="36.0" customHeight="1">
      <c r="A1591" s="16" t="str">
        <f t="shared" si="205"/>
        <v>AmiGueko</v>
      </c>
      <c r="B1591" s="17" t="s">
        <v>3303</v>
      </c>
      <c r="C1591" s="18">
        <v>46156.97335648148</v>
      </c>
      <c r="D1591" s="17" t="s">
        <v>3295</v>
      </c>
      <c r="E1591" s="19" t="s">
        <v>29</v>
      </c>
      <c r="F1591" s="19" t="s">
        <v>30</v>
      </c>
      <c r="G1591" s="20" t="s">
        <v>17</v>
      </c>
      <c r="H1591" s="20" t="s">
        <v>18</v>
      </c>
      <c r="I1591" s="19" t="str">
        <f>IMAGE("https://upload.wikimedia.org/wikipedia/commons/5/50/Paisaje_en_Cocorn%C3%A1%2C_Antioquia_%2861238%29.jpg")</f>
        <v/>
      </c>
    </row>
    <row r="1592" ht="36.0" customHeight="1">
      <c r="A1592" s="10" t="str">
        <f t="shared" si="205"/>
        <v>AmiGueko</v>
      </c>
      <c r="B1592" s="11" t="s">
        <v>3304</v>
      </c>
      <c r="C1592" s="12">
        <v>46156.97231481481</v>
      </c>
      <c r="D1592" s="11" t="s">
        <v>3295</v>
      </c>
      <c r="E1592" s="14" t="s">
        <v>29</v>
      </c>
      <c r="F1592" s="14" t="s">
        <v>30</v>
      </c>
      <c r="G1592" s="15" t="s">
        <v>17</v>
      </c>
      <c r="H1592" s="15" t="s">
        <v>18</v>
      </c>
      <c r="I1592" s="14" t="str">
        <f>IMAGE("https://upload.wikimedia.org/wikipedia/commons/c/c8/Paisaje_en_Cocorn%C3%A1%2C_Antioquia_%2873320%29.jpg")</f>
        <v/>
      </c>
    </row>
    <row r="1593" ht="36.0" customHeight="1">
      <c r="A1593" s="16" t="str">
        <f t="shared" si="205"/>
        <v>AmiGueko</v>
      </c>
      <c r="B1593" s="17" t="s">
        <v>3305</v>
      </c>
      <c r="C1593" s="18">
        <v>46156.97011574074</v>
      </c>
      <c r="D1593" s="17" t="s">
        <v>3295</v>
      </c>
      <c r="E1593" s="19" t="s">
        <v>29</v>
      </c>
      <c r="F1593" s="19" t="s">
        <v>30</v>
      </c>
      <c r="G1593" s="20" t="s">
        <v>17</v>
      </c>
      <c r="H1593" s="20" t="s">
        <v>18</v>
      </c>
      <c r="I1593" s="19" t="str">
        <f>IMAGE("https://upload.wikimedia.org/wikipedia/commons/3/33/Paisaje_en_Cocorn%C3%A1%2C_Antioquia_%2883375%29.jpg")</f>
        <v/>
      </c>
    </row>
    <row r="1594" ht="36.0" customHeight="1">
      <c r="A1594" s="10" t="str">
        <f t="shared" si="205"/>
        <v>AmiGueko</v>
      </c>
      <c r="B1594" s="11" t="s">
        <v>3306</v>
      </c>
      <c r="C1594" s="12">
        <v>46156.968773148146</v>
      </c>
      <c r="D1594" s="11" t="s">
        <v>3295</v>
      </c>
      <c r="E1594" s="14" t="s">
        <v>3307</v>
      </c>
      <c r="F1594" s="15" t="s">
        <v>16</v>
      </c>
      <c r="G1594" s="15" t="s">
        <v>17</v>
      </c>
      <c r="H1594" s="15" t="s">
        <v>18</v>
      </c>
      <c r="I1594" s="14" t="str">
        <f>IMAGE("https://upload.wikimedia.org/wikipedia/commons/b/b4/Paisaje_en_Cocorn%C3%A1%2C_Antioquia_%2899320%29.jpg")</f>
        <v/>
      </c>
    </row>
    <row r="1595" ht="36.0" customHeight="1">
      <c r="A1595" s="16" t="str">
        <f t="shared" ref="A1595:A1596" si="206">HYPERLINK("https://commons.wikimedia.org/wiki/User:" &amp; ENCODEURL("SantiagoJiRe"), "SantiagoJiRe")</f>
        <v>SantiagoJiRe</v>
      </c>
      <c r="B1595" s="17" t="s">
        <v>3308</v>
      </c>
      <c r="C1595" s="18">
        <v>46175.96613425926</v>
      </c>
      <c r="D1595" s="17" t="s">
        <v>3309</v>
      </c>
      <c r="E1595" s="19" t="s">
        <v>29</v>
      </c>
      <c r="F1595" s="19" t="s">
        <v>30</v>
      </c>
      <c r="G1595" s="20" t="s">
        <v>17</v>
      </c>
      <c r="H1595" s="20" t="s">
        <v>18</v>
      </c>
      <c r="I1595" s="19" t="str">
        <f>IMAGE("https://upload.wikimedia.org/wikipedia/commons/2/2b/Paisaje_en_Girardota.jpg")</f>
        <v/>
      </c>
    </row>
    <row r="1596" ht="36.0" customHeight="1">
      <c r="A1596" s="10" t="str">
        <f t="shared" si="206"/>
        <v>SantiagoJiRe</v>
      </c>
      <c r="B1596" s="11" t="s">
        <v>3310</v>
      </c>
      <c r="C1596" s="12">
        <v>46175.96613425926</v>
      </c>
      <c r="D1596" s="11" t="s">
        <v>3311</v>
      </c>
      <c r="E1596" s="14" t="s">
        <v>29</v>
      </c>
      <c r="F1596" s="14" t="s">
        <v>30</v>
      </c>
      <c r="G1596" s="15" t="s">
        <v>17</v>
      </c>
      <c r="H1596" s="15" t="s">
        <v>18</v>
      </c>
      <c r="I1596" s="14" t="str">
        <f>IMAGE("https://upload.wikimedia.org/wikipedia/commons/8/8a/Paisaje_en_Girardota_Antioquia.jpg")</f>
        <v/>
      </c>
    </row>
    <row r="1597" ht="36.0" customHeight="1">
      <c r="A1597" s="16" t="str">
        <f>HYPERLINK("https://commons.wikimedia.org/wiki/User:" &amp; ENCODEURL("Daijiruu"), "Daijiruu")</f>
        <v>Daijiruu</v>
      </c>
      <c r="B1597" s="17" t="s">
        <v>3312</v>
      </c>
      <c r="C1597" s="18">
        <v>46163.5103125</v>
      </c>
      <c r="D1597" s="17" t="s">
        <v>3313</v>
      </c>
      <c r="E1597" s="19" t="s">
        <v>29</v>
      </c>
      <c r="F1597" s="19" t="s">
        <v>30</v>
      </c>
      <c r="G1597" s="20" t="s">
        <v>17</v>
      </c>
      <c r="H1597" s="20" t="s">
        <v>18</v>
      </c>
      <c r="I1597" s="19" t="str">
        <f>IMAGE("https://upload.wikimedia.org/wikipedia/commons/9/9e/Paisaje_en_la_Carretera.jpg")</f>
        <v/>
      </c>
    </row>
    <row r="1598" ht="36.0" customHeight="1">
      <c r="A1598" s="10" t="str">
        <f t="shared" ref="A1598:A1599" si="207">HYPERLINK("https://commons.wikimedia.org/wiki/User:" &amp; ENCODEURL("Juli 2000 her"), "Juli 2000 her")</f>
        <v>Juli 2000 her</v>
      </c>
      <c r="B1598" s="11" t="s">
        <v>3314</v>
      </c>
      <c r="C1598" s="12">
        <v>46189.05484953704</v>
      </c>
      <c r="D1598" s="11" t="s">
        <v>3315</v>
      </c>
      <c r="E1598" s="14" t="s">
        <v>29</v>
      </c>
      <c r="F1598" s="14" t="s">
        <v>30</v>
      </c>
      <c r="G1598" s="15" t="s">
        <v>17</v>
      </c>
      <c r="H1598" s="15" t="s">
        <v>18</v>
      </c>
      <c r="I1598" s="14" t="str">
        <f>IMAGE("https://upload.wikimedia.org/wikipedia/commons/c/c2/Paisaje_entre_nubes_con_cultivos_de_pl%C3%A1tano_en_la_Sierra_Nevada_de_Santa_Marta.jpg")</f>
        <v/>
      </c>
    </row>
    <row r="1599" ht="36.0" customHeight="1">
      <c r="A1599" s="16" t="str">
        <f t="shared" si="207"/>
        <v>Juli 2000 her</v>
      </c>
      <c r="B1599" s="17" t="s">
        <v>3316</v>
      </c>
      <c r="C1599" s="18">
        <v>46189.05490740741</v>
      </c>
      <c r="D1599" s="17" t="s">
        <v>3317</v>
      </c>
      <c r="E1599" s="19" t="s">
        <v>29</v>
      </c>
      <c r="F1599" s="19" t="s">
        <v>30</v>
      </c>
      <c r="G1599" s="20" t="s">
        <v>17</v>
      </c>
      <c r="H1599" s="20" t="s">
        <v>18</v>
      </c>
      <c r="I1599" s="19" t="str">
        <f>IMAGE("https://upload.wikimedia.org/wikipedia/commons/2/2d/Paisaje_entre_nubes_en_el_Parque_Nacional_Natural_Chingaza%2C_Colombia.jpg")</f>
        <v/>
      </c>
    </row>
    <row r="1600" ht="36.0" customHeight="1">
      <c r="A1600" s="10" t="str">
        <f>HYPERLINK("https://commons.wikimedia.org/wiki/User:" &amp; ENCODEURL("Johan Andrés Toro"), "Johan Andrés Toro")</f>
        <v>Johan Andrés Toro</v>
      </c>
      <c r="B1600" s="11" t="s">
        <v>3318</v>
      </c>
      <c r="C1600" s="12">
        <v>46171.73947916667</v>
      </c>
      <c r="D1600" s="11" t="s">
        <v>3319</v>
      </c>
      <c r="E1600" s="14" t="s">
        <v>29</v>
      </c>
      <c r="F1600" s="14" t="s">
        <v>30</v>
      </c>
      <c r="G1600" s="15" t="s">
        <v>17</v>
      </c>
      <c r="H1600" s="15" t="s">
        <v>18</v>
      </c>
      <c r="I1600" s="14" t="str">
        <f>IMAGE("https://upload.wikimedia.org/wikipedia/commons/2/21/Paisaje_escarpado_y_vertientes_del_volc%C3%A1n_Nevado_del_Ruiz.jpg")</f>
        <v/>
      </c>
    </row>
    <row r="1601" ht="36.0" customHeight="1">
      <c r="A1601" s="16" t="str">
        <f>HYPERLINK("https://commons.wikimedia.org/wiki/User:" &amp; ENCODEURL("Maximo10momeridio"), "Maximo10momeridio")</f>
        <v>Maximo10momeridio</v>
      </c>
      <c r="B1601" s="17" t="s">
        <v>3320</v>
      </c>
      <c r="C1601" s="18">
        <v>46163.56686342593</v>
      </c>
      <c r="D1601" s="17" t="s">
        <v>3267</v>
      </c>
      <c r="E1601" s="19" t="s">
        <v>29</v>
      </c>
      <c r="F1601" s="19" t="s">
        <v>30</v>
      </c>
      <c r="G1601" s="20" t="s">
        <v>17</v>
      </c>
      <c r="H1601" s="20" t="s">
        <v>18</v>
      </c>
      <c r="I1601" s="19" t="str">
        <f>IMAGE("https://upload.wikimedia.org/wikipedia/commons/a/a7/Paisaje_estacion_americas_con_boyaca.jpg")</f>
        <v/>
      </c>
    </row>
    <row r="1602" ht="36.0" customHeight="1">
      <c r="A1602" s="10" t="str">
        <f>HYPERLINK("https://commons.wikimedia.org/wiki/User:" &amp; ENCODEURL("Leo123qwerty"), "Leo123qwerty")</f>
        <v>Leo123qwerty</v>
      </c>
      <c r="B1602" s="11" t="s">
        <v>3321</v>
      </c>
      <c r="C1602" s="12">
        <v>46203.55582175926</v>
      </c>
      <c r="D1602" s="11" t="s">
        <v>3322</v>
      </c>
      <c r="E1602" s="14" t="s">
        <v>29</v>
      </c>
      <c r="F1602" s="14" t="s">
        <v>30</v>
      </c>
      <c r="G1602" s="15" t="s">
        <v>17</v>
      </c>
      <c r="H1602" s="15" t="s">
        <v>18</v>
      </c>
      <c r="I1602" s="14" t="str">
        <f>IMAGE("https://upload.wikimedia.org/wikipedia/commons/9/95/PAISAJE_SEMIURBANO.jpg")</f>
        <v/>
      </c>
    </row>
    <row r="1603" ht="36.0" customHeight="1">
      <c r="A1603" s="16" t="str">
        <f>HYPERLINK("https://commons.wikimedia.org/wiki/User:" &amp; ENCODEURL("Albanense"), "Albanense")</f>
        <v>Albanense</v>
      </c>
      <c r="B1603" s="17" t="s">
        <v>3323</v>
      </c>
      <c r="C1603" s="18">
        <v>46200.66923611111</v>
      </c>
      <c r="D1603" s="17" t="s">
        <v>3324</v>
      </c>
      <c r="E1603" s="19" t="s">
        <v>29</v>
      </c>
      <c r="F1603" s="19" t="s">
        <v>30</v>
      </c>
      <c r="G1603" s="20" t="s">
        <v>17</v>
      </c>
      <c r="H1603" s="20" t="s">
        <v>18</v>
      </c>
      <c r="I1603" s="19" t="str">
        <f>IMAGE("https://upload.wikimedia.org/wikipedia/commons/7/79/Paisaje_Nevado_Ruiz.jpg")</f>
        <v/>
      </c>
    </row>
    <row r="1604" ht="36.0" customHeight="1">
      <c r="A1604" s="10" t="str">
        <f>HYPERLINK("https://commons.wikimedia.org/wiki/User:" &amp; ENCODEURL("Dsjkkms"), "Dsjkkms")</f>
        <v>Dsjkkms</v>
      </c>
      <c r="B1604" s="11" t="s">
        <v>3325</v>
      </c>
      <c r="C1604" s="12">
        <v>46163.565416666665</v>
      </c>
      <c r="D1604" s="11" t="s">
        <v>1971</v>
      </c>
      <c r="E1604" s="14" t="s">
        <v>29</v>
      </c>
      <c r="F1604" s="14" t="s">
        <v>30</v>
      </c>
      <c r="G1604" s="15" t="s">
        <v>17</v>
      </c>
      <c r="H1604" s="15" t="s">
        <v>18</v>
      </c>
      <c r="I1604" s="14" t="str">
        <f>IMAGE("https://upload.wikimedia.org/wikipedia/commons/0/06/Paisaje_Reserva_Natural._Reserva_Natural_Guataqu%C3%AD_de_Potos%C3%AD.jpg")</f>
        <v/>
      </c>
    </row>
    <row r="1605" ht="36.0" customHeight="1">
      <c r="A1605" s="16" t="str">
        <f>HYPERLINK("https://commons.wikimedia.org/wiki/User:" &amp; ENCODEURL("AmiGueko"), "AmiGueko")</f>
        <v>AmiGueko</v>
      </c>
      <c r="B1605" s="17" t="s">
        <v>3326</v>
      </c>
      <c r="C1605" s="18">
        <v>46150.94982638889</v>
      </c>
      <c r="D1605" s="17" t="s">
        <v>3327</v>
      </c>
      <c r="E1605" s="19" t="s">
        <v>3328</v>
      </c>
      <c r="F1605" s="20" t="s">
        <v>16</v>
      </c>
      <c r="G1605" s="20" t="s">
        <v>17</v>
      </c>
      <c r="H1605" s="20" t="s">
        <v>18</v>
      </c>
      <c r="I1605" s="19" t="str">
        <f>IMAGE("https://upload.wikimedia.org/wikipedia/commons/f/f5/Paisaje_San_Francisco%2C_Cundinamarca.jpg")</f>
        <v/>
      </c>
    </row>
    <row r="1606" ht="36.0" customHeight="1">
      <c r="A1606" s="10" t="str">
        <f>HYPERLINK("https://commons.wikimedia.org/wiki/User:" &amp; ENCODEURL("Project5443"), "Project5443")</f>
        <v>Project5443</v>
      </c>
      <c r="B1606" s="11" t="s">
        <v>3329</v>
      </c>
      <c r="C1606" s="12">
        <v>46163.56585648148</v>
      </c>
      <c r="D1606" s="11" t="s">
        <v>3330</v>
      </c>
      <c r="E1606" s="14" t="s">
        <v>3331</v>
      </c>
      <c r="F1606" s="15" t="s">
        <v>16</v>
      </c>
      <c r="G1606" s="15" t="s">
        <v>17</v>
      </c>
      <c r="H1606" s="15" t="s">
        <v>18</v>
      </c>
      <c r="I1606" s="14" t="str">
        <f>IMAGE("https://upload.wikimedia.org/wikipedia/commons/3/38/Paisaje_Sede_Norte_Unisalle.jpg")</f>
        <v/>
      </c>
    </row>
    <row r="1607" ht="36.0" customHeight="1">
      <c r="A1607" s="16" t="str">
        <f t="shared" ref="A1607:A1608" si="208">HYPERLINK("https://commons.wikimedia.org/wiki/User:" &amp; ENCODEURL("Dsjkkms"), "Dsjkkms")</f>
        <v>Dsjkkms</v>
      </c>
      <c r="B1607" s="17" t="s">
        <v>3332</v>
      </c>
      <c r="C1607" s="18">
        <v>46163.57586805556</v>
      </c>
      <c r="D1607" s="17" t="s">
        <v>3333</v>
      </c>
      <c r="E1607" s="19" t="s">
        <v>29</v>
      </c>
      <c r="F1607" s="19" t="s">
        <v>30</v>
      </c>
      <c r="G1607" s="20" t="s">
        <v>17</v>
      </c>
      <c r="H1607" s="20" t="s">
        <v>18</v>
      </c>
      <c r="I1607" s="19" t="str">
        <f>IMAGE("https://upload.wikimedia.org/wikipedia/commons/1/16/Paisaje_Urbano._Mundo_Aventura.jpg")</f>
        <v/>
      </c>
    </row>
    <row r="1608" ht="36.0" customHeight="1">
      <c r="A1608" s="10" t="str">
        <f t="shared" si="208"/>
        <v>Dsjkkms</v>
      </c>
      <c r="B1608" s="11" t="s">
        <v>3334</v>
      </c>
      <c r="C1608" s="12">
        <v>46163.554560185185</v>
      </c>
      <c r="D1608" s="11" t="s">
        <v>3335</v>
      </c>
      <c r="E1608" s="14" t="s">
        <v>29</v>
      </c>
      <c r="F1608" s="14" t="s">
        <v>30</v>
      </c>
      <c r="G1608" s="15" t="s">
        <v>17</v>
      </c>
      <c r="H1608" s="15" t="s">
        <v>18</v>
      </c>
      <c r="I1608" s="14" t="str">
        <f>IMAGE("https://upload.wikimedia.org/wikipedia/commons/5/5a/Paisaje_Urbano_-_UniAndes.jpg")</f>
        <v/>
      </c>
    </row>
    <row r="1609" ht="36.0" customHeight="1">
      <c r="A1609" s="16" t="str">
        <f t="shared" ref="A1609:A1610" si="209">HYPERLINK("https://commons.wikimedia.org/wiki/User:" &amp; ENCODEURL("Tudum1213"), "Tudum1213")</f>
        <v>Tudum1213</v>
      </c>
      <c r="B1609" s="17" t="s">
        <v>3336</v>
      </c>
      <c r="C1609" s="18">
        <v>46163.536412037036</v>
      </c>
      <c r="D1609" s="17" t="s">
        <v>3337</v>
      </c>
      <c r="E1609" s="19" t="s">
        <v>29</v>
      </c>
      <c r="F1609" s="19" t="s">
        <v>30</v>
      </c>
      <c r="G1609" s="20" t="s">
        <v>17</v>
      </c>
      <c r="H1609" s="20" t="s">
        <v>18</v>
      </c>
      <c r="I1609" s="19" t="str">
        <f>IMAGE("https://upload.wikimedia.org/wikipedia/commons/3/30/Paisaje_natural_campus_la_salle.jpg")</f>
        <v/>
      </c>
    </row>
    <row r="1610" ht="36.0" customHeight="1">
      <c r="A1610" s="10" t="str">
        <f t="shared" si="209"/>
        <v>Tudum1213</v>
      </c>
      <c r="B1610" s="11" t="s">
        <v>3338</v>
      </c>
      <c r="C1610" s="12">
        <v>46163.53643518518</v>
      </c>
      <c r="D1610" s="11" t="s">
        <v>3339</v>
      </c>
      <c r="E1610" s="14" t="s">
        <v>29</v>
      </c>
      <c r="F1610" s="14" t="s">
        <v>30</v>
      </c>
      <c r="G1610" s="15" t="s">
        <v>17</v>
      </c>
      <c r="H1610" s="15" t="s">
        <v>18</v>
      </c>
      <c r="I1610" s="14" t="str">
        <f>IMAGE("https://upload.wikimedia.org/wikipedia/commons/8/8a/Paisaje_natural_en_la_candelaria_bogot%C3%A1.jpg")</f>
        <v/>
      </c>
    </row>
    <row r="1611" ht="36.0" customHeight="1">
      <c r="A1611" s="16" t="str">
        <f>HYPERLINK("https://commons.wikimedia.org/wiki/User:" &amp; ENCODEURL("Dsjkkms"), "Dsjkkms")</f>
        <v>Dsjkkms</v>
      </c>
      <c r="B1611" s="17" t="s">
        <v>3340</v>
      </c>
      <c r="C1611" s="18">
        <v>46163.579560185186</v>
      </c>
      <c r="D1611" s="17" t="s">
        <v>3341</v>
      </c>
      <c r="E1611" s="19" t="s">
        <v>29</v>
      </c>
      <c r="F1611" s="19" t="s">
        <v>30</v>
      </c>
      <c r="G1611" s="20" t="s">
        <v>17</v>
      </c>
      <c r="H1611" s="20" t="s">
        <v>18</v>
      </c>
      <c r="I1611" s="19" t="str">
        <f>IMAGE("https://upload.wikimedia.org/wikipedia/commons/7/7a/Paisaje_nublado._Universidad_de_La_Salle.jpg")</f>
        <v/>
      </c>
    </row>
    <row r="1612" ht="36.0" customHeight="1">
      <c r="A1612" s="10" t="str">
        <f>HYPERLINK("https://commons.wikimedia.org/wiki/User:" &amp; ENCODEURL("Maximo10momeridio"), "Maximo10momeridio")</f>
        <v>Maximo10momeridio</v>
      </c>
      <c r="B1612" s="11" t="s">
        <v>3342</v>
      </c>
      <c r="C1612" s="12">
        <v>46163.56685185185</v>
      </c>
      <c r="D1612" s="11" t="s">
        <v>3343</v>
      </c>
      <c r="E1612" s="14" t="s">
        <v>29</v>
      </c>
      <c r="F1612" s="14" t="s">
        <v>30</v>
      </c>
      <c r="G1612" s="15" t="s">
        <v>17</v>
      </c>
      <c r="H1612" s="15" t="s">
        <v>18</v>
      </c>
      <c r="I1612" s="14" t="str">
        <f>IMAGE("https://upload.wikimedia.org/wikipedia/commons/0/0b/Paisaje_paipa_boyaca.jpg")</f>
        <v/>
      </c>
    </row>
    <row r="1613" ht="36.0" customHeight="1">
      <c r="A1613" s="16" t="str">
        <f>HYPERLINK("https://commons.wikimedia.org/wiki/User:" &amp; ENCODEURL("Nathaly 1106"), "Nathaly 1106")</f>
        <v>Nathaly 1106</v>
      </c>
      <c r="B1613" s="17" t="s">
        <v>3344</v>
      </c>
      <c r="C1613" s="18">
        <v>46148.95724537037</v>
      </c>
      <c r="D1613" s="17" t="s">
        <v>3345</v>
      </c>
      <c r="E1613" s="19" t="s">
        <v>29</v>
      </c>
      <c r="F1613" s="19" t="s">
        <v>30</v>
      </c>
      <c r="G1613" s="20" t="s">
        <v>17</v>
      </c>
      <c r="H1613" s="20" t="s">
        <v>18</v>
      </c>
      <c r="I1613" s="19" t="str">
        <f>IMAGE("https://upload.wikimedia.org/wikipedia/commons/9/91/Paisaje_playero_desde_la_costa_atl%C3%A1ntica.jpg")</f>
        <v/>
      </c>
    </row>
    <row r="1614" ht="36.0" customHeight="1">
      <c r="A1614" s="10" t="str">
        <f>HYPERLINK("https://commons.wikimedia.org/wiki/User:" &amp; ENCODEURL("Nbareschu"), "Nbareschu")</f>
        <v>Nbareschu</v>
      </c>
      <c r="B1614" s="11" t="s">
        <v>3346</v>
      </c>
      <c r="C1614" s="12">
        <v>46149.421481481484</v>
      </c>
      <c r="D1614" s="11" t="s">
        <v>3347</v>
      </c>
      <c r="E1614" s="14" t="s">
        <v>3348</v>
      </c>
      <c r="F1614" s="15" t="s">
        <v>16</v>
      </c>
      <c r="G1614" s="15" t="s">
        <v>17</v>
      </c>
      <c r="H1614" s="15" t="s">
        <v>18</v>
      </c>
      <c r="I1614" s="14" t="str">
        <f>IMAGE("https://upload.wikimedia.org/wikipedia/commons/2/2b/Paisaje_ritacua.jpg")</f>
        <v/>
      </c>
    </row>
    <row r="1615" ht="36.0" customHeight="1">
      <c r="A1615" s="16" t="str">
        <f>HYPERLINK("https://commons.wikimedia.org/wiki/User:" &amp; ENCODEURL("Karl Alberto chanc"), "Karl Alberto chanc")</f>
        <v>Karl Alberto chanc</v>
      </c>
      <c r="B1615" s="17" t="s">
        <v>3349</v>
      </c>
      <c r="C1615" s="18">
        <v>46201.8687037037</v>
      </c>
      <c r="D1615" s="17" t="s">
        <v>3350</v>
      </c>
      <c r="E1615" s="19" t="s">
        <v>3351</v>
      </c>
      <c r="F1615" s="20" t="s">
        <v>16</v>
      </c>
      <c r="G1615" s="20" t="s">
        <v>17</v>
      </c>
      <c r="H1615" s="20" t="s">
        <v>18</v>
      </c>
      <c r="I1615" s="19" t="str">
        <f>IMAGE("https://upload.wikimedia.org/wikipedia/commons/7/78/Paisaje_sumapaz.jpg")</f>
        <v/>
      </c>
    </row>
    <row r="1616" ht="36.0" customHeight="1">
      <c r="A1616" s="10" t="str">
        <f>HYPERLINK("https://commons.wikimedia.org/wiki/User:" &amp; ENCODEURL("Yiyi93"), "Yiyi93")</f>
        <v>Yiyi93</v>
      </c>
      <c r="B1616" s="11" t="s">
        <v>3352</v>
      </c>
      <c r="C1616" s="12">
        <v>46163.58152777778</v>
      </c>
      <c r="D1616" s="11" t="s">
        <v>3353</v>
      </c>
      <c r="E1616" s="14" t="s">
        <v>29</v>
      </c>
      <c r="F1616" s="14" t="s">
        <v>30</v>
      </c>
      <c r="G1616" s="15" t="s">
        <v>17</v>
      </c>
      <c r="H1616" s="15" t="s">
        <v>18</v>
      </c>
      <c r="I1616" s="14" t="str">
        <f>IMAGE("https://upload.wikimedia.org/wikipedia/commons/e/ed/Paisaje_urbano.Universidad_de_la_Salle.jpg")</f>
        <v/>
      </c>
    </row>
    <row r="1617" ht="36.0" customHeight="1">
      <c r="A1617" s="16" t="str">
        <f t="shared" ref="A1617:A1618" si="210">HYPERLINK("https://commons.wikimedia.org/wiki/User:" &amp; ENCODEURL("C0MC25"), "C0MC25")</f>
        <v>C0MC25</v>
      </c>
      <c r="B1617" s="17" t="s">
        <v>3354</v>
      </c>
      <c r="C1617" s="18">
        <v>46163.52967592593</v>
      </c>
      <c r="D1617" s="17" t="s">
        <v>3355</v>
      </c>
      <c r="E1617" s="19" t="s">
        <v>29</v>
      </c>
      <c r="F1617" s="19" t="s">
        <v>30</v>
      </c>
      <c r="G1617" s="20" t="s">
        <v>17</v>
      </c>
      <c r="H1617" s="20" t="s">
        <v>18</v>
      </c>
      <c r="I1617" s="19" t="str">
        <f>IMAGE("https://upload.wikimedia.org/wikipedia/commons/0/01/Paisaje_y_Frailejones.jpg")</f>
        <v/>
      </c>
    </row>
    <row r="1618" ht="36.0" customHeight="1">
      <c r="A1618" s="10" t="str">
        <f t="shared" si="210"/>
        <v>C0MC25</v>
      </c>
      <c r="B1618" s="11" t="s">
        <v>3356</v>
      </c>
      <c r="C1618" s="12">
        <v>46163.52967592593</v>
      </c>
      <c r="D1618" s="11" t="s">
        <v>3355</v>
      </c>
      <c r="E1618" s="14" t="s">
        <v>29</v>
      </c>
      <c r="F1618" s="14" t="s">
        <v>30</v>
      </c>
      <c r="G1618" s="15" t="s">
        <v>17</v>
      </c>
      <c r="H1618" s="15" t="s">
        <v>18</v>
      </c>
      <c r="I1618" s="14" t="str">
        <f>IMAGE("https://upload.wikimedia.org/wikipedia/commons/d/de/Paisaje_y_Frailejones_01.jpg")</f>
        <v/>
      </c>
    </row>
    <row r="1619" ht="36.0" customHeight="1">
      <c r="A1619" s="16" t="str">
        <f>HYPERLINK("https://commons.wikimedia.org/wiki/User:" &amp; ENCODEURL("Tudum1213"), "Tudum1213")</f>
        <v>Tudum1213</v>
      </c>
      <c r="B1619" s="17" t="s">
        <v>3357</v>
      </c>
      <c r="C1619" s="18">
        <v>46163.51170138889</v>
      </c>
      <c r="D1619" s="17" t="s">
        <v>3358</v>
      </c>
      <c r="E1619" s="19" t="s">
        <v>29</v>
      </c>
      <c r="F1619" s="19" t="s">
        <v>30</v>
      </c>
      <c r="G1619" s="20" t="s">
        <v>17</v>
      </c>
      <c r="H1619" s="20" t="s">
        <v>18</v>
      </c>
      <c r="I1619" s="19" t="str">
        <f>IMAGE("https://upload.wikimedia.org/wikipedia/commons/8/8c/Paisaje_zona_verde_universidad_de_la_salle.jpg")</f>
        <v/>
      </c>
    </row>
    <row r="1620" ht="36.0" customHeight="1">
      <c r="A1620" s="10" t="str">
        <f>HYPERLINK("https://commons.wikimedia.org/wiki/User:" &amp; ENCODEURL("Lualollipop"), "Lualollipop")</f>
        <v>Lualollipop</v>
      </c>
      <c r="B1620" s="11" t="s">
        <v>3359</v>
      </c>
      <c r="C1620" s="12">
        <v>46200.608622685184</v>
      </c>
      <c r="D1620" s="11" t="s">
        <v>3360</v>
      </c>
      <c r="E1620" s="14" t="s">
        <v>29</v>
      </c>
      <c r="F1620" s="14" t="s">
        <v>30</v>
      </c>
      <c r="G1620" s="15" t="s">
        <v>17</v>
      </c>
      <c r="H1620" s="15" t="s">
        <v>18</v>
      </c>
      <c r="I1620" s="14" t="str">
        <f>IMAGE("https://upload.wikimedia.org/wikipedia/commons/6/60/Pajarito%2C_Boyac%C3%A1.jpg")</f>
        <v/>
      </c>
    </row>
    <row r="1621" ht="36.0" customHeight="1">
      <c r="A1621" s="16" t="str">
        <f>HYPERLINK("https://commons.wikimedia.org/wiki/User:" &amp; ENCODEURL("Luifereduardoo"), "Luifereduardoo")</f>
        <v>Luifereduardoo</v>
      </c>
      <c r="B1621" s="17" t="s">
        <v>3361</v>
      </c>
      <c r="C1621" s="18">
        <v>46164.56591435185</v>
      </c>
      <c r="D1621" s="17" t="s">
        <v>3362</v>
      </c>
      <c r="E1621" s="19" t="s">
        <v>3363</v>
      </c>
      <c r="F1621" s="20" t="s">
        <v>16</v>
      </c>
      <c r="G1621" s="20" t="s">
        <v>17</v>
      </c>
      <c r="H1621" s="20" t="s">
        <v>18</v>
      </c>
      <c r="I1621" s="19" t="str">
        <f>IMAGE("https://upload.wikimedia.org/wikipedia/commons/7/7f/Pajaro_en_un_cactus_en_el_atardecer.png")</f>
        <v/>
      </c>
    </row>
    <row r="1622" ht="36.0" customHeight="1">
      <c r="A1622" s="10" t="str">
        <f>HYPERLINK("https://commons.wikimedia.org/wiki/User:" &amp; ENCODEURL("Supertita"), "Supertita")</f>
        <v>Supertita</v>
      </c>
      <c r="B1622" s="11" t="s">
        <v>3364</v>
      </c>
      <c r="C1622" s="12">
        <v>46192.75498842593</v>
      </c>
      <c r="D1622" s="11" t="s">
        <v>3365</v>
      </c>
      <c r="E1622" s="14" t="s">
        <v>446</v>
      </c>
      <c r="F1622" s="15" t="s">
        <v>16</v>
      </c>
      <c r="G1622" s="15" t="s">
        <v>17</v>
      </c>
      <c r="H1622" s="15" t="s">
        <v>18</v>
      </c>
      <c r="I1622" s="14" t="str">
        <f>IMAGE("https://upload.wikimedia.org/wikipedia/commons/c/c5/Palm_Tanager_Bird_%28Thraupis_palmarum%29.jpg")</f>
        <v/>
      </c>
    </row>
    <row r="1623" ht="36.0" customHeight="1">
      <c r="A1623" s="16" t="str">
        <f t="shared" ref="A1623:A1624" si="211">HYPERLINK("https://commons.wikimedia.org/wiki/User:" &amp; ENCODEURL("Nathaly 1106"), "Nathaly 1106")</f>
        <v>Nathaly 1106</v>
      </c>
      <c r="B1623" s="17" t="s">
        <v>3366</v>
      </c>
      <c r="C1623" s="18">
        <v>46147.67141203704</v>
      </c>
      <c r="D1623" s="17" t="s">
        <v>3367</v>
      </c>
      <c r="E1623" s="19" t="s">
        <v>29</v>
      </c>
      <c r="F1623" s="19" t="s">
        <v>30</v>
      </c>
      <c r="G1623" s="20" t="s">
        <v>17</v>
      </c>
      <c r="H1623" s="20" t="s">
        <v>18</v>
      </c>
      <c r="I1623" s="19" t="str">
        <f>IMAGE("https://upload.wikimedia.org/wikipedia/commons/c/c8/Palma_canaria_%28Arecaceae%29.jpg")</f>
        <v/>
      </c>
    </row>
    <row r="1624" ht="36.0" customHeight="1">
      <c r="A1624" s="10" t="str">
        <f t="shared" si="211"/>
        <v>Nathaly 1106</v>
      </c>
      <c r="B1624" s="11" t="s">
        <v>3368</v>
      </c>
      <c r="C1624" s="12">
        <v>46147.67145833333</v>
      </c>
      <c r="D1624" s="11" t="s">
        <v>3369</v>
      </c>
      <c r="E1624" s="14" t="s">
        <v>29</v>
      </c>
      <c r="F1624" s="14" t="s">
        <v>30</v>
      </c>
      <c r="G1624" s="15" t="s">
        <v>17</v>
      </c>
      <c r="H1624" s="15" t="s">
        <v>18</v>
      </c>
      <c r="I1624" s="14" t="str">
        <f>IMAGE("https://upload.wikimedia.org/wikipedia/commons/c/ce/Palma_canaria_1%28Arecaceae%29.jpg")</f>
        <v/>
      </c>
    </row>
    <row r="1625" ht="36.0" customHeight="1">
      <c r="A1625" s="16" t="str">
        <f>HYPERLINK("https://commons.wikimedia.org/wiki/User:" &amp; ENCODEURL("NMontoya (WMCO)"), "NMontoya (WMCO)")</f>
        <v>NMontoya (WMCO)</v>
      </c>
      <c r="B1625" s="17" t="s">
        <v>3370</v>
      </c>
      <c r="C1625" s="18">
        <v>46191.80774305556</v>
      </c>
      <c r="D1625" s="17" t="s">
        <v>3371</v>
      </c>
      <c r="E1625" s="19" t="s">
        <v>683</v>
      </c>
      <c r="F1625" s="20" t="s">
        <v>16</v>
      </c>
      <c r="G1625" s="20" t="s">
        <v>17</v>
      </c>
      <c r="H1625" s="20" t="s">
        <v>18</v>
      </c>
      <c r="I1625" s="19" t="str">
        <f>IMAGE("https://upload.wikimedia.org/wikipedia/commons/8/8a/Palma_de_Corozo_-_Familia_Arecaceae.jpg")</f>
        <v/>
      </c>
    </row>
    <row r="1626" ht="36.0" customHeight="1">
      <c r="A1626" s="10" t="str">
        <f>HYPERLINK("https://commons.wikimedia.org/wiki/User:" &amp; ENCODEURL("Nathaly 1106"), "Nathaly 1106")</f>
        <v>Nathaly 1106</v>
      </c>
      <c r="B1626" s="11" t="s">
        <v>3372</v>
      </c>
      <c r="C1626" s="12">
        <v>46148.619305555556</v>
      </c>
      <c r="D1626" s="11" t="s">
        <v>3373</v>
      </c>
      <c r="E1626" s="14" t="s">
        <v>29</v>
      </c>
      <c r="F1626" s="14" t="s">
        <v>30</v>
      </c>
      <c r="G1626" s="15" t="s">
        <v>17</v>
      </c>
      <c r="H1626" s="15" t="s">
        <v>18</v>
      </c>
      <c r="I1626" s="14" t="str">
        <f>IMAGE("https://upload.wikimedia.org/wikipedia/commons/a/ab/Palma_de_cera_%28Ceroxylon_quindiuense%29.jpg")</f>
        <v/>
      </c>
    </row>
    <row r="1627" ht="36.0" customHeight="1">
      <c r="A1627" s="16" t="str">
        <f>HYPERLINK("https://commons.wikimedia.org/wiki/User:" &amp; ENCODEURL("Leo123qwerty"), "Leo123qwerty")</f>
        <v>Leo123qwerty</v>
      </c>
      <c r="B1627" s="17" t="s">
        <v>3374</v>
      </c>
      <c r="C1627" s="18">
        <v>46201.74391203704</v>
      </c>
      <c r="D1627" s="17" t="s">
        <v>3375</v>
      </c>
      <c r="E1627" s="19" t="s">
        <v>3376</v>
      </c>
      <c r="F1627" s="20" t="s">
        <v>16</v>
      </c>
      <c r="G1627" s="20" t="s">
        <v>17</v>
      </c>
      <c r="H1627" s="20" t="s">
        <v>18</v>
      </c>
      <c r="I1627" s="19" t="str">
        <f>IMAGE("https://upload.wikimedia.org/wikipedia/commons/7/7e/Palma_de_coco_%28Cocos_nucifera%29.jpg")</f>
        <v/>
      </c>
    </row>
    <row r="1628" ht="36.0" customHeight="1">
      <c r="A1628" s="10" t="str">
        <f>HYPERLINK("https://commons.wikimedia.org/wiki/User:" &amp; ENCODEURL("Supertita"), "Supertita")</f>
        <v>Supertita</v>
      </c>
      <c r="B1628" s="11" t="s">
        <v>3377</v>
      </c>
      <c r="C1628" s="12">
        <v>46191.80782407407</v>
      </c>
      <c r="D1628" s="11" t="s">
        <v>3378</v>
      </c>
      <c r="E1628" s="14" t="s">
        <v>1772</v>
      </c>
      <c r="F1628" s="15" t="s">
        <v>16</v>
      </c>
      <c r="G1628" s="15" t="s">
        <v>17</v>
      </c>
      <c r="H1628" s="15" t="s">
        <v>18</v>
      </c>
      <c r="I1628" s="14" t="str">
        <f>IMAGE("https://upload.wikimedia.org/wikipedia/commons/8/83/Palma_de_moriche.jpg")</f>
        <v/>
      </c>
    </row>
    <row r="1629" ht="36.0" customHeight="1">
      <c r="A1629" s="16" t="str">
        <f>HYPERLINK("https://commons.wikimedia.org/wiki/User:" &amp; ENCODEURL("Nathaly 1106"), "Nathaly 1106")</f>
        <v>Nathaly 1106</v>
      </c>
      <c r="B1629" s="17" t="s">
        <v>3379</v>
      </c>
      <c r="C1629" s="18">
        <v>46147.67119212963</v>
      </c>
      <c r="D1629" s="17" t="s">
        <v>3380</v>
      </c>
      <c r="E1629" s="19" t="s">
        <v>29</v>
      </c>
      <c r="F1629" s="19" t="s">
        <v>30</v>
      </c>
      <c r="G1629" s="20" t="s">
        <v>17</v>
      </c>
      <c r="H1629" s="20" t="s">
        <v>18</v>
      </c>
      <c r="I1629" s="19" t="str">
        <f>IMAGE("https://upload.wikimedia.org/wikipedia/commons/7/7a/Palma_real_%28Ceroxylon_alpinum%29.jpg")</f>
        <v/>
      </c>
    </row>
    <row r="1630" ht="36.0" customHeight="1">
      <c r="A1630" s="10" t="str">
        <f>HYPERLINK("https://commons.wikimedia.org/wiki/User:" &amp; ENCODEURL("Allysami2215"), "Allysami2215")</f>
        <v>Allysami2215</v>
      </c>
      <c r="B1630" s="11" t="s">
        <v>3381</v>
      </c>
      <c r="C1630" s="12">
        <v>46147.85196759259</v>
      </c>
      <c r="D1630" s="11" t="s">
        <v>3382</v>
      </c>
      <c r="E1630" s="14" t="s">
        <v>29</v>
      </c>
      <c r="F1630" s="14" t="s">
        <v>30</v>
      </c>
      <c r="G1630" s="15" t="s">
        <v>17</v>
      </c>
      <c r="H1630" s="15" t="s">
        <v>18</v>
      </c>
      <c r="I1630" s="14" t="str">
        <f>IMAGE("https://upload.wikimedia.org/wikipedia/commons/9/9d/Palmas_de_cera_%28salento_Quindio.jpg")</f>
        <v/>
      </c>
    </row>
    <row r="1631" ht="36.0" customHeight="1">
      <c r="A1631" s="16" t="str">
        <f>HYPERLINK("https://commons.wikimedia.org/wiki/User:" &amp; ENCODEURL("Nathaly 1106"), "Nathaly 1106")</f>
        <v>Nathaly 1106</v>
      </c>
      <c r="B1631" s="17" t="s">
        <v>3383</v>
      </c>
      <c r="C1631" s="18">
        <v>46148.63144675926</v>
      </c>
      <c r="D1631" s="17" t="s">
        <v>3384</v>
      </c>
      <c r="E1631" s="19" t="s">
        <v>29</v>
      </c>
      <c r="F1631" s="19" t="s">
        <v>30</v>
      </c>
      <c r="G1631" s="20" t="s">
        <v>17</v>
      </c>
      <c r="H1631" s="20" t="s">
        <v>18</v>
      </c>
      <c r="I1631" s="19" t="str">
        <f>IMAGE("https://upload.wikimedia.org/wikipedia/commons/8/85/Palmas_de_cera_en_el_Jard%C3%ADn_Bot%C3%A1nico_de_Bogot%C3%A11.jpg")</f>
        <v/>
      </c>
    </row>
    <row r="1632" ht="36.0" customHeight="1">
      <c r="A1632" s="10" t="str">
        <f>HYPERLINK("https://commons.wikimedia.org/wiki/User:" &amp; ENCODEURL("Allysami2215"), "Allysami2215")</f>
        <v>Allysami2215</v>
      </c>
      <c r="B1632" s="11" t="s">
        <v>3385</v>
      </c>
      <c r="C1632" s="12">
        <v>46147.85199074074</v>
      </c>
      <c r="D1632" s="11" t="s">
        <v>3386</v>
      </c>
      <c r="E1632" s="14" t="s">
        <v>29</v>
      </c>
      <c r="F1632" s="14" t="s">
        <v>30</v>
      </c>
      <c r="G1632" s="15" t="s">
        <v>17</v>
      </c>
      <c r="H1632" s="15" t="s">
        <v>18</v>
      </c>
      <c r="I1632" s="14" t="str">
        <f>IMAGE("https://upload.wikimedia.org/wikipedia/commons/f/f0/Palmas_de_cera_en_su_esplendor.jpg")</f>
        <v/>
      </c>
    </row>
    <row r="1633" ht="36.0" customHeight="1">
      <c r="A1633" s="16" t="str">
        <f>HYPERLINK("https://commons.wikimedia.org/wiki/User:" &amp; ENCODEURL("JJCL09"), "JJCL09")</f>
        <v>JJCL09</v>
      </c>
      <c r="B1633" s="17" t="s">
        <v>3387</v>
      </c>
      <c r="C1633" s="18">
        <v>46147.88146990741</v>
      </c>
      <c r="D1633" s="17" t="s">
        <v>3388</v>
      </c>
      <c r="E1633" s="19" t="s">
        <v>3389</v>
      </c>
      <c r="F1633" s="20" t="s">
        <v>16</v>
      </c>
      <c r="G1633" s="20" t="s">
        <v>17</v>
      </c>
      <c r="H1633" s="20" t="s">
        <v>18</v>
      </c>
      <c r="I1633" s="19" t="str">
        <f>IMAGE("https://upload.wikimedia.org/wikipedia/commons/1/17/Palmas_de_sol.jpg")</f>
        <v/>
      </c>
    </row>
    <row r="1634" ht="36.0" customHeight="1">
      <c r="A1634" s="10" t="str">
        <f>HYPERLINK("https://commons.wikimedia.org/wiki/User:" &amp; ENCODEURL("Allysami2215"), "Allysami2215")</f>
        <v>Allysami2215</v>
      </c>
      <c r="B1634" s="11" t="s">
        <v>3390</v>
      </c>
      <c r="C1634" s="12">
        <v>46147.85192129629</v>
      </c>
      <c r="D1634" s="11" t="s">
        <v>3391</v>
      </c>
      <c r="E1634" s="14" t="s">
        <v>29</v>
      </c>
      <c r="F1634" s="14" t="s">
        <v>30</v>
      </c>
      <c r="G1634" s="15" t="s">
        <v>17</v>
      </c>
      <c r="H1634" s="15" t="s">
        <v>18</v>
      </c>
      <c r="I1634" s="14" t="str">
        <f>IMAGE("https://upload.wikimedia.org/wikipedia/commons/8/87/Palmas_san_andres.jpg")</f>
        <v/>
      </c>
    </row>
    <row r="1635" ht="36.0" customHeight="1">
      <c r="A1635" s="16" t="str">
        <f>HYPERLINK("https://commons.wikimedia.org/wiki/User:" &amp; ENCODEURL("Karumain"), "Karumain")</f>
        <v>Karumain</v>
      </c>
      <c r="B1635" s="17" t="s">
        <v>3392</v>
      </c>
      <c r="C1635" s="18">
        <v>46163.55972222222</v>
      </c>
      <c r="D1635" s="17" t="s">
        <v>3393</v>
      </c>
      <c r="E1635" s="19" t="s">
        <v>29</v>
      </c>
      <c r="F1635" s="19" t="s">
        <v>30</v>
      </c>
      <c r="G1635" s="20" t="s">
        <v>17</v>
      </c>
      <c r="H1635" s="20" t="s">
        <v>18</v>
      </c>
      <c r="I1635" s="19" t="str">
        <f>IMAGE("https://upload.wikimedia.org/wikipedia/commons/6/65/Palmera_costera.jpg")</f>
        <v/>
      </c>
    </row>
    <row r="1636" ht="36.0" customHeight="1">
      <c r="A1636" s="10" t="str">
        <f>HYPERLINK("https://commons.wikimedia.org/wiki/User:" &amp; ENCODEURL("Vvelashue21"), "Vvelashue21")</f>
        <v>Vvelashue21</v>
      </c>
      <c r="B1636" s="11" t="s">
        <v>3394</v>
      </c>
      <c r="C1636" s="12">
        <v>46163.516064814816</v>
      </c>
      <c r="D1636" s="11" t="s">
        <v>3395</v>
      </c>
      <c r="E1636" s="14" t="s">
        <v>29</v>
      </c>
      <c r="F1636" s="14" t="s">
        <v>30</v>
      </c>
      <c r="G1636" s="15" t="s">
        <v>17</v>
      </c>
      <c r="H1636" s="15" t="s">
        <v>18</v>
      </c>
      <c r="I1636" s="14" t="str">
        <f>IMAGE("https://upload.wikimedia.org/wikipedia/commons/9/9f/Palmera_de_san_andres.jpg")</f>
        <v/>
      </c>
    </row>
    <row r="1637" ht="36.0" customHeight="1">
      <c r="A1637" s="16" t="str">
        <f>HYPERLINK("https://commons.wikimedia.org/wiki/User:" &amp; ENCODEURL("Karumain"), "Karumain")</f>
        <v>Karumain</v>
      </c>
      <c r="B1637" s="17" t="s">
        <v>3396</v>
      </c>
      <c r="C1637" s="18">
        <v>46163.51547453704</v>
      </c>
      <c r="D1637" s="17" t="s">
        <v>3397</v>
      </c>
      <c r="E1637" s="19" t="s">
        <v>29</v>
      </c>
      <c r="F1637" s="19" t="s">
        <v>30</v>
      </c>
      <c r="G1637" s="20" t="s">
        <v>17</v>
      </c>
      <c r="H1637" s="20" t="s">
        <v>18</v>
      </c>
      <c r="I1637" s="19" t="str">
        <f>IMAGE("https://upload.wikimedia.org/wikipedia/commons/4/4d/Palmera_junto_al_mar.jpg")</f>
        <v/>
      </c>
    </row>
    <row r="1638" ht="36.0" customHeight="1">
      <c r="A1638" s="10" t="str">
        <f>HYPERLINK("https://commons.wikimedia.org/wiki/User:" &amp; ENCODEURL("Dyrt.yis"), "Dyrt.yis")</f>
        <v>Dyrt.yis</v>
      </c>
      <c r="B1638" s="11" t="s">
        <v>3398</v>
      </c>
      <c r="C1638" s="12">
        <v>46163.51429398148</v>
      </c>
      <c r="D1638" s="11" t="s">
        <v>3399</v>
      </c>
      <c r="E1638" s="14" t="s">
        <v>29</v>
      </c>
      <c r="F1638" s="14" t="s">
        <v>30</v>
      </c>
      <c r="G1638" s="15" t="s">
        <v>17</v>
      </c>
      <c r="H1638" s="15" t="s">
        <v>18</v>
      </c>
      <c r="I1638" s="14" t="str">
        <f>IMAGE("https://upload.wikimedia.org/wikipedia/commons/5/5b/Palmeras%2Cjardin_botanico.jpg")</f>
        <v/>
      </c>
    </row>
    <row r="1639" ht="36.0" customHeight="1">
      <c r="A1639" s="16" t="str">
        <f>HYPERLINK("https://commons.wikimedia.org/wiki/User:" &amp; ENCODEURL("Juanrapave"), "Juanrapave")</f>
        <v>Juanrapave</v>
      </c>
      <c r="B1639" s="17" t="s">
        <v>3400</v>
      </c>
      <c r="C1639" s="18">
        <v>46166.31329861111</v>
      </c>
      <c r="D1639" s="17" t="s">
        <v>3401</v>
      </c>
      <c r="E1639" s="19" t="s">
        <v>29</v>
      </c>
      <c r="F1639" s="19" t="s">
        <v>30</v>
      </c>
      <c r="G1639" s="20" t="s">
        <v>17</v>
      </c>
      <c r="H1639" s="20" t="s">
        <v>18</v>
      </c>
      <c r="I1639" s="19" t="str">
        <f>IMAGE("https://upload.wikimedia.org/wikipedia/commons/7/7a/Paloma_en_mano.jpg")</f>
        <v/>
      </c>
    </row>
    <row r="1640" ht="36.0" customHeight="1">
      <c r="A1640" s="10" t="str">
        <f t="shared" ref="A1640:A1642" si="212">HYPERLINK("https://commons.wikimedia.org/wiki/User:" &amp; ENCODEURL("Joseeem"), "Joseeem")</f>
        <v>Joseeem</v>
      </c>
      <c r="B1640" s="11" t="s">
        <v>3402</v>
      </c>
      <c r="C1640" s="12">
        <v>46156.94494212963</v>
      </c>
      <c r="D1640" s="11" t="s">
        <v>3403</v>
      </c>
      <c r="E1640" s="14" t="s">
        <v>29</v>
      </c>
      <c r="F1640" s="14" t="s">
        <v>30</v>
      </c>
      <c r="G1640" s="15" t="s">
        <v>17</v>
      </c>
      <c r="H1640" s="15" t="s">
        <v>18</v>
      </c>
      <c r="I1640" s="14" t="str">
        <f>IMAGE("https://upload.wikimedia.org/wikipedia/commons/2/2f/Palomino_Beach.jpg")</f>
        <v/>
      </c>
    </row>
    <row r="1641" ht="36.0" customHeight="1">
      <c r="A1641" s="16" t="str">
        <f t="shared" si="212"/>
        <v>Joseeem</v>
      </c>
      <c r="B1641" s="17" t="s">
        <v>3404</v>
      </c>
      <c r="C1641" s="18">
        <v>46156.94494212963</v>
      </c>
      <c r="D1641" s="17" t="s">
        <v>1182</v>
      </c>
      <c r="E1641" s="19" t="s">
        <v>29</v>
      </c>
      <c r="F1641" s="19" t="s">
        <v>30</v>
      </c>
      <c r="G1641" s="20" t="s">
        <v>17</v>
      </c>
      <c r="H1641" s="20" t="s">
        <v>18</v>
      </c>
      <c r="I1641" s="19" t="str">
        <f>IMAGE("https://upload.wikimedia.org/wikipedia/commons/1/15/Palomino_Colombia.jpg")</f>
        <v/>
      </c>
    </row>
    <row r="1642" ht="36.0" customHeight="1">
      <c r="A1642" s="10" t="str">
        <f t="shared" si="212"/>
        <v>Joseeem</v>
      </c>
      <c r="B1642" s="11" t="s">
        <v>3405</v>
      </c>
      <c r="C1642" s="12">
        <v>46156.94511574074</v>
      </c>
      <c r="D1642" s="11" t="s">
        <v>3406</v>
      </c>
      <c r="E1642" s="14" t="s">
        <v>29</v>
      </c>
      <c r="F1642" s="14" t="s">
        <v>30</v>
      </c>
      <c r="G1642" s="15" t="s">
        <v>17</v>
      </c>
      <c r="H1642" s="15" t="s">
        <v>18</v>
      </c>
      <c r="I1642" s="14" t="str">
        <f>IMAGE("https://upload.wikimedia.org/wikipedia/commons/f/f3/Palomino_Colombia_2.jpg")</f>
        <v/>
      </c>
    </row>
    <row r="1643" ht="36.0" customHeight="1">
      <c r="A1643" s="16" t="str">
        <f>HYPERLINK("https://commons.wikimedia.org/wiki/User:" &amp; ENCODEURL("AmiGueko"), "AmiGueko")</f>
        <v>AmiGueko</v>
      </c>
      <c r="B1643" s="17" t="s">
        <v>3407</v>
      </c>
      <c r="C1643" s="18">
        <v>46177.898460648146</v>
      </c>
      <c r="D1643" s="17" t="s">
        <v>3408</v>
      </c>
      <c r="E1643" s="19" t="s">
        <v>2108</v>
      </c>
      <c r="F1643" s="20" t="s">
        <v>16</v>
      </c>
      <c r="G1643" s="20" t="s">
        <v>17</v>
      </c>
      <c r="H1643" s="20" t="s">
        <v>18</v>
      </c>
      <c r="I1643" s="19" t="str">
        <f>IMAGE("https://upload.wikimedia.org/wikipedia/commons/9/98/Panama_Queen.jpg")</f>
        <v/>
      </c>
    </row>
    <row r="1644" ht="36.0" customHeight="1">
      <c r="A1644" s="10" t="str">
        <f>HYPERLINK("https://commons.wikimedia.org/wiki/User:" &amp; ENCODEURL("Allysami2215"), "Allysami2215")</f>
        <v>Allysami2215</v>
      </c>
      <c r="B1644" s="11" t="s">
        <v>3409</v>
      </c>
      <c r="C1644" s="12">
        <v>46147.85196759259</v>
      </c>
      <c r="D1644" s="11" t="s">
        <v>3410</v>
      </c>
      <c r="E1644" s="14" t="s">
        <v>29</v>
      </c>
      <c r="F1644" s="14" t="s">
        <v>30</v>
      </c>
      <c r="G1644" s="15" t="s">
        <v>17</v>
      </c>
      <c r="H1644" s="15" t="s">
        <v>18</v>
      </c>
      <c r="I1644" s="14" t="str">
        <f>IMAGE("https://upload.wikimedia.org/wikipedia/commons/9/9f/Panam%C3%A1_de_cera_2.jpg")</f>
        <v/>
      </c>
    </row>
    <row r="1645" ht="36.0" customHeight="1">
      <c r="A1645" s="16" t="str">
        <f>HYPERLINK("https://commons.wikimedia.org/wiki/User:" &amp; ENCODEURL("PapisitoDeEmmanuel"), "PapisitoDeEmmanuel")</f>
        <v>PapisitoDeEmmanuel</v>
      </c>
      <c r="B1645" s="17" t="s">
        <v>3411</v>
      </c>
      <c r="C1645" s="18">
        <v>46154.91663194444</v>
      </c>
      <c r="D1645" s="17" t="s">
        <v>3412</v>
      </c>
      <c r="E1645" s="19" t="s">
        <v>3413</v>
      </c>
      <c r="F1645" s="20" t="s">
        <v>16</v>
      </c>
      <c r="G1645" s="20" t="s">
        <v>17</v>
      </c>
      <c r="H1645" s="20" t="s">
        <v>18</v>
      </c>
      <c r="I1645" s="19" t="str">
        <f>IMAGE("https://upload.wikimedia.org/wikipedia/commons/6/60/Pance_River%2C_Cali%2C_Colombia.jpg")</f>
        <v/>
      </c>
    </row>
    <row r="1646" ht="36.0" customHeight="1">
      <c r="A1646" s="10" t="str">
        <f>HYPERLINK("https://commons.wikimedia.org/wiki/User:" &amp; ENCODEURL("Nathaly 1106"), "Nathaly 1106")</f>
        <v>Nathaly 1106</v>
      </c>
      <c r="B1646" s="11" t="s">
        <v>3414</v>
      </c>
      <c r="C1646" s="12">
        <v>46148.957083333335</v>
      </c>
      <c r="D1646" s="11" t="s">
        <v>3415</v>
      </c>
      <c r="E1646" s="14" t="s">
        <v>29</v>
      </c>
      <c r="F1646" s="14" t="s">
        <v>30</v>
      </c>
      <c r="G1646" s="15" t="s">
        <v>17</v>
      </c>
      <c r="H1646" s="15" t="s">
        <v>18</v>
      </c>
      <c r="I1646" s="14" t="str">
        <f>IMAGE("https://upload.wikimedia.org/wikipedia/commons/7/7d/Panor%C3%A1mica_a_la_bah%C3%ADa_de_Santa_Marta.jpg")</f>
        <v/>
      </c>
    </row>
    <row r="1647" ht="36.0" customHeight="1">
      <c r="A1647" s="16" t="str">
        <f t="shared" ref="A1647:A1648" si="213">HYPERLINK("https://commons.wikimedia.org/wiki/User:" &amp; ENCODEURL("Johan Andrés Toro"), "Johan Andrés Toro")</f>
        <v>Johan Andrés Toro</v>
      </c>
      <c r="B1647" s="17" t="s">
        <v>3416</v>
      </c>
      <c r="C1647" s="18">
        <v>46171.62688657407</v>
      </c>
      <c r="D1647" s="17" t="s">
        <v>3417</v>
      </c>
      <c r="E1647" s="19" t="s">
        <v>3418</v>
      </c>
      <c r="F1647" s="20" t="s">
        <v>16</v>
      </c>
      <c r="G1647" s="20" t="s">
        <v>17</v>
      </c>
      <c r="H1647" s="20" t="s">
        <v>18</v>
      </c>
      <c r="I1647" s="19" t="str">
        <f>IMAGE("https://upload.wikimedia.org/wikipedia/commons/3/39/Panor%C3%A1mica_a%C3%A9rea_del_ca%C3%B1%C3%B3n_del_R%C3%ADo_Bogot%C3%A1_tras_el_Salto_del_Tequendama.jpg")</f>
        <v/>
      </c>
    </row>
    <row r="1648" ht="36.0" customHeight="1">
      <c r="A1648" s="10" t="str">
        <f t="shared" si="213"/>
        <v>Johan Andrés Toro</v>
      </c>
      <c r="B1648" s="11" t="s">
        <v>3419</v>
      </c>
      <c r="C1648" s="12">
        <v>46176.945856481485</v>
      </c>
      <c r="D1648" s="11" t="s">
        <v>3420</v>
      </c>
      <c r="E1648" s="14" t="s">
        <v>29</v>
      </c>
      <c r="F1648" s="14" t="s">
        <v>30</v>
      </c>
      <c r="G1648" s="15" t="s">
        <v>17</v>
      </c>
      <c r="H1648" s="15" t="s">
        <v>18</v>
      </c>
      <c r="I1648" s="14" t="str">
        <f>IMAGE("https://upload.wikimedia.org/wikipedia/commons/e/e1/Panor%C3%A1mica_de_la_transici%C3%B3n_geogr%C3%A1fica_en_la_Tatacoa.jpg")</f>
        <v/>
      </c>
    </row>
    <row r="1649" ht="36.0" customHeight="1">
      <c r="A1649" s="16" t="str">
        <f>HYPERLINK("https://commons.wikimedia.org/wiki/User:" &amp; ENCODEURL("Yiyi93"), "Yiyi93")</f>
        <v>Yiyi93</v>
      </c>
      <c r="B1649" s="17" t="s">
        <v>3421</v>
      </c>
      <c r="C1649" s="18">
        <v>46163.5815625</v>
      </c>
      <c r="D1649" s="17" t="s">
        <v>3422</v>
      </c>
      <c r="E1649" s="19" t="s">
        <v>29</v>
      </c>
      <c r="F1649" s="19" t="s">
        <v>30</v>
      </c>
      <c r="G1649" s="20" t="s">
        <v>17</v>
      </c>
      <c r="H1649" s="20" t="s">
        <v>18</v>
      </c>
      <c r="I1649" s="19" t="str">
        <f>IMAGE("https://upload.wikimedia.org/wikipedia/commons/5/57/Panor%C3%A1mica_del_rio_magdalena.jpg")</f>
        <v/>
      </c>
    </row>
    <row r="1650" ht="36.0" customHeight="1">
      <c r="A1650" s="10" t="str">
        <f t="shared" ref="A1650:A1651" si="214">HYPERLINK("https://commons.wikimedia.org/wiki/User:" &amp; ENCODEURL("Nathaly 1106"), "Nathaly 1106")</f>
        <v>Nathaly 1106</v>
      </c>
      <c r="B1650" s="11" t="s">
        <v>3423</v>
      </c>
      <c r="C1650" s="12">
        <v>46148.95726851852</v>
      </c>
      <c r="D1650" s="11" t="s">
        <v>3424</v>
      </c>
      <c r="E1650" s="14" t="s">
        <v>29</v>
      </c>
      <c r="F1650" s="14" t="s">
        <v>30</v>
      </c>
      <c r="G1650" s="15" t="s">
        <v>17</v>
      </c>
      <c r="H1650" s="15" t="s">
        <v>18</v>
      </c>
      <c r="I1650" s="14" t="str">
        <f>IMAGE("https://upload.wikimedia.org/wikipedia/commons/b/b7/Panor%C3%A1mica_desde_el_embalse_El_Pe%C3%B1ol_-_Guatap%C3%A9.jpg")</f>
        <v/>
      </c>
    </row>
    <row r="1651" ht="36.0" customHeight="1">
      <c r="A1651" s="16" t="str">
        <f t="shared" si="214"/>
        <v>Nathaly 1106</v>
      </c>
      <c r="B1651" s="17" t="s">
        <v>3425</v>
      </c>
      <c r="C1651" s="18">
        <v>46148.95701388889</v>
      </c>
      <c r="D1651" s="17" t="s">
        <v>3415</v>
      </c>
      <c r="E1651" s="19" t="s">
        <v>29</v>
      </c>
      <c r="F1651" s="19" t="s">
        <v>30</v>
      </c>
      <c r="G1651" s="20" t="s">
        <v>17</v>
      </c>
      <c r="H1651" s="20" t="s">
        <v>18</v>
      </c>
      <c r="I1651" s="19" t="str">
        <f>IMAGE("https://upload.wikimedia.org/wikipedia/commons/9/9e/Panor%C3%A1mica_desde_los_cerros_orientales_de_Bogot%C3%A1_01.jpg")</f>
        <v/>
      </c>
    </row>
    <row r="1652" ht="36.0" customHeight="1">
      <c r="A1652" s="10" t="str">
        <f>HYPERLINK("https://commons.wikimedia.org/wiki/User:" &amp; ENCODEURL("Leo123qwerty"), "Leo123qwerty")</f>
        <v>Leo123qwerty</v>
      </c>
      <c r="B1652" s="11" t="s">
        <v>3426</v>
      </c>
      <c r="C1652" s="12">
        <v>46203.543333333335</v>
      </c>
      <c r="D1652" s="11" t="s">
        <v>3427</v>
      </c>
      <c r="E1652" s="14" t="s">
        <v>29</v>
      </c>
      <c r="F1652" s="14" t="s">
        <v>30</v>
      </c>
      <c r="G1652" s="15" t="s">
        <v>17</v>
      </c>
      <c r="H1652" s="15" t="s">
        <v>18</v>
      </c>
      <c r="I1652" s="14" t="str">
        <f>IMAGE("https://upload.wikimedia.org/wikipedia/commons/4/41/PANTANO_ULTIMO_DIA.jpg")</f>
        <v/>
      </c>
    </row>
    <row r="1653" ht="36.0" customHeight="1">
      <c r="A1653" s="16" t="str">
        <f t="shared" ref="A1653:A1655" si="215">HYPERLINK("https://commons.wikimedia.org/wiki/User:" &amp; ENCODEURL("Nathaly 1106"), "Nathaly 1106")</f>
        <v>Nathaly 1106</v>
      </c>
      <c r="B1653" s="17" t="s">
        <v>3428</v>
      </c>
      <c r="C1653" s="18">
        <v>46148.38133101852</v>
      </c>
      <c r="D1653" s="17" t="s">
        <v>3429</v>
      </c>
      <c r="E1653" s="19" t="s">
        <v>29</v>
      </c>
      <c r="F1653" s="19" t="s">
        <v>30</v>
      </c>
      <c r="G1653" s="20" t="s">
        <v>17</v>
      </c>
      <c r="H1653" s="20" t="s">
        <v>18</v>
      </c>
      <c r="I1653" s="19" t="str">
        <f>IMAGE("https://upload.wikimedia.org/wikipedia/commons/6/62/Panor%C3%A1mica_Parque_Nacional_Natural_Los_Nevados.jpg")</f>
        <v/>
      </c>
    </row>
    <row r="1654" ht="36.0" customHeight="1">
      <c r="A1654" s="10" t="str">
        <f t="shared" si="215"/>
        <v>Nathaly 1106</v>
      </c>
      <c r="B1654" s="11" t="s">
        <v>3430</v>
      </c>
      <c r="C1654" s="12">
        <v>46148.957083333335</v>
      </c>
      <c r="D1654" s="11" t="s">
        <v>3431</v>
      </c>
      <c r="E1654" s="14" t="s">
        <v>29</v>
      </c>
      <c r="F1654" s="14" t="s">
        <v>30</v>
      </c>
      <c r="G1654" s="15" t="s">
        <v>17</v>
      </c>
      <c r="H1654" s="15" t="s">
        <v>18</v>
      </c>
      <c r="I1654" s="14" t="str">
        <f>IMAGE("https://upload.wikimedia.org/wikipedia/commons/6/60/Panor%C3%A1mica_desde_Santa_Marta.jpg")</f>
        <v/>
      </c>
    </row>
    <row r="1655" ht="36.0" customHeight="1">
      <c r="A1655" s="16" t="str">
        <f t="shared" si="215"/>
        <v>Nathaly 1106</v>
      </c>
      <c r="B1655" s="17" t="s">
        <v>3432</v>
      </c>
      <c r="C1655" s="18">
        <v>46148.957280092596</v>
      </c>
      <c r="D1655" s="17" t="s">
        <v>3433</v>
      </c>
      <c r="E1655" s="19" t="s">
        <v>29</v>
      </c>
      <c r="F1655" s="19" t="s">
        <v>30</v>
      </c>
      <c r="G1655" s="20" t="s">
        <v>17</v>
      </c>
      <c r="H1655" s="20" t="s">
        <v>18</v>
      </c>
      <c r="I1655" s="19" t="str">
        <f>IMAGE("https://upload.wikimedia.org/wikipedia/commons/e/e3/Panor%C3%A1mica_playera.jpg")</f>
        <v/>
      </c>
    </row>
    <row r="1656" ht="36.0" customHeight="1">
      <c r="A1656" s="10" t="str">
        <f>HYPERLINK("https://commons.wikimedia.org/wiki/User:" &amp; ENCODEURL("Sonianatural"), "Sonianatural")</f>
        <v>Sonianatural</v>
      </c>
      <c r="B1656" s="11" t="s">
        <v>3434</v>
      </c>
      <c r="C1656" s="12">
        <v>46178.45033564815</v>
      </c>
      <c r="D1656" s="11" t="s">
        <v>3435</v>
      </c>
      <c r="E1656" s="14" t="s">
        <v>29</v>
      </c>
      <c r="F1656" s="14" t="s">
        <v>30</v>
      </c>
      <c r="G1656" s="15" t="s">
        <v>17</v>
      </c>
      <c r="H1656" s="15" t="s">
        <v>18</v>
      </c>
      <c r="I1656" s="14" t="str">
        <f>IMAGE("https://upload.wikimedia.org/wikipedia/commons/b/b8/Pantano_de_Andabobos.jpg")</f>
        <v/>
      </c>
    </row>
    <row r="1657" ht="36.0" customHeight="1">
      <c r="A1657" s="16" t="str">
        <f>HYPERLINK("https://commons.wikimedia.org/wiki/User:" &amp; ENCODEURL("NMontoya (WMCO)"), "NMontoya (WMCO)")</f>
        <v>NMontoya (WMCO)</v>
      </c>
      <c r="B1657" s="17" t="s">
        <v>3436</v>
      </c>
      <c r="C1657" s="18">
        <v>46191.80783564815</v>
      </c>
      <c r="D1657" s="17" t="s">
        <v>3437</v>
      </c>
      <c r="E1657" s="19" t="s">
        <v>683</v>
      </c>
      <c r="F1657" s="20" t="s">
        <v>16</v>
      </c>
      <c r="G1657" s="20" t="s">
        <v>17</v>
      </c>
      <c r="H1657" s="20" t="s">
        <v>18</v>
      </c>
      <c r="I1657" s="19" t="str">
        <f>IMAGE("https://upload.wikimedia.org/wikipedia/commons/5/58/Papiro_-_Cyperus_papyrus_-_Cyperaceae.jpg")</f>
        <v/>
      </c>
    </row>
    <row r="1658" ht="36.0" customHeight="1">
      <c r="A1658" s="10" t="str">
        <f>HYPERLINK("https://commons.wikimedia.org/wiki/User:" &amp; ENCODEURL("Cataarsiis"), "Cataarsiis")</f>
        <v>Cataarsiis</v>
      </c>
      <c r="B1658" s="11" t="s">
        <v>3438</v>
      </c>
      <c r="C1658" s="12">
        <v>46202.922268518516</v>
      </c>
      <c r="D1658" s="11" t="s">
        <v>3439</v>
      </c>
      <c r="E1658" s="14" t="s">
        <v>29</v>
      </c>
      <c r="F1658" s="14" t="s">
        <v>30</v>
      </c>
      <c r="G1658" s="15" t="s">
        <v>17</v>
      </c>
      <c r="H1658" s="15" t="s">
        <v>18</v>
      </c>
      <c r="I1658" s="14" t="str">
        <f>IMAGE("https://upload.wikimedia.org/wikipedia/commons/e/e2/Parada_de_Romero%2C_G%C3%BCic%C3%A1n_de_la_Sierra.jpg")</f>
        <v/>
      </c>
    </row>
    <row r="1659" ht="36.0" customHeight="1">
      <c r="A1659" s="16" t="str">
        <f>HYPERLINK("https://commons.wikimedia.org/wiki/User:" &amp; ENCODEURL("Supertita"), "Supertita")</f>
        <v>Supertita</v>
      </c>
      <c r="B1659" s="17" t="s">
        <v>3440</v>
      </c>
      <c r="C1659" s="18">
        <v>46192.707453703704</v>
      </c>
      <c r="D1659" s="17" t="s">
        <v>3441</v>
      </c>
      <c r="E1659" s="19" t="s">
        <v>21</v>
      </c>
      <c r="F1659" s="20" t="s">
        <v>16</v>
      </c>
      <c r="G1659" s="20" t="s">
        <v>17</v>
      </c>
      <c r="H1659" s="20" t="s">
        <v>18</v>
      </c>
      <c r="I1659" s="19" t="str">
        <f>IMAGE("https://upload.wikimedia.org/wikipedia/commons/e/e7/Paramo_Chingaza_con_neblina.jpg")</f>
        <v/>
      </c>
    </row>
    <row r="1660" ht="36.0" customHeight="1">
      <c r="A1660" s="10" t="str">
        <f>HYPERLINK("https://commons.wikimedia.org/wiki/User:" &amp; ENCODEURL("Mat1318"), "Mat1318")</f>
        <v>Mat1318</v>
      </c>
      <c r="B1660" s="11" t="s">
        <v>3442</v>
      </c>
      <c r="C1660" s="12">
        <v>46193.81402777778</v>
      </c>
      <c r="D1660" s="11" t="s">
        <v>3443</v>
      </c>
      <c r="E1660" s="14" t="s">
        <v>29</v>
      </c>
      <c r="F1660" s="14" t="s">
        <v>30</v>
      </c>
      <c r="G1660" s="15" t="s">
        <v>17</v>
      </c>
      <c r="H1660" s="15" t="s">
        <v>18</v>
      </c>
      <c r="I1660" s="14" t="str">
        <f>IMAGE("https://upload.wikimedia.org/wikipedia/commons/0/01/Paramo_de_guerrero_%28_Cachira%29.jpg")</f>
        <v/>
      </c>
    </row>
    <row r="1661" ht="36.0" customHeight="1">
      <c r="A1661" s="16" t="str">
        <f>HYPERLINK("https://commons.wikimedia.org/wiki/User:" &amp; ENCODEURL("Allysami2215"), "Allysami2215")</f>
        <v>Allysami2215</v>
      </c>
      <c r="B1661" s="17" t="s">
        <v>3444</v>
      </c>
      <c r="C1661" s="18">
        <v>46147.85181712963</v>
      </c>
      <c r="D1661" s="17" t="s">
        <v>3445</v>
      </c>
      <c r="E1661" s="19" t="s">
        <v>29</v>
      </c>
      <c r="F1661" s="19" t="s">
        <v>30</v>
      </c>
      <c r="G1661" s="20" t="s">
        <v>17</v>
      </c>
      <c r="H1661" s="20" t="s">
        <v>18</v>
      </c>
      <c r="I1661" s="19" t="str">
        <f>IMAGE("https://upload.wikimedia.org/wikipedia/commons/4/46/Paramo_de_sumapaz.jpg")</f>
        <v/>
      </c>
    </row>
    <row r="1662" ht="36.0" customHeight="1">
      <c r="A1662" s="10" t="str">
        <f>HYPERLINK("https://commons.wikimedia.org/wiki/User:" &amp; ENCODEURL("IvanVillacorte"), "IvanVillacorte")</f>
        <v>IvanVillacorte</v>
      </c>
      <c r="B1662" s="11" t="s">
        <v>3446</v>
      </c>
      <c r="C1662" s="12">
        <v>46162.80091435185</v>
      </c>
      <c r="D1662" s="11" t="s">
        <v>3447</v>
      </c>
      <c r="E1662" s="14" t="s">
        <v>29</v>
      </c>
      <c r="F1662" s="14" t="s">
        <v>30</v>
      </c>
      <c r="G1662" s="15" t="s">
        <v>17</v>
      </c>
      <c r="H1662" s="15" t="s">
        <v>18</v>
      </c>
      <c r="I1662" s="14" t="str">
        <f>IMAGE("https://upload.wikimedia.org/wikipedia/commons/6/6f/Pareja_de_Cairina_moschata_en_h%C3%A1bitat_acu%C3%A1tico.jpg")</f>
        <v/>
      </c>
    </row>
    <row r="1663" ht="36.0" customHeight="1">
      <c r="A1663" s="16" t="str">
        <f>HYPERLINK("https://commons.wikimedia.org/wiki/User:" &amp; ENCODEURL("Juli 2000 her"), "Juli 2000 her")</f>
        <v>Juli 2000 her</v>
      </c>
      <c r="B1663" s="17" t="s">
        <v>3448</v>
      </c>
      <c r="C1663" s="18">
        <v>46189.0541087963</v>
      </c>
      <c r="D1663" s="17" t="s">
        <v>3449</v>
      </c>
      <c r="E1663" s="19" t="s">
        <v>29</v>
      </c>
      <c r="F1663" s="19" t="s">
        <v>30</v>
      </c>
      <c r="G1663" s="20" t="s">
        <v>17</v>
      </c>
      <c r="H1663" s="20" t="s">
        <v>18</v>
      </c>
      <c r="I1663" s="19" t="str">
        <f>IMAGE("https://upload.wikimedia.org/wikipedia/commons/b/b9/Pareja_de_guacamayas_frenticasta%C3%B1as_%28Ara_severus%29_en_Villavicencio%2C_Meta%2C_Colombia.jpg")</f>
        <v/>
      </c>
    </row>
    <row r="1664" ht="36.0" customHeight="1">
      <c r="A1664" s="10" t="str">
        <f>HYPERLINK("https://commons.wikimedia.org/wiki/User:" &amp; ENCODEURL("Jhas24.09"), "Jhas24.09")</f>
        <v>Jhas24.09</v>
      </c>
      <c r="B1664" s="11" t="s">
        <v>3450</v>
      </c>
      <c r="C1664" s="12">
        <v>46160.10122685185</v>
      </c>
      <c r="D1664" s="11" t="s">
        <v>3451</v>
      </c>
      <c r="E1664" s="14" t="s">
        <v>29</v>
      </c>
      <c r="F1664" s="14" t="s">
        <v>30</v>
      </c>
      <c r="G1664" s="15" t="s">
        <v>17</v>
      </c>
      <c r="H1664" s="15" t="s">
        <v>18</v>
      </c>
      <c r="I1664" s="14" t="str">
        <f>IMAGE("https://upload.wikimedia.org/wikipedia/commons/2/27/Pareja_de_insectos.jpg")</f>
        <v/>
      </c>
    </row>
    <row r="1665" ht="36.0" customHeight="1">
      <c r="A1665" s="16" t="str">
        <f t="shared" ref="A1665:A1668" si="216">HYPERLINK("https://commons.wikimedia.org/wiki/User:" &amp; ENCODEURL("Diferoch"), "Diferoch")</f>
        <v>Diferoch</v>
      </c>
      <c r="B1665" s="17" t="s">
        <v>3452</v>
      </c>
      <c r="C1665" s="18">
        <v>46146.50111111111</v>
      </c>
      <c r="D1665" s="17" t="s">
        <v>3453</v>
      </c>
      <c r="E1665" s="19" t="s">
        <v>3454</v>
      </c>
      <c r="F1665" s="20" t="s">
        <v>16</v>
      </c>
      <c r="G1665" s="20" t="s">
        <v>17</v>
      </c>
      <c r="H1665" s="20" t="s">
        <v>18</v>
      </c>
      <c r="I1665" s="19" t="str">
        <f>IMAGE("https://upload.wikimedia.org/wikipedia/commons/7/73/Parque_Ecol%C3%B3gico_Matarredonda_-_23-May-2025.jpg")</f>
        <v/>
      </c>
    </row>
    <row r="1666" ht="36.0" customHeight="1">
      <c r="A1666" s="10" t="str">
        <f t="shared" si="216"/>
        <v>Diferoch</v>
      </c>
      <c r="B1666" s="11" t="s">
        <v>3455</v>
      </c>
      <c r="C1666" s="12">
        <v>46146.51357638889</v>
      </c>
      <c r="D1666" s="11" t="s">
        <v>3456</v>
      </c>
      <c r="E1666" s="14" t="s">
        <v>3454</v>
      </c>
      <c r="F1666" s="15" t="s">
        <v>16</v>
      </c>
      <c r="G1666" s="15" t="s">
        <v>17</v>
      </c>
      <c r="H1666" s="15" t="s">
        <v>18</v>
      </c>
      <c r="I1666" s="14" t="str">
        <f>IMAGE("https://upload.wikimedia.org/wikipedia/commons/0/01/Parque_Ecol%C3%B3gico_Matarredonda_2_-_23-May-2025.jpg")</f>
        <v/>
      </c>
    </row>
    <row r="1667" ht="36.0" customHeight="1">
      <c r="A1667" s="16" t="str">
        <f t="shared" si="216"/>
        <v>Diferoch</v>
      </c>
      <c r="B1667" s="17" t="s">
        <v>3457</v>
      </c>
      <c r="C1667" s="18">
        <v>46146.51363425926</v>
      </c>
      <c r="D1667" s="17" t="s">
        <v>3456</v>
      </c>
      <c r="E1667" s="19" t="s">
        <v>3454</v>
      </c>
      <c r="F1667" s="20" t="s">
        <v>16</v>
      </c>
      <c r="G1667" s="20" t="s">
        <v>17</v>
      </c>
      <c r="H1667" s="20" t="s">
        <v>18</v>
      </c>
      <c r="I1667" s="19" t="str">
        <f>IMAGE("https://upload.wikimedia.org/wikipedia/commons/9/96/Parque_Ecol%C3%B3gico_Matarredonda_3_-_23-May-2025.jpg")</f>
        <v/>
      </c>
    </row>
    <row r="1668" ht="36.0" customHeight="1">
      <c r="A1668" s="10" t="str">
        <f t="shared" si="216"/>
        <v>Diferoch</v>
      </c>
      <c r="B1668" s="11" t="s">
        <v>3458</v>
      </c>
      <c r="C1668" s="12">
        <v>46146.51358796296</v>
      </c>
      <c r="D1668" s="11" t="s">
        <v>3456</v>
      </c>
      <c r="E1668" s="14" t="s">
        <v>368</v>
      </c>
      <c r="F1668" s="15" t="s">
        <v>16</v>
      </c>
      <c r="G1668" s="15" t="s">
        <v>17</v>
      </c>
      <c r="H1668" s="15" t="s">
        <v>18</v>
      </c>
      <c r="I1668" s="14" t="str">
        <f>IMAGE("https://upload.wikimedia.org/wikipedia/commons/9/9e/Parque_Ecol%C3%B3gico_Matarredonda_4_-_23-May-2025.jpg")</f>
        <v/>
      </c>
    </row>
    <row r="1669" ht="36.0" customHeight="1">
      <c r="A1669" s="16" t="str">
        <f>HYPERLINK("https://commons.wikimedia.org/wiki/User:" &amp; ENCODEURL("Allysami2215"), "Allysami2215")</f>
        <v>Allysami2215</v>
      </c>
      <c r="B1669" s="17" t="s">
        <v>3459</v>
      </c>
      <c r="C1669" s="18">
        <v>46147.85178240741</v>
      </c>
      <c r="D1669" s="17" t="s">
        <v>3460</v>
      </c>
      <c r="E1669" s="19" t="s">
        <v>29</v>
      </c>
      <c r="F1669" s="19" t="s">
        <v>30</v>
      </c>
      <c r="G1669" s="20" t="s">
        <v>17</v>
      </c>
      <c r="H1669" s="20" t="s">
        <v>18</v>
      </c>
      <c r="I1669" s="19" t="str">
        <f>IMAGE("https://upload.wikimedia.org/wikipedia/commons/a/ae/Parque_Jaime_duque.jpg")</f>
        <v/>
      </c>
    </row>
    <row r="1670" ht="36.0" customHeight="1">
      <c r="A1670" s="10" t="str">
        <f t="shared" ref="A1670:A1709" si="217">HYPERLINK("https://commons.wikimedia.org/wiki/User:" &amp; ENCODEURL("AmiGueko"), "AmiGueko")</f>
        <v>AmiGueko</v>
      </c>
      <c r="B1670" s="11" t="s">
        <v>3461</v>
      </c>
      <c r="C1670" s="12">
        <v>46156.99820601852</v>
      </c>
      <c r="D1670" s="11" t="s">
        <v>3462</v>
      </c>
      <c r="E1670" s="14" t="s">
        <v>29</v>
      </c>
      <c r="F1670" s="14" t="s">
        <v>30</v>
      </c>
      <c r="G1670" s="15" t="s">
        <v>17</v>
      </c>
      <c r="H1670" s="15" t="s">
        <v>18</v>
      </c>
      <c r="I1670" s="14" t="str">
        <f>IMAGE("https://upload.wikimedia.org/wikipedia/commons/1/1b/Parque_Nacional_Natural_Los_Nevados_y_Nevado_del_Ruiz_%2811067%29.jpg")</f>
        <v/>
      </c>
    </row>
    <row r="1671" ht="36.0" customHeight="1">
      <c r="A1671" s="16" t="str">
        <f t="shared" si="217"/>
        <v>AmiGueko</v>
      </c>
      <c r="B1671" s="17" t="s">
        <v>3463</v>
      </c>
      <c r="C1671" s="18">
        <v>46157.00005787037</v>
      </c>
      <c r="D1671" s="17" t="s">
        <v>3462</v>
      </c>
      <c r="E1671" s="19" t="s">
        <v>29</v>
      </c>
      <c r="F1671" s="19" t="s">
        <v>30</v>
      </c>
      <c r="G1671" s="20" t="s">
        <v>17</v>
      </c>
      <c r="H1671" s="20" t="s">
        <v>18</v>
      </c>
      <c r="I1671" s="19" t="str">
        <f>IMAGE("https://upload.wikimedia.org/wikipedia/commons/c/ce/Parque_Nacional_Natural_Los_Nevados_y_Nevado_del_Ruiz_%2815882%29.jpg")</f>
        <v/>
      </c>
    </row>
    <row r="1672" ht="36.0" customHeight="1">
      <c r="A1672" s="10" t="str">
        <f t="shared" si="217"/>
        <v>AmiGueko</v>
      </c>
      <c r="B1672" s="11" t="s">
        <v>3464</v>
      </c>
      <c r="C1672" s="12">
        <v>46156.99625</v>
      </c>
      <c r="D1672" s="11" t="s">
        <v>3462</v>
      </c>
      <c r="E1672" s="14" t="s">
        <v>29</v>
      </c>
      <c r="F1672" s="14" t="s">
        <v>30</v>
      </c>
      <c r="G1672" s="15" t="s">
        <v>17</v>
      </c>
      <c r="H1672" s="15" t="s">
        <v>18</v>
      </c>
      <c r="I1672" s="14" t="str">
        <f>IMAGE("https://upload.wikimedia.org/wikipedia/commons/7/7b/Parque_Nacional_Natural_Los_Nevados_y_Nevado_del_Ruiz_%2816003%29.jpg")</f>
        <v/>
      </c>
    </row>
    <row r="1673" ht="36.0" customHeight="1">
      <c r="A1673" s="16" t="str">
        <f t="shared" si="217"/>
        <v>AmiGueko</v>
      </c>
      <c r="B1673" s="17" t="s">
        <v>3465</v>
      </c>
      <c r="C1673" s="18">
        <v>46157.002754629626</v>
      </c>
      <c r="D1673" s="17" t="s">
        <v>3462</v>
      </c>
      <c r="E1673" s="19" t="s">
        <v>29</v>
      </c>
      <c r="F1673" s="19" t="s">
        <v>30</v>
      </c>
      <c r="G1673" s="20" t="s">
        <v>17</v>
      </c>
      <c r="H1673" s="20" t="s">
        <v>18</v>
      </c>
      <c r="I1673" s="19" t="str">
        <f>IMAGE("https://upload.wikimedia.org/wikipedia/commons/6/62/Parque_Nacional_Natural_Los_Nevados_y_Nevado_del_Ruiz_%2816986%29.jpg")</f>
        <v/>
      </c>
    </row>
    <row r="1674" ht="36.0" customHeight="1">
      <c r="A1674" s="10" t="str">
        <f t="shared" si="217"/>
        <v>AmiGueko</v>
      </c>
      <c r="B1674" s="11" t="s">
        <v>3466</v>
      </c>
      <c r="C1674" s="12">
        <v>46157.00314814815</v>
      </c>
      <c r="D1674" s="11" t="s">
        <v>3462</v>
      </c>
      <c r="E1674" s="14" t="s">
        <v>29</v>
      </c>
      <c r="F1674" s="14" t="s">
        <v>30</v>
      </c>
      <c r="G1674" s="15" t="s">
        <v>17</v>
      </c>
      <c r="H1674" s="15" t="s">
        <v>18</v>
      </c>
      <c r="I1674" s="14" t="str">
        <f>IMAGE("https://upload.wikimedia.org/wikipedia/commons/1/12/Parque_Nacional_Natural_Los_Nevados_y_Nevado_del_Ruiz_%2817437%29.jpg")</f>
        <v/>
      </c>
    </row>
    <row r="1675" ht="36.0" customHeight="1">
      <c r="A1675" s="16" t="str">
        <f t="shared" si="217"/>
        <v>AmiGueko</v>
      </c>
      <c r="B1675" s="17" t="s">
        <v>3467</v>
      </c>
      <c r="C1675" s="18">
        <v>46157.00717592592</v>
      </c>
      <c r="D1675" s="17" t="s">
        <v>3462</v>
      </c>
      <c r="E1675" s="19" t="s">
        <v>29</v>
      </c>
      <c r="F1675" s="19" t="s">
        <v>30</v>
      </c>
      <c r="G1675" s="20" t="s">
        <v>17</v>
      </c>
      <c r="H1675" s="20" t="s">
        <v>18</v>
      </c>
      <c r="I1675" s="19" t="str">
        <f>IMAGE("https://upload.wikimedia.org/wikipedia/commons/0/03/Parque_Nacional_Natural_Los_Nevados_y_Nevado_del_Ruiz_%2818248%29.jpg")</f>
        <v/>
      </c>
    </row>
    <row r="1676" ht="36.0" customHeight="1">
      <c r="A1676" s="10" t="str">
        <f t="shared" si="217"/>
        <v>AmiGueko</v>
      </c>
      <c r="B1676" s="11" t="s">
        <v>3468</v>
      </c>
      <c r="C1676" s="12">
        <v>46157.00116898148</v>
      </c>
      <c r="D1676" s="11" t="s">
        <v>3462</v>
      </c>
      <c r="E1676" s="14" t="s">
        <v>29</v>
      </c>
      <c r="F1676" s="14" t="s">
        <v>30</v>
      </c>
      <c r="G1676" s="15" t="s">
        <v>17</v>
      </c>
      <c r="H1676" s="15" t="s">
        <v>18</v>
      </c>
      <c r="I1676" s="14" t="str">
        <f>IMAGE("https://upload.wikimedia.org/wikipedia/commons/8/84/Parque_Nacional_Natural_Los_Nevados_y_Nevado_del_Ruiz_%2820595%29.jpg")</f>
        <v/>
      </c>
    </row>
    <row r="1677" ht="36.0" customHeight="1">
      <c r="A1677" s="16" t="str">
        <f t="shared" si="217"/>
        <v>AmiGueko</v>
      </c>
      <c r="B1677" s="17" t="s">
        <v>3469</v>
      </c>
      <c r="C1677" s="18">
        <v>46156.99912037037</v>
      </c>
      <c r="D1677" s="17" t="s">
        <v>3462</v>
      </c>
      <c r="E1677" s="19" t="s">
        <v>29</v>
      </c>
      <c r="F1677" s="19" t="s">
        <v>30</v>
      </c>
      <c r="G1677" s="20" t="s">
        <v>17</v>
      </c>
      <c r="H1677" s="20" t="s">
        <v>18</v>
      </c>
      <c r="I1677" s="19" t="str">
        <f>IMAGE("https://upload.wikimedia.org/wikipedia/commons/9/9e/Parque_Nacional_Natural_Los_Nevados_y_Nevado_del_Ruiz_%2821036%29.jpg")</f>
        <v/>
      </c>
    </row>
    <row r="1678" ht="36.0" customHeight="1">
      <c r="A1678" s="10" t="str">
        <f t="shared" si="217"/>
        <v>AmiGueko</v>
      </c>
      <c r="B1678" s="11" t="s">
        <v>3470</v>
      </c>
      <c r="C1678" s="12">
        <v>46156.9969212963</v>
      </c>
      <c r="D1678" s="11" t="s">
        <v>3462</v>
      </c>
      <c r="E1678" s="14" t="s">
        <v>29</v>
      </c>
      <c r="F1678" s="14" t="s">
        <v>30</v>
      </c>
      <c r="G1678" s="15" t="s">
        <v>17</v>
      </c>
      <c r="H1678" s="15" t="s">
        <v>18</v>
      </c>
      <c r="I1678" s="14" t="str">
        <f>IMAGE("https://upload.wikimedia.org/wikipedia/commons/0/08/Parque_Nacional_Natural_Los_Nevados_y_Nevado_del_Ruiz_%2823415%29.jpg")</f>
        <v/>
      </c>
    </row>
    <row r="1679" ht="36.0" customHeight="1">
      <c r="A1679" s="16" t="str">
        <f t="shared" si="217"/>
        <v>AmiGueko</v>
      </c>
      <c r="B1679" s="17" t="s">
        <v>3471</v>
      </c>
      <c r="C1679" s="18">
        <v>46157.00393518519</v>
      </c>
      <c r="D1679" s="17" t="s">
        <v>3462</v>
      </c>
      <c r="E1679" s="19" t="s">
        <v>29</v>
      </c>
      <c r="F1679" s="19" t="s">
        <v>30</v>
      </c>
      <c r="G1679" s="20" t="s">
        <v>17</v>
      </c>
      <c r="H1679" s="20" t="s">
        <v>18</v>
      </c>
      <c r="I1679" s="19" t="str">
        <f>IMAGE("https://upload.wikimedia.org/wikipedia/commons/b/b4/Parque_Nacional_Natural_Los_Nevados_y_Nevado_del_Ruiz_%2824454%29.jpg")</f>
        <v/>
      </c>
    </row>
    <row r="1680" ht="36.0" customHeight="1">
      <c r="A1680" s="10" t="str">
        <f t="shared" si="217"/>
        <v>AmiGueko</v>
      </c>
      <c r="B1680" s="11" t="s">
        <v>3472</v>
      </c>
      <c r="C1680" s="12">
        <v>46156.993842592594</v>
      </c>
      <c r="D1680" s="11" t="s">
        <v>3462</v>
      </c>
      <c r="E1680" s="14" t="s">
        <v>29</v>
      </c>
      <c r="F1680" s="14" t="s">
        <v>30</v>
      </c>
      <c r="G1680" s="15" t="s">
        <v>17</v>
      </c>
      <c r="H1680" s="15" t="s">
        <v>18</v>
      </c>
      <c r="I1680" s="14" t="str">
        <f>IMAGE("https://upload.wikimedia.org/wikipedia/commons/2/29/Parque_Nacional_Natural_Los_Nevados_y_Nevado_del_Ruiz_%2829184%29.jpg")</f>
        <v/>
      </c>
    </row>
    <row r="1681" ht="36.0" customHeight="1">
      <c r="A1681" s="16" t="str">
        <f t="shared" si="217"/>
        <v>AmiGueko</v>
      </c>
      <c r="B1681" s="17" t="s">
        <v>3473</v>
      </c>
      <c r="C1681" s="18">
        <v>46156.99505787037</v>
      </c>
      <c r="D1681" s="17" t="s">
        <v>3462</v>
      </c>
      <c r="E1681" s="19" t="s">
        <v>29</v>
      </c>
      <c r="F1681" s="19" t="s">
        <v>30</v>
      </c>
      <c r="G1681" s="20" t="s">
        <v>17</v>
      </c>
      <c r="H1681" s="20" t="s">
        <v>18</v>
      </c>
      <c r="I1681" s="19" t="str">
        <f>IMAGE("https://upload.wikimedia.org/wikipedia/commons/8/81/Parque_Nacional_Natural_Los_Nevados_y_Nevado_del_Ruiz_%2829342%29.jpg")</f>
        <v/>
      </c>
    </row>
    <row r="1682" ht="36.0" customHeight="1">
      <c r="A1682" s="10" t="str">
        <f t="shared" si="217"/>
        <v>AmiGueko</v>
      </c>
      <c r="B1682" s="11" t="s">
        <v>3474</v>
      </c>
      <c r="C1682" s="12">
        <v>46156.99565972222</v>
      </c>
      <c r="D1682" s="11" t="s">
        <v>3462</v>
      </c>
      <c r="E1682" s="14" t="s">
        <v>29</v>
      </c>
      <c r="F1682" s="14" t="s">
        <v>30</v>
      </c>
      <c r="G1682" s="15" t="s">
        <v>17</v>
      </c>
      <c r="H1682" s="15" t="s">
        <v>18</v>
      </c>
      <c r="I1682" s="14" t="str">
        <f>IMAGE("https://upload.wikimedia.org/wikipedia/commons/6/64/Parque_Nacional_Natural_Los_Nevados_y_Nevado_del_Ruiz_%2829395%29.jpg")</f>
        <v/>
      </c>
    </row>
    <row r="1683" ht="36.0" customHeight="1">
      <c r="A1683" s="16" t="str">
        <f t="shared" si="217"/>
        <v>AmiGueko</v>
      </c>
      <c r="B1683" s="17" t="s">
        <v>3475</v>
      </c>
      <c r="C1683" s="18">
        <v>46157.00622685185</v>
      </c>
      <c r="D1683" s="17" t="s">
        <v>3462</v>
      </c>
      <c r="E1683" s="19" t="s">
        <v>29</v>
      </c>
      <c r="F1683" s="19" t="s">
        <v>30</v>
      </c>
      <c r="G1683" s="20" t="s">
        <v>17</v>
      </c>
      <c r="H1683" s="20" t="s">
        <v>18</v>
      </c>
      <c r="I1683" s="19" t="str">
        <f>IMAGE("https://upload.wikimedia.org/wikipedia/commons/b/bd/Parque_Nacional_Natural_Los_Nevados_y_Nevado_del_Ruiz_%2830163%29.jpg")</f>
        <v/>
      </c>
    </row>
    <row r="1684" ht="36.0" customHeight="1">
      <c r="A1684" s="10" t="str">
        <f t="shared" si="217"/>
        <v>AmiGueko</v>
      </c>
      <c r="B1684" s="11" t="s">
        <v>3476</v>
      </c>
      <c r="C1684" s="12">
        <v>46156.99731481481</v>
      </c>
      <c r="D1684" s="11" t="s">
        <v>3462</v>
      </c>
      <c r="E1684" s="14" t="s">
        <v>29</v>
      </c>
      <c r="F1684" s="14" t="s">
        <v>30</v>
      </c>
      <c r="G1684" s="15" t="s">
        <v>17</v>
      </c>
      <c r="H1684" s="15" t="s">
        <v>18</v>
      </c>
      <c r="I1684" s="14" t="str">
        <f>IMAGE("https://upload.wikimedia.org/wikipedia/commons/c/ca/Parque_Nacional_Natural_Los_Nevados_y_Nevado_del_Ruiz_%2839072%29.jpg")</f>
        <v/>
      </c>
    </row>
    <row r="1685" ht="36.0" customHeight="1">
      <c r="A1685" s="16" t="str">
        <f t="shared" si="217"/>
        <v>AmiGueko</v>
      </c>
      <c r="B1685" s="17" t="s">
        <v>3477</v>
      </c>
      <c r="C1685" s="18">
        <v>46157.00042824074</v>
      </c>
      <c r="D1685" s="17" t="s">
        <v>3462</v>
      </c>
      <c r="E1685" s="19" t="s">
        <v>29</v>
      </c>
      <c r="F1685" s="19" t="s">
        <v>30</v>
      </c>
      <c r="G1685" s="20" t="s">
        <v>17</v>
      </c>
      <c r="H1685" s="20" t="s">
        <v>18</v>
      </c>
      <c r="I1685" s="19" t="str">
        <f>IMAGE("https://upload.wikimedia.org/wikipedia/commons/0/06/Parque_Nacional_Natural_Los_Nevados_y_Nevado_del_Ruiz_%2842530%29.jpg")</f>
        <v/>
      </c>
    </row>
    <row r="1686" ht="36.0" customHeight="1">
      <c r="A1686" s="10" t="str">
        <f t="shared" si="217"/>
        <v>AmiGueko</v>
      </c>
      <c r="B1686" s="11" t="s">
        <v>3478</v>
      </c>
      <c r="C1686" s="12">
        <v>46157.001875</v>
      </c>
      <c r="D1686" s="11" t="s">
        <v>3462</v>
      </c>
      <c r="E1686" s="14" t="s">
        <v>29</v>
      </c>
      <c r="F1686" s="14" t="s">
        <v>30</v>
      </c>
      <c r="G1686" s="15" t="s">
        <v>17</v>
      </c>
      <c r="H1686" s="15" t="s">
        <v>18</v>
      </c>
      <c r="I1686" s="14" t="str">
        <f>IMAGE("https://upload.wikimedia.org/wikipedia/commons/0/09/Parque_Nacional_Natural_Los_Nevados_y_Nevado_del_Ruiz_%2844448%29.jpg")</f>
        <v/>
      </c>
    </row>
    <row r="1687" ht="36.0" customHeight="1">
      <c r="A1687" s="16" t="str">
        <f t="shared" si="217"/>
        <v>AmiGueko</v>
      </c>
      <c r="B1687" s="17" t="s">
        <v>3479</v>
      </c>
      <c r="C1687" s="18">
        <v>46156.99655092593</v>
      </c>
      <c r="D1687" s="17" t="s">
        <v>3462</v>
      </c>
      <c r="E1687" s="19" t="s">
        <v>29</v>
      </c>
      <c r="F1687" s="19" t="s">
        <v>30</v>
      </c>
      <c r="G1687" s="20" t="s">
        <v>17</v>
      </c>
      <c r="H1687" s="20" t="s">
        <v>18</v>
      </c>
      <c r="I1687" s="19" t="str">
        <f>IMAGE("https://upload.wikimedia.org/wikipedia/commons/b/b2/Parque_Nacional_Natural_Los_Nevados_y_Nevado_del_Ruiz_%2846538%29.jpg")</f>
        <v/>
      </c>
    </row>
    <row r="1688" ht="36.0" customHeight="1">
      <c r="A1688" s="10" t="str">
        <f t="shared" si="217"/>
        <v>AmiGueko</v>
      </c>
      <c r="B1688" s="11" t="s">
        <v>3480</v>
      </c>
      <c r="C1688" s="12">
        <v>46157.00230324074</v>
      </c>
      <c r="D1688" s="11" t="s">
        <v>3462</v>
      </c>
      <c r="E1688" s="14" t="s">
        <v>29</v>
      </c>
      <c r="F1688" s="14" t="s">
        <v>30</v>
      </c>
      <c r="G1688" s="15" t="s">
        <v>17</v>
      </c>
      <c r="H1688" s="15" t="s">
        <v>18</v>
      </c>
      <c r="I1688" s="14" t="str">
        <f>IMAGE("https://upload.wikimedia.org/wikipedia/commons/5/59/Parque_Nacional_Natural_Los_Nevados_y_Nevado_del_Ruiz_%2847118%29.jpg")</f>
        <v/>
      </c>
    </row>
    <row r="1689" ht="36.0" customHeight="1">
      <c r="A1689" s="16" t="str">
        <f t="shared" si="217"/>
        <v>AmiGueko</v>
      </c>
      <c r="B1689" s="17" t="s">
        <v>3481</v>
      </c>
      <c r="C1689" s="18">
        <v>46157.004537037035</v>
      </c>
      <c r="D1689" s="17" t="s">
        <v>3462</v>
      </c>
      <c r="E1689" s="19" t="s">
        <v>29</v>
      </c>
      <c r="F1689" s="19" t="s">
        <v>30</v>
      </c>
      <c r="G1689" s="20" t="s">
        <v>17</v>
      </c>
      <c r="H1689" s="20" t="s">
        <v>18</v>
      </c>
      <c r="I1689" s="19" t="str">
        <f>IMAGE("https://upload.wikimedia.org/wikipedia/commons/7/77/Parque_Nacional_Natural_Los_Nevados_y_Nevado_del_Ruiz_%2847517%29.jpg")</f>
        <v/>
      </c>
    </row>
    <row r="1690" ht="36.0" customHeight="1">
      <c r="A1690" s="10" t="str">
        <f t="shared" si="217"/>
        <v>AmiGueko</v>
      </c>
      <c r="B1690" s="11" t="s">
        <v>3482</v>
      </c>
      <c r="C1690" s="12">
        <v>46156.9933912037</v>
      </c>
      <c r="D1690" s="11" t="s">
        <v>3462</v>
      </c>
      <c r="E1690" s="14" t="s">
        <v>29</v>
      </c>
      <c r="F1690" s="14" t="s">
        <v>30</v>
      </c>
      <c r="G1690" s="15" t="s">
        <v>17</v>
      </c>
      <c r="H1690" s="15" t="s">
        <v>18</v>
      </c>
      <c r="I1690" s="14" t="str">
        <f>IMAGE("https://upload.wikimedia.org/wikipedia/commons/a/ac/Parque_Nacional_Natural_Los_Nevados_y_Nevado_del_Ruiz_%2851704%29.jpg")</f>
        <v/>
      </c>
    </row>
    <row r="1691" ht="36.0" customHeight="1">
      <c r="A1691" s="16" t="str">
        <f t="shared" si="217"/>
        <v>AmiGueko</v>
      </c>
      <c r="B1691" s="17" t="s">
        <v>3483</v>
      </c>
      <c r="C1691" s="18">
        <v>46157.00744212963</v>
      </c>
      <c r="D1691" s="17" t="s">
        <v>3462</v>
      </c>
      <c r="E1691" s="19" t="s">
        <v>29</v>
      </c>
      <c r="F1691" s="19" t="s">
        <v>30</v>
      </c>
      <c r="G1691" s="20" t="s">
        <v>17</v>
      </c>
      <c r="H1691" s="20" t="s">
        <v>18</v>
      </c>
      <c r="I1691" s="19" t="str">
        <f>IMAGE("https://upload.wikimedia.org/wikipedia/commons/8/8c/Parque_Nacional_Natural_Los_Nevados_y_Nevado_del_Ruiz_%2851737%29.jpg")</f>
        <v/>
      </c>
    </row>
    <row r="1692" ht="36.0" customHeight="1">
      <c r="A1692" s="10" t="str">
        <f t="shared" si="217"/>
        <v>AmiGueko</v>
      </c>
      <c r="B1692" s="11" t="s">
        <v>3484</v>
      </c>
      <c r="C1692" s="12">
        <v>46157.0078587963</v>
      </c>
      <c r="D1692" s="11" t="s">
        <v>3462</v>
      </c>
      <c r="E1692" s="14" t="s">
        <v>29</v>
      </c>
      <c r="F1692" s="14" t="s">
        <v>30</v>
      </c>
      <c r="G1692" s="15" t="s">
        <v>17</v>
      </c>
      <c r="H1692" s="15" t="s">
        <v>18</v>
      </c>
      <c r="I1692" s="14" t="str">
        <f>IMAGE("https://upload.wikimedia.org/wikipedia/commons/6/6c/Parque_Nacional_Natural_Los_Nevados_y_Nevado_del_Ruiz_%2851760%29.jpg")</f>
        <v/>
      </c>
    </row>
    <row r="1693" ht="36.0" customHeight="1">
      <c r="A1693" s="16" t="str">
        <f t="shared" si="217"/>
        <v>AmiGueko</v>
      </c>
      <c r="B1693" s="17" t="s">
        <v>3485</v>
      </c>
      <c r="C1693" s="18">
        <v>46157.00681712963</v>
      </c>
      <c r="D1693" s="17" t="s">
        <v>3462</v>
      </c>
      <c r="E1693" s="19" t="s">
        <v>29</v>
      </c>
      <c r="F1693" s="19" t="s">
        <v>30</v>
      </c>
      <c r="G1693" s="20" t="s">
        <v>17</v>
      </c>
      <c r="H1693" s="20" t="s">
        <v>18</v>
      </c>
      <c r="I1693" s="19" t="str">
        <f>IMAGE("https://upload.wikimedia.org/wikipedia/commons/5/55/Parque_Nacional_Natural_Los_Nevados_y_Nevado_del_Ruiz_%2859525%29.jpg")</f>
        <v/>
      </c>
    </row>
    <row r="1694" ht="36.0" customHeight="1">
      <c r="A1694" s="10" t="str">
        <f t="shared" si="217"/>
        <v>AmiGueko</v>
      </c>
      <c r="B1694" s="11" t="s">
        <v>3486</v>
      </c>
      <c r="C1694" s="12">
        <v>46156.99596064815</v>
      </c>
      <c r="D1694" s="11" t="s">
        <v>3462</v>
      </c>
      <c r="E1694" s="14" t="s">
        <v>29</v>
      </c>
      <c r="F1694" s="14" t="s">
        <v>30</v>
      </c>
      <c r="G1694" s="15" t="s">
        <v>17</v>
      </c>
      <c r="H1694" s="15" t="s">
        <v>18</v>
      </c>
      <c r="I1694" s="14" t="str">
        <f>IMAGE("https://upload.wikimedia.org/wikipedia/commons/5/56/Parque_Nacional_Natural_Los_Nevados_y_Nevado_del_Ruiz_%2860853%29.jpg")</f>
        <v/>
      </c>
    </row>
    <row r="1695" ht="36.0" customHeight="1">
      <c r="A1695" s="16" t="str">
        <f t="shared" si="217"/>
        <v>AmiGueko</v>
      </c>
      <c r="B1695" s="17" t="s">
        <v>3487</v>
      </c>
      <c r="C1695" s="18">
        <v>46156.99767361111</v>
      </c>
      <c r="D1695" s="17" t="s">
        <v>3462</v>
      </c>
      <c r="E1695" s="19" t="s">
        <v>29</v>
      </c>
      <c r="F1695" s="19" t="s">
        <v>30</v>
      </c>
      <c r="G1695" s="20" t="s">
        <v>17</v>
      </c>
      <c r="H1695" s="20" t="s">
        <v>18</v>
      </c>
      <c r="I1695" s="19" t="str">
        <f>IMAGE("https://upload.wikimedia.org/wikipedia/commons/d/d0/Parque_Nacional_Natural_Los_Nevados_y_Nevado_del_Ruiz_%2862299%29.jpg")</f>
        <v/>
      </c>
    </row>
    <row r="1696" ht="36.0" customHeight="1">
      <c r="A1696" s="10" t="str">
        <f t="shared" si="217"/>
        <v>AmiGueko</v>
      </c>
      <c r="B1696" s="11" t="s">
        <v>3488</v>
      </c>
      <c r="C1696" s="12">
        <v>46156.99864583334</v>
      </c>
      <c r="D1696" s="11" t="s">
        <v>3462</v>
      </c>
      <c r="E1696" s="14" t="s">
        <v>29</v>
      </c>
      <c r="F1696" s="14" t="s">
        <v>30</v>
      </c>
      <c r="G1696" s="15" t="s">
        <v>17</v>
      </c>
      <c r="H1696" s="15" t="s">
        <v>18</v>
      </c>
      <c r="I1696" s="14" t="str">
        <f>IMAGE("https://upload.wikimedia.org/wikipedia/commons/e/e3/Parque_Nacional_Natural_Los_Nevados_y_Nevado_del_Ruiz_%2864087%29.jpg")</f>
        <v/>
      </c>
    </row>
    <row r="1697" ht="36.0" customHeight="1">
      <c r="A1697" s="16" t="str">
        <f t="shared" si="217"/>
        <v>AmiGueko</v>
      </c>
      <c r="B1697" s="17" t="s">
        <v>3489</v>
      </c>
      <c r="C1697" s="18">
        <v>46157.00420138889</v>
      </c>
      <c r="D1697" s="17" t="s">
        <v>3462</v>
      </c>
      <c r="E1697" s="19" t="s">
        <v>29</v>
      </c>
      <c r="F1697" s="19" t="s">
        <v>30</v>
      </c>
      <c r="G1697" s="20" t="s">
        <v>17</v>
      </c>
      <c r="H1697" s="20" t="s">
        <v>18</v>
      </c>
      <c r="I1697" s="19" t="str">
        <f>IMAGE("https://upload.wikimedia.org/wikipedia/commons/d/d3/Parque_Nacional_Natural_Los_Nevados_y_Nevado_del_Ruiz_%2866260%29.jpg")</f>
        <v/>
      </c>
    </row>
    <row r="1698" ht="36.0" customHeight="1">
      <c r="A1698" s="10" t="str">
        <f t="shared" si="217"/>
        <v>AmiGueko</v>
      </c>
      <c r="B1698" s="11" t="s">
        <v>3490</v>
      </c>
      <c r="C1698" s="12">
        <v>46156.995300925926</v>
      </c>
      <c r="D1698" s="11" t="s">
        <v>3462</v>
      </c>
      <c r="E1698" s="14" t="s">
        <v>29</v>
      </c>
      <c r="F1698" s="14" t="s">
        <v>30</v>
      </c>
      <c r="G1698" s="15" t="s">
        <v>17</v>
      </c>
      <c r="H1698" s="15" t="s">
        <v>18</v>
      </c>
      <c r="I1698" s="14" t="str">
        <f>IMAGE("https://upload.wikimedia.org/wikipedia/commons/a/ac/Parque_Nacional_Natural_Los_Nevados_y_Nevado_del_Ruiz_%2866560%29.jpg")</f>
        <v/>
      </c>
    </row>
    <row r="1699" ht="36.0" customHeight="1">
      <c r="A1699" s="16" t="str">
        <f t="shared" si="217"/>
        <v>AmiGueko</v>
      </c>
      <c r="B1699" s="17" t="s">
        <v>3491</v>
      </c>
      <c r="C1699" s="18">
        <v>46156.994363425925</v>
      </c>
      <c r="D1699" s="17" t="s">
        <v>3462</v>
      </c>
      <c r="E1699" s="19" t="s">
        <v>29</v>
      </c>
      <c r="F1699" s="19" t="s">
        <v>30</v>
      </c>
      <c r="G1699" s="20" t="s">
        <v>17</v>
      </c>
      <c r="H1699" s="20" t="s">
        <v>18</v>
      </c>
      <c r="I1699" s="19" t="str">
        <f>IMAGE("https://upload.wikimedia.org/wikipedia/commons/9/98/Parque_Nacional_Natural_Los_Nevados_y_Nevado_del_Ruiz_%2867158%29.jpg")</f>
        <v/>
      </c>
    </row>
    <row r="1700" ht="36.0" customHeight="1">
      <c r="A1700" s="10" t="str">
        <f t="shared" si="217"/>
        <v>AmiGueko</v>
      </c>
      <c r="B1700" s="11" t="s">
        <v>3492</v>
      </c>
      <c r="C1700" s="12">
        <v>46157.00586805555</v>
      </c>
      <c r="D1700" s="11" t="s">
        <v>3462</v>
      </c>
      <c r="E1700" s="14" t="s">
        <v>29</v>
      </c>
      <c r="F1700" s="14" t="s">
        <v>30</v>
      </c>
      <c r="G1700" s="15" t="s">
        <v>17</v>
      </c>
      <c r="H1700" s="15" t="s">
        <v>18</v>
      </c>
      <c r="I1700" s="14" t="str">
        <f>IMAGE("https://upload.wikimedia.org/wikipedia/commons/2/24/Parque_Nacional_Natural_Los_Nevados_y_Nevado_del_Ruiz_%2867453%29.jpg")</f>
        <v/>
      </c>
    </row>
    <row r="1701" ht="36.0" customHeight="1">
      <c r="A1701" s="16" t="str">
        <f t="shared" si="217"/>
        <v>AmiGueko</v>
      </c>
      <c r="B1701" s="17" t="s">
        <v>3493</v>
      </c>
      <c r="C1701" s="18">
        <v>46157.00087962963</v>
      </c>
      <c r="D1701" s="17" t="s">
        <v>3462</v>
      </c>
      <c r="E1701" s="19" t="s">
        <v>29</v>
      </c>
      <c r="F1701" s="19" t="s">
        <v>30</v>
      </c>
      <c r="G1701" s="20" t="s">
        <v>17</v>
      </c>
      <c r="H1701" s="20" t="s">
        <v>18</v>
      </c>
      <c r="I1701" s="19" t="str">
        <f>IMAGE("https://upload.wikimedia.org/wikipedia/commons/c/c9/Parque_Nacional_Natural_Los_Nevados_y_Nevado_del_Ruiz_%2869710%29.jpg")</f>
        <v/>
      </c>
    </row>
    <row r="1702" ht="36.0" customHeight="1">
      <c r="A1702" s="10" t="str">
        <f t="shared" si="217"/>
        <v>AmiGueko</v>
      </c>
      <c r="B1702" s="11" t="s">
        <v>3494</v>
      </c>
      <c r="C1702" s="12">
        <v>46156.99300925926</v>
      </c>
      <c r="D1702" s="11" t="s">
        <v>3462</v>
      </c>
      <c r="E1702" s="14" t="s">
        <v>29</v>
      </c>
      <c r="F1702" s="14" t="s">
        <v>30</v>
      </c>
      <c r="G1702" s="15" t="s">
        <v>17</v>
      </c>
      <c r="H1702" s="15" t="s">
        <v>18</v>
      </c>
      <c r="I1702" s="14" t="str">
        <f>IMAGE("https://upload.wikimedia.org/wikipedia/commons/7/7b/Parque_Nacional_Natural_Los_Nevados_y_Nevado_del_Ruiz.jpg")</f>
        <v/>
      </c>
    </row>
    <row r="1703" ht="36.0" customHeight="1">
      <c r="A1703" s="16" t="str">
        <f t="shared" si="217"/>
        <v>AmiGueko</v>
      </c>
      <c r="B1703" s="17" t="s">
        <v>3495</v>
      </c>
      <c r="C1703" s="18">
        <v>46157.00537037037</v>
      </c>
      <c r="D1703" s="17" t="s">
        <v>3462</v>
      </c>
      <c r="E1703" s="19" t="s">
        <v>29</v>
      </c>
      <c r="F1703" s="19" t="s">
        <v>30</v>
      </c>
      <c r="G1703" s="20" t="s">
        <v>17</v>
      </c>
      <c r="H1703" s="20" t="s">
        <v>18</v>
      </c>
      <c r="I1703" s="19" t="str">
        <f>IMAGE("https://upload.wikimedia.org/wikipedia/commons/5/5f/Parque_Nacional_Natural_Los_Nevados_y_Nevado_del_Ruiz_%2871823%29.jpg")</f>
        <v/>
      </c>
    </row>
    <row r="1704" ht="36.0" customHeight="1">
      <c r="A1704" s="10" t="str">
        <f t="shared" si="217"/>
        <v>AmiGueko</v>
      </c>
      <c r="B1704" s="11" t="s">
        <v>3496</v>
      </c>
      <c r="C1704" s="12">
        <v>46156.999710648146</v>
      </c>
      <c r="D1704" s="11" t="s">
        <v>3462</v>
      </c>
      <c r="E1704" s="14" t="s">
        <v>29</v>
      </c>
      <c r="F1704" s="14" t="s">
        <v>30</v>
      </c>
      <c r="G1704" s="15" t="s">
        <v>17</v>
      </c>
      <c r="H1704" s="15" t="s">
        <v>18</v>
      </c>
      <c r="I1704" s="14" t="str">
        <f>IMAGE("https://upload.wikimedia.org/wikipedia/commons/7/71/Parque_Nacional_Natural_Los_Nevados_y_Nevado_del_Ruiz_%2872002%29.jpg")</f>
        <v/>
      </c>
    </row>
    <row r="1705" ht="36.0" customHeight="1">
      <c r="A1705" s="16" t="str">
        <f t="shared" si="217"/>
        <v>AmiGueko</v>
      </c>
      <c r="B1705" s="17" t="s">
        <v>3497</v>
      </c>
      <c r="C1705" s="18">
        <v>46156.99480324074</v>
      </c>
      <c r="D1705" s="17" t="s">
        <v>3462</v>
      </c>
      <c r="E1705" s="19" t="s">
        <v>29</v>
      </c>
      <c r="F1705" s="19" t="s">
        <v>30</v>
      </c>
      <c r="G1705" s="20" t="s">
        <v>17</v>
      </c>
      <c r="H1705" s="20" t="s">
        <v>18</v>
      </c>
      <c r="I1705" s="19" t="str">
        <f>IMAGE("https://upload.wikimedia.org/wikipedia/commons/d/d4/Parque_Nacional_Natural_Los_Nevados_y_Nevado_del_Ruiz_%2873967%29.jpg")</f>
        <v/>
      </c>
    </row>
    <row r="1706" ht="36.0" customHeight="1">
      <c r="A1706" s="10" t="str">
        <f t="shared" si="217"/>
        <v>AmiGueko</v>
      </c>
      <c r="B1706" s="11" t="s">
        <v>3498</v>
      </c>
      <c r="C1706" s="12">
        <v>46157.00800925926</v>
      </c>
      <c r="D1706" s="11" t="s">
        <v>3462</v>
      </c>
      <c r="E1706" s="14" t="s">
        <v>29</v>
      </c>
      <c r="F1706" s="14" t="s">
        <v>30</v>
      </c>
      <c r="G1706" s="15" t="s">
        <v>17</v>
      </c>
      <c r="H1706" s="15" t="s">
        <v>18</v>
      </c>
      <c r="I1706" s="14" t="str">
        <f>IMAGE("https://upload.wikimedia.org/wikipedia/commons/f/f4/Parque_Nacional_Natural_Los_Nevados_y_Nevado_del_Ruiz_%2883350%29.jpg")</f>
        <v/>
      </c>
    </row>
    <row r="1707" ht="36.0" customHeight="1">
      <c r="A1707" s="16" t="str">
        <f t="shared" si="217"/>
        <v>AmiGueko</v>
      </c>
      <c r="B1707" s="17" t="s">
        <v>3499</v>
      </c>
      <c r="C1707" s="18">
        <v>46157.00491898148</v>
      </c>
      <c r="D1707" s="17" t="s">
        <v>3462</v>
      </c>
      <c r="E1707" s="19" t="s">
        <v>29</v>
      </c>
      <c r="F1707" s="19" t="s">
        <v>30</v>
      </c>
      <c r="G1707" s="20" t="s">
        <v>17</v>
      </c>
      <c r="H1707" s="20" t="s">
        <v>18</v>
      </c>
      <c r="I1707" s="19" t="str">
        <f>IMAGE("https://upload.wikimedia.org/wikipedia/commons/9/91/Parque_Nacional_Natural_Los_Nevados_y_Nevado_del_Ruiz_%2884519%29.jpg")</f>
        <v/>
      </c>
    </row>
    <row r="1708" ht="36.0" customHeight="1">
      <c r="A1708" s="10" t="str">
        <f t="shared" si="217"/>
        <v>AmiGueko</v>
      </c>
      <c r="B1708" s="11" t="s">
        <v>3500</v>
      </c>
      <c r="C1708" s="12">
        <v>46157.003483796296</v>
      </c>
      <c r="D1708" s="11" t="s">
        <v>3462</v>
      </c>
      <c r="E1708" s="14" t="s">
        <v>29</v>
      </c>
      <c r="F1708" s="14" t="s">
        <v>30</v>
      </c>
      <c r="G1708" s="15" t="s">
        <v>17</v>
      </c>
      <c r="H1708" s="15" t="s">
        <v>18</v>
      </c>
      <c r="I1708" s="14" t="str">
        <f>IMAGE("https://upload.wikimedia.org/wikipedia/commons/b/b3/Parque_Nacional_Natural_Los_Nevados_y_Nevado_del_Ruiz_%2887804%29.jpg")</f>
        <v/>
      </c>
    </row>
    <row r="1709" ht="36.0" customHeight="1">
      <c r="A1709" s="16" t="str">
        <f t="shared" si="217"/>
        <v>AmiGueko</v>
      </c>
      <c r="B1709" s="17" t="s">
        <v>3501</v>
      </c>
      <c r="C1709" s="18">
        <v>46157.00150462963</v>
      </c>
      <c r="D1709" s="17" t="s">
        <v>3462</v>
      </c>
      <c r="E1709" s="19" t="s">
        <v>29</v>
      </c>
      <c r="F1709" s="19" t="s">
        <v>30</v>
      </c>
      <c r="G1709" s="20" t="s">
        <v>17</v>
      </c>
      <c r="H1709" s="20" t="s">
        <v>18</v>
      </c>
      <c r="I1709" s="19" t="str">
        <f>IMAGE("https://upload.wikimedia.org/wikipedia/commons/f/f0/Parque_Nacional_Natural_Los_Nevados_y_Nevado_del_Ruiz_%2893874%29.jpg")</f>
        <v/>
      </c>
    </row>
    <row r="1710" ht="36.0" customHeight="1">
      <c r="A1710" s="10" t="str">
        <f>HYPERLINK("https://commons.wikimedia.org/wiki/User:" &amp; ENCODEURL("Supertita"), "Supertita")</f>
        <v>Supertita</v>
      </c>
      <c r="B1710" s="11" t="s">
        <v>3502</v>
      </c>
      <c r="C1710" s="12">
        <v>46192.68439814815</v>
      </c>
      <c r="D1710" s="11" t="s">
        <v>3503</v>
      </c>
      <c r="E1710" s="14" t="s">
        <v>1453</v>
      </c>
      <c r="F1710" s="15" t="s">
        <v>16</v>
      </c>
      <c r="G1710" s="15" t="s">
        <v>17</v>
      </c>
      <c r="H1710" s="15" t="s">
        <v>18</v>
      </c>
      <c r="I1710" s="14" t="str">
        <f>IMAGE("https://upload.wikimedia.org/wikipedia/commons/8/83/Parque_Tayrona_y_monta%C3%B1a_de_la_Sierra_Nevada_de_Santa_Marta.jpg")</f>
        <v/>
      </c>
    </row>
    <row r="1711" ht="36.0" customHeight="1">
      <c r="A1711" s="16" t="str">
        <f>HYPERLINK("https://commons.wikimedia.org/wiki/User:" &amp; ENCODEURL("Romauribe"), "Romauribe")</f>
        <v>Romauribe</v>
      </c>
      <c r="B1711" s="17" t="s">
        <v>3504</v>
      </c>
      <c r="C1711" s="18">
        <v>46181.47144675926</v>
      </c>
      <c r="D1711" s="17" t="s">
        <v>3505</v>
      </c>
      <c r="E1711" s="19" t="s">
        <v>3506</v>
      </c>
      <c r="F1711" s="20" t="s">
        <v>16</v>
      </c>
      <c r="G1711" s="20" t="s">
        <v>17</v>
      </c>
      <c r="H1711" s="20" t="s">
        <v>18</v>
      </c>
      <c r="I1711" s="19" t="str">
        <f>IMAGE("https://upload.wikimedia.org/wikipedia/commons/8/8b/Parte_de_la_cordillera_oriental%2C_Colombia.jpg")</f>
        <v/>
      </c>
    </row>
    <row r="1712" ht="36.0" customHeight="1">
      <c r="A1712" s="10" t="str">
        <f>HYPERLINK("https://commons.wikimedia.org/wiki/User:" &amp; ENCODEURL("Nbareschu"), "Nbareschu")</f>
        <v>Nbareschu</v>
      </c>
      <c r="B1712" s="11" t="s">
        <v>3507</v>
      </c>
      <c r="C1712" s="12">
        <v>46149.42130787037</v>
      </c>
      <c r="D1712" s="11" t="s">
        <v>3508</v>
      </c>
      <c r="E1712" s="14" t="s">
        <v>3509</v>
      </c>
      <c r="F1712" s="15" t="s">
        <v>16</v>
      </c>
      <c r="G1712" s="15" t="s">
        <v>17</v>
      </c>
      <c r="H1712" s="15" t="s">
        <v>18</v>
      </c>
      <c r="I1712" s="14" t="str">
        <f>IMAGE("https://upload.wikimedia.org/wikipedia/commons/0/00/Par%C3%A1sita_de_ra%C3%ADz.jpg")</f>
        <v/>
      </c>
    </row>
    <row r="1713" ht="36.0" customHeight="1">
      <c r="A1713" s="16" t="str">
        <f>HYPERLINK("https://commons.wikimedia.org/wiki/User:" &amp; ENCODEURL("Maracome"), "Maracome")</f>
        <v>Maracome</v>
      </c>
      <c r="B1713" s="17" t="s">
        <v>3510</v>
      </c>
      <c r="C1713" s="18">
        <v>46149.95295138889</v>
      </c>
      <c r="D1713" s="17" t="s">
        <v>3511</v>
      </c>
      <c r="E1713" s="19" t="s">
        <v>29</v>
      </c>
      <c r="F1713" s="19" t="s">
        <v>30</v>
      </c>
      <c r="G1713" s="20" t="s">
        <v>17</v>
      </c>
      <c r="H1713" s="20" t="s">
        <v>18</v>
      </c>
      <c r="I1713" s="19" t="str">
        <f>IMAGE("https://upload.wikimedia.org/wikipedia/commons/7/72/Paseo_en_el_Sin%C3%BA.jpg")</f>
        <v/>
      </c>
    </row>
    <row r="1714" ht="36.0" customHeight="1">
      <c r="A1714" s="10" t="str">
        <f>HYPERLINK("https://commons.wikimedia.org/wiki/User:" &amp; ENCODEURL("Eumastacidae"), "Eumastacidae")</f>
        <v>Eumastacidae</v>
      </c>
      <c r="B1714" s="11" t="s">
        <v>3512</v>
      </c>
      <c r="C1714" s="12">
        <v>46163.51613425926</v>
      </c>
      <c r="D1714" s="11" t="s">
        <v>3513</v>
      </c>
      <c r="E1714" s="14" t="s">
        <v>29</v>
      </c>
      <c r="F1714" s="14" t="s">
        <v>30</v>
      </c>
      <c r="G1714" s="15" t="s">
        <v>17</v>
      </c>
      <c r="H1714" s="15" t="s">
        <v>18</v>
      </c>
      <c r="I1714" s="14" t="str">
        <f>IMAGE("https://upload.wikimedia.org/wikipedia/commons/9/99/Passiflora_JBB.jpg")</f>
        <v/>
      </c>
    </row>
    <row r="1715" ht="36.0" customHeight="1">
      <c r="A1715" s="16" t="str">
        <f>HYPERLINK("https://commons.wikimedia.org/wiki/User:" &amp; ENCODEURL("Sandramirezgiraldo"), "Sandramirezgiraldo")</f>
        <v>Sandramirezgiraldo</v>
      </c>
      <c r="B1715" s="17" t="s">
        <v>3514</v>
      </c>
      <c r="C1715" s="18">
        <v>46203.989120370374</v>
      </c>
      <c r="D1715" s="17" t="s">
        <v>3515</v>
      </c>
      <c r="E1715" s="19" t="s">
        <v>29</v>
      </c>
      <c r="F1715" s="19" t="s">
        <v>30</v>
      </c>
      <c r="G1715" s="20" t="s">
        <v>17</v>
      </c>
      <c r="H1715" s="20" t="s">
        <v>18</v>
      </c>
      <c r="I1715" s="19" t="str">
        <f>IMAGE("https://upload.wikimedia.org/wikipedia/commons/5/50/Passiflora_con_chinche_del_mburucuy%C3%A1.jpg")</f>
        <v/>
      </c>
    </row>
    <row r="1716" ht="36.0" customHeight="1">
      <c r="A1716" s="10" t="str">
        <f t="shared" ref="A1716:A1717" si="218">HYPERLINK("https://commons.wikimedia.org/wiki/User:" &amp; ENCODEURL("Eumastacidae"), "Eumastacidae")</f>
        <v>Eumastacidae</v>
      </c>
      <c r="B1716" s="11" t="s">
        <v>3516</v>
      </c>
      <c r="C1716" s="12">
        <v>46163.551770833335</v>
      </c>
      <c r="D1716" s="11" t="s">
        <v>3517</v>
      </c>
      <c r="E1716" s="14" t="s">
        <v>29</v>
      </c>
      <c r="F1716" s="14" t="s">
        <v>30</v>
      </c>
      <c r="G1716" s="15" t="s">
        <v>17</v>
      </c>
      <c r="H1716" s="15" t="s">
        <v>18</v>
      </c>
      <c r="I1716" s="14" t="str">
        <f>IMAGE("https://upload.wikimedia.org/wikipedia/commons/5/58/Passiflora_sp._en_Bojac%C3%A1.jpg")</f>
        <v/>
      </c>
    </row>
    <row r="1717" ht="36.0" customHeight="1">
      <c r="A1717" s="16" t="str">
        <f t="shared" si="218"/>
        <v>Eumastacidae</v>
      </c>
      <c r="B1717" s="17" t="s">
        <v>3518</v>
      </c>
      <c r="C1717" s="18">
        <v>46163.54399305556</v>
      </c>
      <c r="D1717" s="17" t="s">
        <v>3519</v>
      </c>
      <c r="E1717" s="19" t="s">
        <v>29</v>
      </c>
      <c r="F1717" s="19" t="s">
        <v>30</v>
      </c>
      <c r="G1717" s="20" t="s">
        <v>17</v>
      </c>
      <c r="H1717" s="20" t="s">
        <v>18</v>
      </c>
      <c r="I1717" s="19" t="str">
        <f>IMAGE("https://upload.wikimedia.org/wikipedia/commons/e/eb/Passiflora_violacea_en_JBB.jpg")</f>
        <v/>
      </c>
    </row>
    <row r="1718" ht="36.0" customHeight="1">
      <c r="A1718" s="10" t="str">
        <f>HYPERLINK("https://commons.wikimedia.org/wiki/User:" &amp; ENCODEURL("Karumain"), "Karumain")</f>
        <v>Karumain</v>
      </c>
      <c r="B1718" s="11" t="s">
        <v>3520</v>
      </c>
      <c r="C1718" s="12">
        <v>46163.55991898148</v>
      </c>
      <c r="D1718" s="11" t="s">
        <v>3521</v>
      </c>
      <c r="E1718" s="14" t="s">
        <v>29</v>
      </c>
      <c r="F1718" s="14" t="s">
        <v>30</v>
      </c>
      <c r="G1718" s="15" t="s">
        <v>17</v>
      </c>
      <c r="H1718" s="15" t="s">
        <v>18</v>
      </c>
      <c r="I1718" s="14" t="str">
        <f>IMAGE("https://upload.wikimedia.org/wikipedia/commons/b/b2/Pastizal_de_Mosquera.jpg")</f>
        <v/>
      </c>
    </row>
    <row r="1719" ht="36.0" customHeight="1">
      <c r="A1719" s="16" t="str">
        <f>HYPERLINK("https://commons.wikimedia.org/wiki/User:" &amp; ENCODEURL("Ninna11"), "Ninna11")</f>
        <v>Ninna11</v>
      </c>
      <c r="B1719" s="17" t="s">
        <v>3522</v>
      </c>
      <c r="C1719" s="18">
        <v>46168.71173611111</v>
      </c>
      <c r="D1719" s="17" t="s">
        <v>3523</v>
      </c>
      <c r="E1719" s="19" t="s">
        <v>29</v>
      </c>
      <c r="F1719" s="19" t="s">
        <v>30</v>
      </c>
      <c r="G1719" s="20" t="s">
        <v>17</v>
      </c>
      <c r="H1719" s="20" t="s">
        <v>18</v>
      </c>
      <c r="I1719" s="19" t="str">
        <f>IMAGE("https://upload.wikimedia.org/wikipedia/commons/2/2b/Patagonia_argentina.jpg")</f>
        <v/>
      </c>
    </row>
    <row r="1720" ht="36.0" customHeight="1">
      <c r="A1720" s="10" t="str">
        <f>HYPERLINK("https://commons.wikimedia.org/wiki/User:" &amp; ENCODEURL("Juan Carlos Sáenz Rodríguez"), "Juan Carlos Sáenz Rodríguez")</f>
        <v>Juan Carlos Sáenz Rodríguez</v>
      </c>
      <c r="B1720" s="11" t="s">
        <v>3524</v>
      </c>
      <c r="C1720" s="12">
        <v>46194.583182870374</v>
      </c>
      <c r="D1720" s="11" t="s">
        <v>3525</v>
      </c>
      <c r="E1720" s="14" t="s">
        <v>29</v>
      </c>
      <c r="F1720" s="14" t="s">
        <v>30</v>
      </c>
      <c r="G1720" s="15" t="s">
        <v>17</v>
      </c>
      <c r="H1720" s="15" t="s">
        <v>18</v>
      </c>
      <c r="I1720" s="14" t="str">
        <f>IMAGE("https://upload.wikimedia.org/wikipedia/commons/3/32/Pato_Criollo.jpg")</f>
        <v/>
      </c>
    </row>
    <row r="1721" ht="36.0" customHeight="1">
      <c r="A1721" s="16" t="str">
        <f>HYPERLINK("https://commons.wikimedia.org/wiki/User:" &amp; ENCODEURL("Krok6kola"), "Krok6kola")</f>
        <v>Krok6kola</v>
      </c>
      <c r="B1721" s="17" t="s">
        <v>3526</v>
      </c>
      <c r="C1721" s="18">
        <v>46189.3409837963</v>
      </c>
      <c r="D1721" s="17" t="s">
        <v>3527</v>
      </c>
      <c r="E1721" s="19" t="s">
        <v>29</v>
      </c>
      <c r="F1721" s="19" t="s">
        <v>30</v>
      </c>
      <c r="G1721" s="20" t="s">
        <v>17</v>
      </c>
      <c r="H1721" s="20" t="s">
        <v>18</v>
      </c>
      <c r="I1721" s="19" t="str">
        <f>IMAGE("https://upload.wikimedia.org/wikipedia/commons/0/00/Pato_silb%C3%B3n_%28Dendrocygna_autumnalis%29_fotografiado_en_el_departamento_de_Casanare%2C_Colombia_%28cropped%29.jpg")</f>
        <v/>
      </c>
    </row>
    <row r="1722" ht="36.0" customHeight="1">
      <c r="A1722" s="10" t="str">
        <f>HYPERLINK("https://commons.wikimedia.org/wiki/User:" &amp; ENCODEURL("María Victoria Alzate Acevedo"), "María Victoria Alzate Acevedo")</f>
        <v>María Victoria Alzate Acevedo</v>
      </c>
      <c r="B1722" s="11" t="s">
        <v>3528</v>
      </c>
      <c r="C1722" s="12">
        <v>46166.63375</v>
      </c>
      <c r="D1722" s="11" t="s">
        <v>3529</v>
      </c>
      <c r="E1722" s="14" t="s">
        <v>29</v>
      </c>
      <c r="F1722" s="14" t="s">
        <v>30</v>
      </c>
      <c r="G1722" s="15" t="s">
        <v>17</v>
      </c>
      <c r="H1722" s="15" t="s">
        <v>18</v>
      </c>
      <c r="I1722" s="14" t="str">
        <f>IMAGE("https://upload.wikimedia.org/wikipedia/commons/8/86/PEQUE%C3%91A_PALMA.jpg")</f>
        <v/>
      </c>
    </row>
    <row r="1723" ht="36.0" customHeight="1">
      <c r="A1723" s="16" t="str">
        <f>HYPERLINK("https://commons.wikimedia.org/wiki/User:" &amp; ENCODEURL("Juli 2000 her"), "Juli 2000 her")</f>
        <v>Juli 2000 her</v>
      </c>
      <c r="B1723" s="17" t="s">
        <v>3530</v>
      </c>
      <c r="C1723" s="18">
        <v>46189.05403935185</v>
      </c>
      <c r="D1723" s="17" t="s">
        <v>3527</v>
      </c>
      <c r="E1723" s="19" t="s">
        <v>29</v>
      </c>
      <c r="F1723" s="19" t="s">
        <v>30</v>
      </c>
      <c r="G1723" s="20" t="s">
        <v>17</v>
      </c>
      <c r="H1723" s="20" t="s">
        <v>18</v>
      </c>
      <c r="I1723" s="19" t="str">
        <f>IMAGE("https://upload.wikimedia.org/wikipedia/commons/4/44/Pato_silb%C3%B3n_%28Dendrocygna_autumnalis%29_fotografiado_en_el_departamento_de_Casanare%2C_Colombia.jpg")</f>
        <v/>
      </c>
    </row>
    <row r="1724" ht="36.0" customHeight="1">
      <c r="A1724" s="10" t="str">
        <f t="shared" ref="A1724:A1726" si="219">HYPERLINK("https://commons.wikimedia.org/wiki/User:" &amp; ENCODEURL("Johan Andrés Toro"), "Johan Andrés Toro")</f>
        <v>Johan Andrés Toro</v>
      </c>
      <c r="B1724" s="11" t="s">
        <v>3531</v>
      </c>
      <c r="C1724" s="12">
        <v>46176.94577546296</v>
      </c>
      <c r="D1724" s="11" t="s">
        <v>3532</v>
      </c>
      <c r="E1724" s="14" t="s">
        <v>29</v>
      </c>
      <c r="F1724" s="14" t="s">
        <v>30</v>
      </c>
      <c r="G1724" s="15" t="s">
        <v>17</v>
      </c>
      <c r="H1724" s="15" t="s">
        <v>18</v>
      </c>
      <c r="I1724" s="14" t="str">
        <f>IMAGE("https://upload.wikimedia.org/wikipedia/commons/7/77/Patr%C3%B3n_de_erosi%C3%B3n_pluvial_en_el_sector_de_Cuzco.jpg")</f>
        <v/>
      </c>
    </row>
    <row r="1725" ht="36.0" customHeight="1">
      <c r="A1725" s="16" t="str">
        <f t="shared" si="219"/>
        <v>Johan Andrés Toro</v>
      </c>
      <c r="B1725" s="17" t="s">
        <v>3533</v>
      </c>
      <c r="C1725" s="18">
        <v>46171.87672453704</v>
      </c>
      <c r="D1725" s="17" t="s">
        <v>3534</v>
      </c>
      <c r="E1725" s="19" t="s">
        <v>29</v>
      </c>
      <c r="F1725" s="19" t="s">
        <v>30</v>
      </c>
      <c r="G1725" s="20" t="s">
        <v>17</v>
      </c>
      <c r="H1725" s="20" t="s">
        <v>18</v>
      </c>
      <c r="I1725" s="19" t="str">
        <f>IMAGE("https://upload.wikimedia.org/wikipedia/commons/0/07/Patr%C3%B3n_geomorfol%C3%B3gico_de_un_r%C3%ADo_de_meandros_en_Sumapaz.jpg")</f>
        <v/>
      </c>
    </row>
    <row r="1726" ht="36.0" customHeight="1">
      <c r="A1726" s="10" t="str">
        <f t="shared" si="219"/>
        <v>Johan Andrés Toro</v>
      </c>
      <c r="B1726" s="11" t="s">
        <v>3535</v>
      </c>
      <c r="C1726" s="12">
        <v>46171.73930555556</v>
      </c>
      <c r="D1726" s="11" t="s">
        <v>3536</v>
      </c>
      <c r="E1726" s="14" t="s">
        <v>29</v>
      </c>
      <c r="F1726" s="14" t="s">
        <v>30</v>
      </c>
      <c r="G1726" s="15" t="s">
        <v>17</v>
      </c>
      <c r="H1726" s="15" t="s">
        <v>18</v>
      </c>
      <c r="I1726" s="14" t="str">
        <f>IMAGE("https://upload.wikimedia.org/wikipedia/commons/0/0a/Patr%C3%B3n_natural_de_un_bosque_de_frailejones_en_el_Ruiz.jpg")</f>
        <v/>
      </c>
    </row>
    <row r="1727" ht="36.0" customHeight="1">
      <c r="A1727" s="16" t="str">
        <f>HYPERLINK("https://commons.wikimedia.org/wiki/User:" &amp; ENCODEURL("AmiGueko"), "AmiGueko")</f>
        <v>AmiGueko</v>
      </c>
      <c r="B1727" s="17" t="s">
        <v>3537</v>
      </c>
      <c r="C1727" s="18">
        <v>46156.97804398148</v>
      </c>
      <c r="D1727" s="17" t="s">
        <v>3538</v>
      </c>
      <c r="E1727" s="19" t="s">
        <v>3539</v>
      </c>
      <c r="F1727" s="20" t="s">
        <v>16</v>
      </c>
      <c r="G1727" s="20" t="s">
        <v>17</v>
      </c>
      <c r="H1727" s="20" t="s">
        <v>18</v>
      </c>
      <c r="I1727" s="19" t="str">
        <f>IMAGE("https://upload.wikimedia.org/wikipedia/commons/f/f5/Pava_Andina.jpg")</f>
        <v/>
      </c>
    </row>
    <row r="1728" ht="36.0" customHeight="1">
      <c r="A1728" s="10" t="str">
        <f>HYPERLINK("https://commons.wikimedia.org/wiki/User:" &amp; ENCODEURL("Willandre1194"), "Willandre1194")</f>
        <v>Willandre1194</v>
      </c>
      <c r="B1728" s="11" t="s">
        <v>3540</v>
      </c>
      <c r="C1728" s="12">
        <v>46155.6609375</v>
      </c>
      <c r="D1728" s="11" t="s">
        <v>3541</v>
      </c>
      <c r="E1728" s="14" t="s">
        <v>29</v>
      </c>
      <c r="F1728" s="14" t="s">
        <v>30</v>
      </c>
      <c r="G1728" s="15" t="s">
        <v>17</v>
      </c>
      <c r="H1728" s="15" t="s">
        <v>18</v>
      </c>
      <c r="I1728" s="14" t="str">
        <f>IMAGE("https://upload.wikimedia.org/wikipedia/commons/3/3f/Pavo_Real_Colombiano.jpg")</f>
        <v/>
      </c>
    </row>
    <row r="1729" ht="36.0" customHeight="1">
      <c r="A1729" s="16" t="str">
        <f>HYPERLINK("https://commons.wikimedia.org/wiki/User:" &amp; ENCODEURL("Pipe.416"), "Pipe.416")</f>
        <v>Pipe.416</v>
      </c>
      <c r="B1729" s="17" t="s">
        <v>3542</v>
      </c>
      <c r="C1729" s="18">
        <v>46163.807175925926</v>
      </c>
      <c r="D1729" s="17" t="s">
        <v>3543</v>
      </c>
      <c r="E1729" s="19" t="s">
        <v>29</v>
      </c>
      <c r="F1729" s="19" t="s">
        <v>30</v>
      </c>
      <c r="G1729" s="20" t="s">
        <v>17</v>
      </c>
      <c r="H1729" s="20" t="s">
        <v>18</v>
      </c>
      <c r="I1729" s="19" t="str">
        <f>IMAGE("https://upload.wikimedia.org/wikipedia/commons/b/ba/Pavo_real_de_la_India.png")</f>
        <v/>
      </c>
    </row>
    <row r="1730" ht="36.0" customHeight="1">
      <c r="A1730" s="10" t="str">
        <f>HYPERLINK("https://commons.wikimedia.org/wiki/User:" &amp; ENCODEURL("Natlycu"), "Natlycu")</f>
        <v>Natlycu</v>
      </c>
      <c r="B1730" s="11" t="s">
        <v>3544</v>
      </c>
      <c r="C1730" s="12">
        <v>46203.00649305555</v>
      </c>
      <c r="D1730" s="11" t="s">
        <v>3545</v>
      </c>
      <c r="E1730" s="14" t="s">
        <v>1158</v>
      </c>
      <c r="F1730" s="15" t="s">
        <v>16</v>
      </c>
      <c r="G1730" s="15" t="s">
        <v>17</v>
      </c>
      <c r="H1730" s="15" t="s">
        <v>18</v>
      </c>
      <c r="I1730" s="14" t="str">
        <f>IMAGE("https://upload.wikimedia.org/wikipedia/commons/b/b4/Payador_canela_%28Diglossa_sittoides%29_en_Paque_Verde_Y_Agua%2C_Fusagasug%C3%A1%2C_%28Cundinamarca%29.jpg")</f>
        <v/>
      </c>
    </row>
    <row r="1731" ht="36.0" customHeight="1">
      <c r="A1731" s="16" t="str">
        <f>HYPERLINK("https://commons.wikimedia.org/wiki/User:" &amp; ENCODEURL("Lamoraleja"), "Lamoraleja")</f>
        <v>Lamoraleja</v>
      </c>
      <c r="B1731" s="17" t="s">
        <v>3546</v>
      </c>
      <c r="C1731" s="18">
        <v>46149.58369212963</v>
      </c>
      <c r="D1731" s="17" t="s">
        <v>3547</v>
      </c>
      <c r="E1731" s="19" t="s">
        <v>29</v>
      </c>
      <c r="F1731" s="19" t="s">
        <v>30</v>
      </c>
      <c r="G1731" s="20" t="s">
        <v>17</v>
      </c>
      <c r="H1731" s="20" t="s">
        <v>18</v>
      </c>
      <c r="I1731" s="19" t="str">
        <f>IMAGE("https://upload.wikimedia.org/wikipedia/commons/a/a7/Paz_con_la_naturaleza.jpg")</f>
        <v/>
      </c>
    </row>
    <row r="1732" ht="36.0" customHeight="1">
      <c r="A1732" s="10" t="str">
        <f>HYPERLINK("https://commons.wikimedia.org/wiki/User:" &amp; ENCODEURL("Sophy Martinez"), "Sophy Martinez")</f>
        <v>Sophy Martinez</v>
      </c>
      <c r="B1732" s="11" t="s">
        <v>3548</v>
      </c>
      <c r="C1732" s="12">
        <v>46202.06946759259</v>
      </c>
      <c r="D1732" s="11" t="s">
        <v>3549</v>
      </c>
      <c r="E1732" s="14" t="s">
        <v>2534</v>
      </c>
      <c r="F1732" s="15" t="s">
        <v>16</v>
      </c>
      <c r="G1732" s="15" t="s">
        <v>17</v>
      </c>
      <c r="H1732" s="15" t="s">
        <v>18</v>
      </c>
      <c r="I1732" s="14" t="str">
        <f>IMAGE("https://upload.wikimedia.org/wikipedia/commons/7/7e/Pedo_de_lobo_%28Lycoperdon_sp.%29.jpg")</f>
        <v/>
      </c>
    </row>
    <row r="1733" ht="36.0" customHeight="1">
      <c r="A1733" s="16" t="str">
        <f>HYPERLINK("https://commons.wikimedia.org/wiki/User:" &amp; ENCODEURL("Project5443"), "Project5443")</f>
        <v>Project5443</v>
      </c>
      <c r="B1733" s="17" t="s">
        <v>3550</v>
      </c>
      <c r="C1733" s="18">
        <v>46163.5658912037</v>
      </c>
      <c r="D1733" s="17" t="s">
        <v>3551</v>
      </c>
      <c r="E1733" s="19" t="s">
        <v>2314</v>
      </c>
      <c r="F1733" s="20" t="s">
        <v>16</v>
      </c>
      <c r="G1733" s="20" t="s">
        <v>17</v>
      </c>
      <c r="H1733" s="20" t="s">
        <v>18</v>
      </c>
      <c r="I1733" s="19" t="str">
        <f>IMAGE("https://upload.wikimedia.org/wikipedia/commons/0/0c/Pelargonium_en_Jard%C3%ADn_Botanico.jpg")</f>
        <v/>
      </c>
    </row>
    <row r="1734" ht="36.0" customHeight="1">
      <c r="A1734" s="10" t="str">
        <f t="shared" ref="A1734:A1737" si="220">HYPERLINK("https://commons.wikimedia.org/wiki/User:" &amp; ENCODEURL("Diferoch"), "Diferoch")</f>
        <v>Diferoch</v>
      </c>
      <c r="B1734" s="11" t="s">
        <v>3552</v>
      </c>
      <c r="C1734" s="12">
        <v>46179.97200231482</v>
      </c>
      <c r="D1734" s="11" t="s">
        <v>3553</v>
      </c>
      <c r="E1734" s="14" t="s">
        <v>3554</v>
      </c>
      <c r="F1734" s="15" t="s">
        <v>16</v>
      </c>
      <c r="G1734" s="15" t="s">
        <v>17</v>
      </c>
      <c r="H1734" s="15" t="s">
        <v>18</v>
      </c>
      <c r="I1734" s="14" t="str">
        <f>IMAGE("https://upload.wikimedia.org/wikipedia/commons/6/6c/Pelecanus_occidentalis_-_Santa_Marta%2C_Magdalena%2C_Colombia_-_24_Jun_2025_-_Diferoch_-_1.jpg")</f>
        <v/>
      </c>
    </row>
    <row r="1735" ht="36.0" customHeight="1">
      <c r="A1735" s="16" t="str">
        <f t="shared" si="220"/>
        <v>Diferoch</v>
      </c>
      <c r="B1735" s="17" t="s">
        <v>3555</v>
      </c>
      <c r="C1735" s="18">
        <v>46179.97201388889</v>
      </c>
      <c r="D1735" s="17" t="s">
        <v>3553</v>
      </c>
      <c r="E1735" s="19" t="s">
        <v>3556</v>
      </c>
      <c r="F1735" s="20" t="s">
        <v>16</v>
      </c>
      <c r="G1735" s="20" t="s">
        <v>17</v>
      </c>
      <c r="H1735" s="20" t="s">
        <v>18</v>
      </c>
      <c r="I1735" s="19" t="str">
        <f>IMAGE("https://upload.wikimedia.org/wikipedia/commons/5/5d/Pelecanus_occidentalis_-_Santa_Marta%2C_Magdalena%2C_Colombia_-_24_Jun_2025_-_Diferoch_-_2.jpg")</f>
        <v/>
      </c>
    </row>
    <row r="1736" ht="36.0" customHeight="1">
      <c r="A1736" s="10" t="str">
        <f t="shared" si="220"/>
        <v>Diferoch</v>
      </c>
      <c r="B1736" s="11" t="s">
        <v>3557</v>
      </c>
      <c r="C1736" s="12">
        <v>46179.972037037034</v>
      </c>
      <c r="D1736" s="11" t="s">
        <v>3553</v>
      </c>
      <c r="E1736" s="14" t="s">
        <v>3556</v>
      </c>
      <c r="F1736" s="15" t="s">
        <v>16</v>
      </c>
      <c r="G1736" s="15" t="s">
        <v>17</v>
      </c>
      <c r="H1736" s="15" t="s">
        <v>18</v>
      </c>
      <c r="I1736" s="14" t="str">
        <f>IMAGE("https://upload.wikimedia.org/wikipedia/commons/6/6f/Pelecanus_occidentalis_-_Santa_Marta%2C_Magdalena%2C_Colombia_-_24_Jun_2025_-_Diferoch_-_3.jpg")</f>
        <v/>
      </c>
    </row>
    <row r="1737" ht="36.0" customHeight="1">
      <c r="A1737" s="16" t="str">
        <f t="shared" si="220"/>
        <v>Diferoch</v>
      </c>
      <c r="B1737" s="17" t="s">
        <v>3558</v>
      </c>
      <c r="C1737" s="18">
        <v>46199.848912037036</v>
      </c>
      <c r="D1737" s="17" t="s">
        <v>3559</v>
      </c>
      <c r="E1737" s="19" t="s">
        <v>3560</v>
      </c>
      <c r="F1737" s="20" t="s">
        <v>16</v>
      </c>
      <c r="G1737" s="20" t="s">
        <v>17</v>
      </c>
      <c r="H1737" s="20" t="s">
        <v>18</v>
      </c>
      <c r="I1737" s="19" t="str">
        <f>IMAGE("https://upload.wikimedia.org/wikipedia/commons/4/4b/Pelecanus_occidentalis_murphyi_-_Nuqu%C3%AD%2C_Choc%C3%B3%2C_Colombia_-_24_Oct_2025_-_Diferoch.jpg")</f>
        <v/>
      </c>
    </row>
    <row r="1738" ht="36.0" customHeight="1">
      <c r="A1738" s="10" t="str">
        <f>HYPERLINK("https://commons.wikimedia.org/wiki/User:" &amp; ENCODEURL("Nathaly 1106"), "Nathaly 1106")</f>
        <v>Nathaly 1106</v>
      </c>
      <c r="B1738" s="11" t="s">
        <v>3561</v>
      </c>
      <c r="C1738" s="12">
        <v>46147.6094212963</v>
      </c>
      <c r="D1738" s="11" t="s">
        <v>1934</v>
      </c>
      <c r="E1738" s="14" t="s">
        <v>29</v>
      </c>
      <c r="F1738" s="14" t="s">
        <v>30</v>
      </c>
      <c r="G1738" s="15" t="s">
        <v>17</v>
      </c>
      <c r="H1738" s="15" t="s">
        <v>18</v>
      </c>
      <c r="I1738" s="14" t="str">
        <f>IMAGE("https://upload.wikimedia.org/wikipedia/commons/5/57/Pendientes_de_la_Reina_-_Aljaba_%28Fuchsia_magellanica%29.jpg")</f>
        <v/>
      </c>
    </row>
    <row r="1739" ht="36.0" customHeight="1">
      <c r="A1739" s="16" t="str">
        <f>HYPERLINK("https://commons.wikimedia.org/wiki/User:" &amp; ENCODEURL("Nbareschu"), "Nbareschu")</f>
        <v>Nbareschu</v>
      </c>
      <c r="B1739" s="17" t="s">
        <v>3562</v>
      </c>
      <c r="C1739" s="18">
        <v>46149.421064814815</v>
      </c>
      <c r="D1739" s="17" t="s">
        <v>3563</v>
      </c>
      <c r="E1739" s="19" t="s">
        <v>3564</v>
      </c>
      <c r="F1739" s="20" t="s">
        <v>16</v>
      </c>
      <c r="G1739" s="20" t="s">
        <v>17</v>
      </c>
      <c r="H1739" s="20" t="s">
        <v>18</v>
      </c>
      <c r="I1739" s="19" t="str">
        <f>IMAGE("https://upload.wikimedia.org/wikipedia/commons/9/91/Pepino_silvestre.jpg")</f>
        <v/>
      </c>
    </row>
    <row r="1740" ht="36.0" customHeight="1">
      <c r="A1740" s="10" t="str">
        <f>HYPERLINK("https://commons.wikimedia.org/wiki/User:" &amp; ENCODEURL("Halleyuncometafotografo"), "Halleyuncometafotografo")</f>
        <v>Halleyuncometafotografo</v>
      </c>
      <c r="B1740" s="11" t="s">
        <v>3565</v>
      </c>
      <c r="C1740" s="12">
        <v>46203.93252314815</v>
      </c>
      <c r="D1740" s="11" t="s">
        <v>3566</v>
      </c>
      <c r="E1740" s="14" t="s">
        <v>29</v>
      </c>
      <c r="F1740" s="14" t="s">
        <v>30</v>
      </c>
      <c r="G1740" s="15" t="s">
        <v>17</v>
      </c>
      <c r="H1740" s="15" t="s">
        <v>18</v>
      </c>
      <c r="I1740" s="14" t="str">
        <f>IMAGE("https://upload.wikimedia.org/wikipedia/commons/2/2f/Peque%C3%B1a%2C_pero_esencial.jpg")</f>
        <v/>
      </c>
    </row>
    <row r="1741" ht="36.0" customHeight="1">
      <c r="A1741" s="16" t="str">
        <f>HYPERLINK("https://commons.wikimedia.org/wiki/User:" &amp; ENCODEURL("Jhon Barrera"), "Jhon Barrera")</f>
        <v>Jhon Barrera</v>
      </c>
      <c r="B1741" s="17" t="s">
        <v>3567</v>
      </c>
      <c r="C1741" s="18">
        <v>46166.72900462963</v>
      </c>
      <c r="D1741" s="17" t="s">
        <v>3568</v>
      </c>
      <c r="E1741" s="19" t="s">
        <v>29</v>
      </c>
      <c r="F1741" s="19" t="s">
        <v>30</v>
      </c>
      <c r="G1741" s="20" t="s">
        <v>17</v>
      </c>
      <c r="H1741" s="20" t="s">
        <v>18</v>
      </c>
      <c r="I1741" s="19" t="str">
        <f>IMAGE("https://upload.wikimedia.org/wikipedia/commons/b/b2/Peque%C3%B1a_transparencia_del_bosque.jpg")</f>
        <v/>
      </c>
    </row>
    <row r="1742" ht="36.0" customHeight="1">
      <c r="A1742" s="10" t="str">
        <f>HYPERLINK("https://commons.wikimedia.org/wiki/User:" &amp; ENCODEURL("Alexpanther"), "Alexpanther")</f>
        <v>Alexpanther</v>
      </c>
      <c r="B1742" s="11" t="s">
        <v>3569</v>
      </c>
      <c r="C1742" s="12">
        <v>46203.50069444445</v>
      </c>
      <c r="D1742" s="11" t="s">
        <v>3570</v>
      </c>
      <c r="E1742" s="14" t="s">
        <v>582</v>
      </c>
      <c r="F1742" s="15" t="s">
        <v>16</v>
      </c>
      <c r="G1742" s="15" t="s">
        <v>17</v>
      </c>
      <c r="H1742" s="15" t="s">
        <v>18</v>
      </c>
      <c r="I1742" s="14" t="str">
        <f>IMAGE("https://upload.wikimedia.org/wikipedia/commons/8/86/Peque%C3%B1o_Mono_Maicero.png")</f>
        <v/>
      </c>
    </row>
    <row r="1743" ht="36.0" customHeight="1">
      <c r="A1743" s="16" t="str">
        <f>HYPERLINK("https://commons.wikimedia.org/wiki/User:" &amp; ENCODEURL("Halleyuncometafotografo"), "Halleyuncometafotografo")</f>
        <v>Halleyuncometafotografo</v>
      </c>
      <c r="B1743" s="17" t="s">
        <v>3571</v>
      </c>
      <c r="C1743" s="18">
        <v>46203.89855324074</v>
      </c>
      <c r="D1743" s="17" t="s">
        <v>3572</v>
      </c>
      <c r="E1743" s="19" t="s">
        <v>29</v>
      </c>
      <c r="F1743" s="19" t="s">
        <v>30</v>
      </c>
      <c r="G1743" s="20" t="s">
        <v>17</v>
      </c>
      <c r="H1743" s="20" t="s">
        <v>18</v>
      </c>
      <c r="I1743" s="19" t="str">
        <f>IMAGE("https://upload.wikimedia.org/wikipedia/commons/0/09/Peque%C3%B1os_guardianes.jpg")</f>
        <v/>
      </c>
    </row>
    <row r="1744" ht="36.0" customHeight="1">
      <c r="A1744" s="10" t="str">
        <f t="shared" ref="A1744:A1748" si="221">HYPERLINK("https://commons.wikimedia.org/wiki/User:" &amp; ENCODEURL("IvanVillacorte"), "IvanVillacorte")</f>
        <v>IvanVillacorte</v>
      </c>
      <c r="B1744" s="11" t="s">
        <v>3573</v>
      </c>
      <c r="C1744" s="12">
        <v>46162.808344907404</v>
      </c>
      <c r="D1744" s="11" t="s">
        <v>3574</v>
      </c>
      <c r="E1744" s="14" t="s">
        <v>29</v>
      </c>
      <c r="F1744" s="14" t="s">
        <v>30</v>
      </c>
      <c r="G1744" s="15" t="s">
        <v>17</v>
      </c>
      <c r="H1744" s="15" t="s">
        <v>18</v>
      </c>
      <c r="I1744" s="14" t="str">
        <f>IMAGE("https://upload.wikimedia.org/wikipedia/commons/c/c1/Perfil_de_Aglaiocercus_kingii_en_h%C3%A1bitat_boscoso.jpg")</f>
        <v/>
      </c>
    </row>
    <row r="1745" ht="36.0" customHeight="1">
      <c r="A1745" s="16" t="str">
        <f t="shared" si="221"/>
        <v>IvanVillacorte</v>
      </c>
      <c r="B1745" s="17" t="s">
        <v>3575</v>
      </c>
      <c r="C1745" s="18">
        <v>46162.80664351852</v>
      </c>
      <c r="D1745" s="17" t="s">
        <v>3576</v>
      </c>
      <c r="E1745" s="19" t="s">
        <v>29</v>
      </c>
      <c r="F1745" s="19" t="s">
        <v>30</v>
      </c>
      <c r="G1745" s="20" t="s">
        <v>17</v>
      </c>
      <c r="H1745" s="20" t="s">
        <v>18</v>
      </c>
      <c r="I1745" s="19" t="str">
        <f>IMAGE("https://upload.wikimedia.org/wikipedia/commons/1/10/Perfil_de_Aulacorhynchus_albivitta_en_h%C3%A1bitat_boscoso.jpg")</f>
        <v/>
      </c>
    </row>
    <row r="1746" ht="36.0" customHeight="1">
      <c r="A1746" s="10" t="str">
        <f t="shared" si="221"/>
        <v>IvanVillacorte</v>
      </c>
      <c r="B1746" s="11" t="s">
        <v>3577</v>
      </c>
      <c r="C1746" s="12">
        <v>46162.80401620371</v>
      </c>
      <c r="D1746" s="11" t="s">
        <v>3578</v>
      </c>
      <c r="E1746" s="14" t="s">
        <v>29</v>
      </c>
      <c r="F1746" s="14" t="s">
        <v>30</v>
      </c>
      <c r="G1746" s="15" t="s">
        <v>17</v>
      </c>
      <c r="H1746" s="15" t="s">
        <v>18</v>
      </c>
      <c r="I1746" s="14" t="str">
        <f>IMAGE("https://upload.wikimedia.org/wikipedia/commons/8/8e/Perfil_de_Chamaepetes_goudotii_en_h%C3%A1bitat_boscoso.jpg")</f>
        <v/>
      </c>
    </row>
    <row r="1747" ht="36.0" customHeight="1">
      <c r="A1747" s="16" t="str">
        <f t="shared" si="221"/>
        <v>IvanVillacorte</v>
      </c>
      <c r="B1747" s="17" t="s">
        <v>3579</v>
      </c>
      <c r="C1747" s="18">
        <v>46162.85375</v>
      </c>
      <c r="D1747" s="17" t="s">
        <v>3580</v>
      </c>
      <c r="E1747" s="19" t="s">
        <v>29</v>
      </c>
      <c r="F1747" s="19" t="s">
        <v>30</v>
      </c>
      <c r="G1747" s="20" t="s">
        <v>17</v>
      </c>
      <c r="H1747" s="20" t="s">
        <v>18</v>
      </c>
      <c r="I1747" s="19" t="str">
        <f>IMAGE("https://upload.wikimedia.org/wikipedia/commons/f/f0/Perfil_de_Elaenia_pallatangae_en_h%C3%A1bitat_boscoso.jpg")</f>
        <v/>
      </c>
    </row>
    <row r="1748" ht="36.0" customHeight="1">
      <c r="A1748" s="10" t="str">
        <f t="shared" si="221"/>
        <v>IvanVillacorte</v>
      </c>
      <c r="B1748" s="11" t="s">
        <v>3581</v>
      </c>
      <c r="C1748" s="12">
        <v>46162.81648148148</v>
      </c>
      <c r="D1748" s="11" t="s">
        <v>3582</v>
      </c>
      <c r="E1748" s="14" t="s">
        <v>29</v>
      </c>
      <c r="F1748" s="14" t="s">
        <v>30</v>
      </c>
      <c r="G1748" s="15" t="s">
        <v>17</v>
      </c>
      <c r="H1748" s="15" t="s">
        <v>18</v>
      </c>
      <c r="I1748" s="14" t="str">
        <f>IMAGE("https://upload.wikimedia.org/wikipedia/commons/7/7f/Perfil_de_Piaya_cayana_en_h%C3%A1bitat_boscoso.jpg")</f>
        <v/>
      </c>
    </row>
    <row r="1749" ht="36.0" customHeight="1">
      <c r="A1749" s="16" t="str">
        <f>HYPERLINK("https://commons.wikimedia.org/wiki/User:" &amp; ENCODEURL("Coreduco"), "Coreduco")</f>
        <v>Coreduco</v>
      </c>
      <c r="B1749" s="17" t="s">
        <v>3583</v>
      </c>
      <c r="C1749" s="18">
        <v>46169.3746875</v>
      </c>
      <c r="D1749" s="17" t="s">
        <v>3584</v>
      </c>
      <c r="E1749" s="19" t="s">
        <v>29</v>
      </c>
      <c r="F1749" s="19" t="s">
        <v>30</v>
      </c>
      <c r="G1749" s="20" t="s">
        <v>17</v>
      </c>
      <c r="H1749" s="20" t="s">
        <v>18</v>
      </c>
      <c r="I1749" s="19" t="str">
        <f>IMAGE("https://upload.wikimedia.org/wikipedia/commons/a/aa/Perra_criolla_colombiana.jpg")</f>
        <v/>
      </c>
    </row>
    <row r="1750" ht="36.0" customHeight="1">
      <c r="A1750" s="10" t="str">
        <f>HYPERLINK("https://commons.wikimedia.org/wiki/User:" &amp; ENCODEURL("Crisrueda99"), "Crisrueda99")</f>
        <v>Crisrueda99</v>
      </c>
      <c r="B1750" s="11" t="s">
        <v>3585</v>
      </c>
      <c r="C1750" s="12">
        <v>46173.8446875</v>
      </c>
      <c r="D1750" s="11" t="s">
        <v>3586</v>
      </c>
      <c r="E1750" s="14" t="s">
        <v>29</v>
      </c>
      <c r="F1750" s="14" t="s">
        <v>30</v>
      </c>
      <c r="G1750" s="15" t="s">
        <v>17</v>
      </c>
      <c r="H1750" s="15" t="s">
        <v>18</v>
      </c>
      <c r="I1750" s="14" t="str">
        <f>IMAGE("https://upload.wikimedia.org/wikipedia/commons/a/aa/Perspectiva_laguna_del_Amor.jpg")</f>
        <v/>
      </c>
    </row>
    <row r="1751" ht="36.0" customHeight="1">
      <c r="A1751" s="16" t="str">
        <f t="shared" ref="A1751:A1752" si="222">HYPERLINK("https://commons.wikimedia.org/wiki/User:" &amp; ENCODEURL("Johan Andrés Toro"), "Johan Andrés Toro")</f>
        <v>Johan Andrés Toro</v>
      </c>
      <c r="B1751" s="17" t="s">
        <v>3587</v>
      </c>
      <c r="C1751" s="18">
        <v>46176.94583333333</v>
      </c>
      <c r="D1751" s="17" t="s">
        <v>3588</v>
      </c>
      <c r="E1751" s="19" t="s">
        <v>29</v>
      </c>
      <c r="F1751" s="19" t="s">
        <v>30</v>
      </c>
      <c r="G1751" s="20" t="s">
        <v>17</v>
      </c>
      <c r="H1751" s="20" t="s">
        <v>18</v>
      </c>
      <c r="I1751" s="19" t="str">
        <f>IMAGE("https://upload.wikimedia.org/wikipedia/commons/6/65/Perspectiva_tridimensional_de_los_laberintos_de_Cuzco.jpg")</f>
        <v/>
      </c>
    </row>
    <row r="1752" ht="36.0" customHeight="1">
      <c r="A1752" s="10" t="str">
        <f t="shared" si="222"/>
        <v>Johan Andrés Toro</v>
      </c>
      <c r="B1752" s="11" t="s">
        <v>3589</v>
      </c>
      <c r="C1752" s="12">
        <v>46171.55556712963</v>
      </c>
      <c r="D1752" s="11" t="s">
        <v>3590</v>
      </c>
      <c r="E1752" s="14" t="s">
        <v>29</v>
      </c>
      <c r="F1752" s="14" t="s">
        <v>30</v>
      </c>
      <c r="G1752" s="15" t="s">
        <v>17</v>
      </c>
      <c r="H1752" s="15" t="s">
        <v>18</v>
      </c>
      <c r="I1752" s="14" t="str">
        <f>IMAGE("https://upload.wikimedia.org/wikipedia/commons/c/c9/Pescadora_y_canoas_tradicionales_a_orillas_del_R%C3%ADo_Magdalena.jpg")</f>
        <v/>
      </c>
    </row>
    <row r="1753" ht="36.0" customHeight="1">
      <c r="A1753" s="16" t="str">
        <f>HYPERLINK("https://commons.wikimedia.org/wiki/User:" &amp; ENCODEURL("Avargasc1"), "Avargasc1")</f>
        <v>Avargasc1</v>
      </c>
      <c r="B1753" s="17" t="s">
        <v>3591</v>
      </c>
      <c r="C1753" s="18">
        <v>46170.736909722225</v>
      </c>
      <c r="D1753" s="17" t="s">
        <v>3592</v>
      </c>
      <c r="E1753" s="19" t="s">
        <v>29</v>
      </c>
      <c r="F1753" s="19" t="s">
        <v>30</v>
      </c>
      <c r="G1753" s="20" t="s">
        <v>17</v>
      </c>
      <c r="H1753" s="20" t="s">
        <v>18</v>
      </c>
      <c r="I1753" s="19" t="str">
        <f>IMAGE("https://upload.wikimedia.org/wikipedia/commons/b/b3/Phaethornis_guy_Macho.jpg")</f>
        <v/>
      </c>
    </row>
    <row r="1754" ht="36.0" customHeight="1">
      <c r="A1754" s="10" t="str">
        <f>HYPERLINK("https://commons.wikimedia.org/wiki/User:" &amp; ENCODEURL("IvanVillacorte"), "IvanVillacorte")</f>
        <v>IvanVillacorte</v>
      </c>
      <c r="B1754" s="11" t="s">
        <v>3593</v>
      </c>
      <c r="C1754" s="12">
        <v>46162.841145833336</v>
      </c>
      <c r="D1754" s="11" t="s">
        <v>3594</v>
      </c>
      <c r="E1754" s="14" t="s">
        <v>29</v>
      </c>
      <c r="F1754" s="14" t="s">
        <v>30</v>
      </c>
      <c r="G1754" s="15" t="s">
        <v>17</v>
      </c>
      <c r="H1754" s="15" t="s">
        <v>18</v>
      </c>
      <c r="I1754" s="14" t="str">
        <f>IMAGE("https://upload.wikimedia.org/wikipedia/commons/2/25/Pheucticus_aureoventris_en_paisaje_antropizado_con_infraestructura_el%C3%A9ctrica.jpg")</f>
        <v/>
      </c>
    </row>
    <row r="1755" ht="36.0" customHeight="1">
      <c r="A1755" s="16" t="str">
        <f>HYPERLINK("https://commons.wikimedia.org/wiki/User:" &amp; ENCODEURL("Nathaly 1106"), "Nathaly 1106")</f>
        <v>Nathaly 1106</v>
      </c>
      <c r="B1755" s="17" t="s">
        <v>3595</v>
      </c>
      <c r="C1755" s="18">
        <v>46147.671377314815</v>
      </c>
      <c r="D1755" s="17" t="s">
        <v>3596</v>
      </c>
      <c r="E1755" s="19" t="s">
        <v>29</v>
      </c>
      <c r="F1755" s="19" t="s">
        <v>30</v>
      </c>
      <c r="G1755" s="20" t="s">
        <v>17</v>
      </c>
      <c r="H1755" s="20" t="s">
        <v>18</v>
      </c>
      <c r="I1755" s="19" t="str">
        <f>IMAGE("https://upload.wikimedia.org/wikipedia/commons/b/bf/Photinia_%28Rosaceae%29.jpg")</f>
        <v/>
      </c>
    </row>
    <row r="1756" ht="36.0" customHeight="1">
      <c r="A1756" s="10" t="str">
        <f>HYPERLINK("https://commons.wikimedia.org/wiki/User:" &amp; ENCODEURL("XimmoY"), "XimmoY")</f>
        <v>XimmoY</v>
      </c>
      <c r="B1756" s="11" t="s">
        <v>3597</v>
      </c>
      <c r="C1756" s="12">
        <v>46203.79180555556</v>
      </c>
      <c r="D1756" s="11" t="s">
        <v>3598</v>
      </c>
      <c r="E1756" s="14" t="s">
        <v>184</v>
      </c>
      <c r="F1756" s="15" t="s">
        <v>16</v>
      </c>
      <c r="G1756" s="15" t="s">
        <v>17</v>
      </c>
      <c r="H1756" s="15" t="s">
        <v>18</v>
      </c>
      <c r="I1756" s="14" t="str">
        <f>IMAGE("https://upload.wikimedia.org/wikipedia/commons/4/4c/Phyllomedusa_venusta_2026.jpg")</f>
        <v/>
      </c>
    </row>
    <row r="1757" ht="36.0" customHeight="1">
      <c r="A1757" s="16" t="str">
        <f>HYPERLINK("https://commons.wikimedia.org/wiki/User:" &amp; ENCODEURL("Diferoch"), "Diferoch")</f>
        <v>Diferoch</v>
      </c>
      <c r="B1757" s="17" t="s">
        <v>3599</v>
      </c>
      <c r="C1757" s="18">
        <v>46173.7622337963</v>
      </c>
      <c r="D1757" s="17" t="s">
        <v>3600</v>
      </c>
      <c r="E1757" s="19" t="s">
        <v>3601</v>
      </c>
      <c r="F1757" s="20" t="s">
        <v>16</v>
      </c>
      <c r="G1757" s="20" t="s">
        <v>17</v>
      </c>
      <c r="H1757" s="20" t="s">
        <v>18</v>
      </c>
      <c r="I1757" s="19" t="str">
        <f>IMAGE("https://upload.wikimedia.org/wikipedia/commons/8/89/Phyllostomus_hastatus_-_Barrancabermeja%2C_Santander%2C_Colombia_-_14_Jun_2026_-_Diferoch.jpg")</f>
        <v/>
      </c>
    </row>
    <row r="1758" ht="36.0" customHeight="1">
      <c r="A1758" s="10" t="str">
        <f>HYPERLINK("https://commons.wikimedia.org/wiki/User:" &amp; ENCODEURL("Felipequiceno"), "Felipequiceno")</f>
        <v>Felipequiceno</v>
      </c>
      <c r="B1758" s="11" t="s">
        <v>3602</v>
      </c>
      <c r="C1758" s="12">
        <v>46146.77730324074</v>
      </c>
      <c r="D1758" s="11" t="s">
        <v>3603</v>
      </c>
      <c r="E1758" s="14" t="s">
        <v>29</v>
      </c>
      <c r="F1758" s="14" t="s">
        <v>30</v>
      </c>
      <c r="G1758" s="15" t="s">
        <v>17</v>
      </c>
      <c r="H1758" s="15" t="s">
        <v>18</v>
      </c>
      <c r="I1758" s="14" t="str">
        <f>IMAGE("https://upload.wikimedia.org/wikipedia/commons/e/eb/Pico_concavo.jpg")</f>
        <v/>
      </c>
    </row>
    <row r="1759" ht="36.0" customHeight="1">
      <c r="A1759" s="16" t="str">
        <f>HYPERLINK("https://commons.wikimedia.org/wiki/User:" &amp; ENCODEURL("Chars21"), "Chars21")</f>
        <v>Chars21</v>
      </c>
      <c r="B1759" s="17" t="s">
        <v>3604</v>
      </c>
      <c r="C1759" s="18">
        <v>46143.411574074074</v>
      </c>
      <c r="D1759" s="17" t="s">
        <v>3605</v>
      </c>
      <c r="E1759" s="19" t="s">
        <v>3606</v>
      </c>
      <c r="F1759" s="20" t="s">
        <v>16</v>
      </c>
      <c r="G1759" s="20" t="s">
        <v>17</v>
      </c>
      <c r="H1759" s="20" t="s">
        <v>18</v>
      </c>
      <c r="I1759" s="19" t="str">
        <f>IMAGE("https://upload.wikimedia.org/wikipedia/commons/c/c2/Pico_m%C3%A1s_alto_en_piojo-atlantico.jpg")</f>
        <v/>
      </c>
    </row>
    <row r="1760" ht="36.0" customHeight="1">
      <c r="A1760" s="10" t="str">
        <f>HYPERLINK("https://commons.wikimedia.org/wiki/User:" &amp; ENCODEURL("Bioedna.ro"), "Bioedna.ro")</f>
        <v>Bioedna.ro</v>
      </c>
      <c r="B1760" s="11" t="s">
        <v>3607</v>
      </c>
      <c r="C1760" s="12">
        <v>46203.629583333335</v>
      </c>
      <c r="D1760" s="11" t="s">
        <v>3608</v>
      </c>
      <c r="E1760" s="14" t="s">
        <v>3609</v>
      </c>
      <c r="F1760" s="15" t="s">
        <v>16</v>
      </c>
      <c r="G1760" s="15" t="s">
        <v>17</v>
      </c>
      <c r="H1760" s="15" t="s">
        <v>18</v>
      </c>
      <c r="I1760" s="14" t="str">
        <f>IMAGE("https://upload.wikimedia.org/wikipedia/commons/e/e5/Piedemonte_llanero%2C_Medina%2C_Colombia.jpg")</f>
        <v/>
      </c>
    </row>
    <row r="1761" ht="36.0" customHeight="1">
      <c r="A1761" s="16" t="str">
        <f>HYPERLINK("https://commons.wikimedia.org/wiki/User:" &amp; ENCODEURL("TheBogotaBandit"), "TheBogotaBandit")</f>
        <v>TheBogotaBandit</v>
      </c>
      <c r="B1761" s="17" t="s">
        <v>3610</v>
      </c>
      <c r="C1761" s="18">
        <v>46203.9922337963</v>
      </c>
      <c r="D1761" s="17" t="s">
        <v>3611</v>
      </c>
      <c r="E1761" s="19" t="s">
        <v>29</v>
      </c>
      <c r="F1761" s="19" t="s">
        <v>30</v>
      </c>
      <c r="G1761" s="20" t="s">
        <v>17</v>
      </c>
      <c r="H1761" s="20" t="s">
        <v>18</v>
      </c>
      <c r="I1761" s="19" t="str">
        <f>IMAGE("https://upload.wikimedia.org/wikipedia/commons/3/38/Piedra_del_Indio.jpg")</f>
        <v/>
      </c>
    </row>
    <row r="1762" ht="36.0" customHeight="1">
      <c r="A1762" s="10" t="str">
        <f>HYPERLINK("https://commons.wikimedia.org/wiki/User:" &amp; ENCODEURL("Estudiante0001"), "Estudiante0001")</f>
        <v>Estudiante0001</v>
      </c>
      <c r="B1762" s="11" t="s">
        <v>3612</v>
      </c>
      <c r="C1762" s="12">
        <v>46163.555659722224</v>
      </c>
      <c r="D1762" s="11" t="s">
        <v>3613</v>
      </c>
      <c r="E1762" s="14" t="s">
        <v>3614</v>
      </c>
      <c r="F1762" s="15" t="s">
        <v>16</v>
      </c>
      <c r="G1762" s="15" t="s">
        <v>17</v>
      </c>
      <c r="H1762" s="15" t="s">
        <v>18</v>
      </c>
      <c r="I1762" s="14" t="str">
        <f>IMAGE("https://upload.wikimedia.org/wikipedia/commons/4/4e/Piedra_en_una_mini_cueva.jpg")</f>
        <v/>
      </c>
    </row>
    <row r="1763" ht="36.0" customHeight="1">
      <c r="A1763" s="16" t="str">
        <f t="shared" ref="A1763:A1766" si="223">HYPERLINK("https://commons.wikimedia.org/wiki/User:" &amp; ENCODEURL("Nathaly 1106"), "Nathaly 1106")</f>
        <v>Nathaly 1106</v>
      </c>
      <c r="B1763" s="17" t="s">
        <v>3615</v>
      </c>
      <c r="C1763" s="18">
        <v>46147.671064814815</v>
      </c>
      <c r="D1763" s="17" t="s">
        <v>3616</v>
      </c>
      <c r="E1763" s="19" t="s">
        <v>29</v>
      </c>
      <c r="F1763" s="19" t="s">
        <v>30</v>
      </c>
      <c r="G1763" s="20" t="s">
        <v>17</v>
      </c>
      <c r="H1763" s="20" t="s">
        <v>18</v>
      </c>
      <c r="I1763" s="19" t="str">
        <f>IMAGE("https://upload.wikimedia.org/wikipedia/commons/d/dc/Pilpih_ainki_%28Calliandra_trinervia_Benth%29.jpg")</f>
        <v/>
      </c>
    </row>
    <row r="1764" ht="36.0" customHeight="1">
      <c r="A1764" s="10" t="str">
        <f t="shared" si="223"/>
        <v>Nathaly 1106</v>
      </c>
      <c r="B1764" s="11" t="s">
        <v>3617</v>
      </c>
      <c r="C1764" s="12">
        <v>46148.619097222225</v>
      </c>
      <c r="D1764" s="11" t="s">
        <v>3618</v>
      </c>
      <c r="E1764" s="14" t="s">
        <v>29</v>
      </c>
      <c r="F1764" s="14" t="s">
        <v>30</v>
      </c>
      <c r="G1764" s="15" t="s">
        <v>17</v>
      </c>
      <c r="H1764" s="15" t="s">
        <v>18</v>
      </c>
      <c r="I1764" s="14" t="str">
        <f>IMAGE("https://upload.wikimedia.org/wikipedia/commons/2/28/Pino_chaquero_%28podocarpaceae%29.jpg")</f>
        <v/>
      </c>
    </row>
    <row r="1765" ht="36.0" customHeight="1">
      <c r="A1765" s="16" t="str">
        <f t="shared" si="223"/>
        <v>Nathaly 1106</v>
      </c>
      <c r="B1765" s="17" t="s">
        <v>3619</v>
      </c>
      <c r="C1765" s="18">
        <v>46148.61931712963</v>
      </c>
      <c r="D1765" s="17" t="s">
        <v>3620</v>
      </c>
      <c r="E1765" s="19" t="s">
        <v>29</v>
      </c>
      <c r="F1765" s="19" t="s">
        <v>30</v>
      </c>
      <c r="G1765" s="20" t="s">
        <v>17</v>
      </c>
      <c r="H1765" s="20" t="s">
        <v>18</v>
      </c>
      <c r="I1765" s="19" t="str">
        <f>IMAGE("https://upload.wikimedia.org/wikipedia/commons/f/fc/Pino_colombiano_%28Podocarpaceae%29.jpg")</f>
        <v/>
      </c>
    </row>
    <row r="1766" ht="36.0" customHeight="1">
      <c r="A1766" s="10" t="str">
        <f t="shared" si="223"/>
        <v>Nathaly 1106</v>
      </c>
      <c r="B1766" s="11" t="s">
        <v>3621</v>
      </c>
      <c r="C1766" s="12">
        <v>46148.6190625</v>
      </c>
      <c r="D1766" s="11" t="s">
        <v>3622</v>
      </c>
      <c r="E1766" s="14" t="s">
        <v>29</v>
      </c>
      <c r="F1766" s="14" t="s">
        <v>30</v>
      </c>
      <c r="G1766" s="15" t="s">
        <v>17</v>
      </c>
      <c r="H1766" s="15" t="s">
        <v>18</v>
      </c>
      <c r="I1766" s="14" t="str">
        <f>IMAGE("https://upload.wikimedia.org/wikipedia/commons/2/24/Pino_doncel_%28pinaceae%29.jpg")</f>
        <v/>
      </c>
    </row>
    <row r="1767" ht="36.0" customHeight="1">
      <c r="A1767" s="16" t="str">
        <f t="shared" ref="A1767:A1768" si="224">HYPERLINK("https://commons.wikimedia.org/wiki/User:" &amp; ENCODEURL("AmiGueko"), "AmiGueko")</f>
        <v>AmiGueko</v>
      </c>
      <c r="B1767" s="17" t="s">
        <v>3623</v>
      </c>
      <c r="C1767" s="18">
        <v>46166.410787037035</v>
      </c>
      <c r="D1767" s="17" t="s">
        <v>3624</v>
      </c>
      <c r="E1767" s="19" t="s">
        <v>3625</v>
      </c>
      <c r="F1767" s="20" t="s">
        <v>16</v>
      </c>
      <c r="G1767" s="20" t="s">
        <v>17</v>
      </c>
      <c r="H1767" s="20" t="s">
        <v>18</v>
      </c>
      <c r="I1767" s="19" t="str">
        <f>IMAGE("https://upload.wikimedia.org/wikipedia/commons/7/76/Pino_romer%C3%B3n.jpg")</f>
        <v/>
      </c>
    </row>
    <row r="1768" ht="36.0" customHeight="1">
      <c r="A1768" s="10" t="str">
        <f t="shared" si="224"/>
        <v>AmiGueko</v>
      </c>
      <c r="B1768" s="11" t="s">
        <v>3626</v>
      </c>
      <c r="C1768" s="12">
        <v>46166.41155092593</v>
      </c>
      <c r="D1768" s="11" t="s">
        <v>3624</v>
      </c>
      <c r="E1768" s="14" t="s">
        <v>3627</v>
      </c>
      <c r="F1768" s="15" t="s">
        <v>16</v>
      </c>
      <c r="G1768" s="15" t="s">
        <v>17</v>
      </c>
      <c r="H1768" s="15" t="s">
        <v>18</v>
      </c>
      <c r="I1768" s="14" t="str">
        <f>IMAGE("https://upload.wikimedia.org/wikipedia/commons/f/fd/Pino_romer%C3%B3n_%2826809%29.jpg")</f>
        <v/>
      </c>
    </row>
    <row r="1769" ht="36.0" customHeight="1">
      <c r="A1769" s="16" t="str">
        <f>HYPERLINK("https://commons.wikimedia.org/wiki/User:" &amp; ENCODEURL("Nathaly 1106"), "Nathaly 1106")</f>
        <v>Nathaly 1106</v>
      </c>
      <c r="B1769" s="17" t="s">
        <v>3628</v>
      </c>
      <c r="C1769" s="18">
        <v>46148.61912037037</v>
      </c>
      <c r="D1769" s="17" t="s">
        <v>3629</v>
      </c>
      <c r="E1769" s="19" t="s">
        <v>29</v>
      </c>
      <c r="F1769" s="19" t="s">
        <v>30</v>
      </c>
      <c r="G1769" s="20" t="s">
        <v>17</v>
      </c>
      <c r="H1769" s="20" t="s">
        <v>18</v>
      </c>
      <c r="I1769" s="19" t="str">
        <f>IMAGE("https://upload.wikimedia.org/wikipedia/commons/e/ee/Pinos_en_el_Jard%C3%ADn_Bot%C3%A1nico.jpg")</f>
        <v/>
      </c>
    </row>
    <row r="1770" ht="36.0" customHeight="1">
      <c r="A1770" s="10" t="str">
        <f>HYPERLINK("https://commons.wikimedia.org/wiki/User:" &amp; ENCODEURL("Jhon Betancur 123"), "Jhon Betancur 123")</f>
        <v>Jhon Betancur 123</v>
      </c>
      <c r="B1770" s="11" t="s">
        <v>3630</v>
      </c>
      <c r="C1770" s="12">
        <v>46201.000752314816</v>
      </c>
      <c r="D1770" s="11" t="s">
        <v>3631</v>
      </c>
      <c r="E1770" s="14" t="s">
        <v>29</v>
      </c>
      <c r="F1770" s="14" t="s">
        <v>30</v>
      </c>
      <c r="G1770" s="15" t="s">
        <v>17</v>
      </c>
      <c r="H1770" s="15" t="s">
        <v>18</v>
      </c>
      <c r="I1770" s="14" t="str">
        <f>IMAGE("https://upload.wikimedia.org/wikipedia/commons/b/bd/Piranga_escarlata_o_alinegra_%28Piranga_olivacea%29_o_un_Titirib%C3%AD_pechi_rojo.png")</f>
        <v/>
      </c>
    </row>
    <row r="1771" ht="36.0" customHeight="1">
      <c r="A1771" s="16" t="str">
        <f t="shared" ref="A1771:A1776" si="225">HYPERLINK("https://commons.wikimedia.org/wiki/User:" &amp; ENCODEURL("AmiGueko"), "AmiGueko")</f>
        <v>AmiGueko</v>
      </c>
      <c r="B1771" s="17" t="s">
        <v>3632</v>
      </c>
      <c r="C1771" s="18">
        <v>46166.58578703704</v>
      </c>
      <c r="D1771" s="17" t="s">
        <v>3633</v>
      </c>
      <c r="E1771" s="19" t="s">
        <v>3634</v>
      </c>
      <c r="F1771" s="20" t="s">
        <v>16</v>
      </c>
      <c r="G1771" s="20" t="s">
        <v>17</v>
      </c>
      <c r="H1771" s="20" t="s">
        <v>18</v>
      </c>
      <c r="I1771" s="19" t="str">
        <f>IMAGE("https://upload.wikimedia.org/wikipedia/commons/3/39/Pitahaya_%2874055%29.jpg")</f>
        <v/>
      </c>
    </row>
    <row r="1772" ht="36.0" customHeight="1">
      <c r="A1772" s="10" t="str">
        <f t="shared" si="225"/>
        <v>AmiGueko</v>
      </c>
      <c r="B1772" s="11" t="s">
        <v>3635</v>
      </c>
      <c r="C1772" s="12">
        <v>46166.586018518516</v>
      </c>
      <c r="D1772" s="11" t="s">
        <v>3633</v>
      </c>
      <c r="E1772" s="14" t="s">
        <v>3636</v>
      </c>
      <c r="F1772" s="15" t="s">
        <v>16</v>
      </c>
      <c r="G1772" s="15" t="s">
        <v>17</v>
      </c>
      <c r="H1772" s="15" t="s">
        <v>18</v>
      </c>
      <c r="I1772" s="14" t="str">
        <f>IMAGE("https://upload.wikimedia.org/wikipedia/commons/a/a4/Pitahaya_%2882733%29.jpg")</f>
        <v/>
      </c>
    </row>
    <row r="1773" ht="36.0" customHeight="1">
      <c r="A1773" s="16" t="str">
        <f t="shared" si="225"/>
        <v>AmiGueko</v>
      </c>
      <c r="B1773" s="17" t="s">
        <v>3637</v>
      </c>
      <c r="C1773" s="18">
        <v>46166.58565972222</v>
      </c>
      <c r="D1773" s="17" t="s">
        <v>3633</v>
      </c>
      <c r="E1773" s="19" t="s">
        <v>3638</v>
      </c>
      <c r="F1773" s="20" t="s">
        <v>16</v>
      </c>
      <c r="G1773" s="20" t="s">
        <v>17</v>
      </c>
      <c r="H1773" s="20" t="s">
        <v>18</v>
      </c>
      <c r="I1773" s="19" t="str">
        <f>IMAGE("https://upload.wikimedia.org/wikipedia/commons/4/4e/Pitahaya_%2884472%29.jpg")</f>
        <v/>
      </c>
    </row>
    <row r="1774" ht="36.0" customHeight="1">
      <c r="A1774" s="10" t="str">
        <f t="shared" si="225"/>
        <v>AmiGueko</v>
      </c>
      <c r="B1774" s="11" t="s">
        <v>3639</v>
      </c>
      <c r="C1774" s="12">
        <v>46166.585914351854</v>
      </c>
      <c r="D1774" s="11" t="s">
        <v>3633</v>
      </c>
      <c r="E1774" s="14" t="s">
        <v>3640</v>
      </c>
      <c r="F1774" s="15" t="s">
        <v>16</v>
      </c>
      <c r="G1774" s="15" t="s">
        <v>17</v>
      </c>
      <c r="H1774" s="15" t="s">
        <v>18</v>
      </c>
      <c r="I1774" s="14" t="str">
        <f>IMAGE("https://upload.wikimedia.org/wikipedia/commons/4/41/Pitahaya_%2888608%29.jpg")</f>
        <v/>
      </c>
    </row>
    <row r="1775" ht="36.0" customHeight="1">
      <c r="A1775" s="16" t="str">
        <f t="shared" si="225"/>
        <v>AmiGueko</v>
      </c>
      <c r="B1775" s="17" t="s">
        <v>3641</v>
      </c>
      <c r="C1775" s="18">
        <v>46177.89847222222</v>
      </c>
      <c r="D1775" s="17" t="s">
        <v>3642</v>
      </c>
      <c r="E1775" s="19" t="s">
        <v>2108</v>
      </c>
      <c r="F1775" s="20" t="s">
        <v>16</v>
      </c>
      <c r="G1775" s="20" t="s">
        <v>17</v>
      </c>
      <c r="H1775" s="20" t="s">
        <v>18</v>
      </c>
      <c r="I1775" s="19" t="str">
        <f>IMAGE("https://upload.wikimedia.org/wikipedia/commons/3/3b/Pi%C3%B1a_de_Danta.jpg")</f>
        <v/>
      </c>
    </row>
    <row r="1776" ht="36.0" customHeight="1">
      <c r="A1776" s="10" t="str">
        <f t="shared" si="225"/>
        <v>AmiGueko</v>
      </c>
      <c r="B1776" s="11" t="s">
        <v>3643</v>
      </c>
      <c r="C1776" s="12">
        <v>46177.89847222222</v>
      </c>
      <c r="D1776" s="11" t="s">
        <v>3642</v>
      </c>
      <c r="E1776" s="14" t="s">
        <v>2108</v>
      </c>
      <c r="F1776" s="15" t="s">
        <v>16</v>
      </c>
      <c r="G1776" s="15" t="s">
        <v>17</v>
      </c>
      <c r="H1776" s="15" t="s">
        <v>18</v>
      </c>
      <c r="I1776" s="14" t="str">
        <f>IMAGE("https://upload.wikimedia.org/wikipedia/commons/c/c8/Pi%C3%B1a_de_Danta1.jpg")</f>
        <v/>
      </c>
    </row>
    <row r="1777" ht="36.0" customHeight="1">
      <c r="A1777" s="16" t="str">
        <f>HYPERLINK("https://commons.wikimedia.org/wiki/User:" &amp; ENCODEURL("Nathaly 1106"), "Nathaly 1106")</f>
        <v>Nathaly 1106</v>
      </c>
      <c r="B1777" s="17" t="s">
        <v>3644</v>
      </c>
      <c r="C1777" s="18">
        <v>46148.63144675926</v>
      </c>
      <c r="D1777" s="17" t="s">
        <v>3645</v>
      </c>
      <c r="E1777" s="19" t="s">
        <v>29</v>
      </c>
      <c r="F1777" s="19" t="s">
        <v>30</v>
      </c>
      <c r="G1777" s="20" t="s">
        <v>17</v>
      </c>
      <c r="H1777" s="20" t="s">
        <v>18</v>
      </c>
      <c r="I1777" s="19" t="str">
        <f>IMAGE("https://upload.wikimedia.org/wikipedia/commons/6/62/Planta_Achira_%28Canna_indica%29.jpg")</f>
        <v/>
      </c>
    </row>
    <row r="1778" ht="36.0" customHeight="1">
      <c r="A1778" s="10" t="str">
        <f t="shared" ref="A1778:A1780" si="226">HYPERLINK("https://commons.wikimedia.org/wiki/User:" &amp; ENCODEURL("Tudum1213"), "Tudum1213")</f>
        <v>Tudum1213</v>
      </c>
      <c r="B1778" s="11" t="s">
        <v>3646</v>
      </c>
      <c r="C1778" s="12">
        <v>46163.55296296296</v>
      </c>
      <c r="D1778" s="11" t="s">
        <v>3647</v>
      </c>
      <c r="E1778" s="14" t="s">
        <v>29</v>
      </c>
      <c r="F1778" s="14" t="s">
        <v>30</v>
      </c>
      <c r="G1778" s="15" t="s">
        <v>17</v>
      </c>
      <c r="H1778" s="15" t="s">
        <v>18</v>
      </c>
      <c r="I1778" s="14" t="str">
        <f>IMAGE("https://upload.wikimedia.org/wikipedia/commons/9/9f/Planta_de_rosa_fucsia.jpg")</f>
        <v/>
      </c>
    </row>
    <row r="1779" ht="36.0" customHeight="1">
      <c r="A1779" s="16" t="str">
        <f t="shared" si="226"/>
        <v>Tudum1213</v>
      </c>
      <c r="B1779" s="17" t="s">
        <v>3648</v>
      </c>
      <c r="C1779" s="18">
        <v>46163.55297453704</v>
      </c>
      <c r="D1779" s="17" t="s">
        <v>3649</v>
      </c>
      <c r="E1779" s="19" t="s">
        <v>29</v>
      </c>
      <c r="F1779" s="19" t="s">
        <v>30</v>
      </c>
      <c r="G1779" s="20" t="s">
        <v>17</v>
      </c>
      <c r="H1779" s="20" t="s">
        <v>18</v>
      </c>
      <c r="I1779" s="19" t="str">
        <f>IMAGE("https://upload.wikimedia.org/wikipedia/commons/d/d2/Planta_lengua_de_suegra.jpg")</f>
        <v/>
      </c>
    </row>
    <row r="1780" ht="36.0" customHeight="1">
      <c r="A1780" s="10" t="str">
        <f t="shared" si="226"/>
        <v>Tudum1213</v>
      </c>
      <c r="B1780" s="11" t="s">
        <v>3650</v>
      </c>
      <c r="C1780" s="12">
        <v>46163.51164351852</v>
      </c>
      <c r="D1780" s="11" t="s">
        <v>3651</v>
      </c>
      <c r="E1780" s="14" t="s">
        <v>29</v>
      </c>
      <c r="F1780" s="14" t="s">
        <v>30</v>
      </c>
      <c r="G1780" s="15" t="s">
        <v>17</v>
      </c>
      <c r="H1780" s="15" t="s">
        <v>18</v>
      </c>
      <c r="I1780" s="14" t="str">
        <f>IMAGE("https://upload.wikimedia.org/wikipedia/commons/b/b9/Planta_monstera.jpg")</f>
        <v/>
      </c>
    </row>
    <row r="1781" ht="36.0" customHeight="1">
      <c r="A1781" s="16" t="str">
        <f>HYPERLINK("https://commons.wikimedia.org/wiki/User:" &amp; ENCODEURL("Vvelashue21"), "Vvelashue21")</f>
        <v>Vvelashue21</v>
      </c>
      <c r="B1781" s="17" t="s">
        <v>3652</v>
      </c>
      <c r="C1781" s="18">
        <v>46163.516064814816</v>
      </c>
      <c r="D1781" s="17" t="s">
        <v>3653</v>
      </c>
      <c r="E1781" s="19" t="s">
        <v>29</v>
      </c>
      <c r="F1781" s="19" t="s">
        <v>30</v>
      </c>
      <c r="G1781" s="20" t="s">
        <v>17</v>
      </c>
      <c r="H1781" s="20" t="s">
        <v>18</v>
      </c>
      <c r="I1781" s="19" t="str">
        <f>IMAGE("https://upload.wikimedia.org/wikipedia/commons/a/a0/Planta_ornamental%2C_jardin_botanico.jpg")</f>
        <v/>
      </c>
    </row>
    <row r="1782" ht="36.0" customHeight="1">
      <c r="A1782" s="10" t="str">
        <f>HYPERLINK("https://commons.wikimedia.org/wiki/User:" &amp; ENCODEURL("Johan Andrés Toro"), "Johan Andrés Toro")</f>
        <v>Johan Andrés Toro</v>
      </c>
      <c r="B1782" s="11" t="s">
        <v>3654</v>
      </c>
      <c r="C1782" s="12">
        <v>46166.956921296296</v>
      </c>
      <c r="D1782" s="11" t="s">
        <v>3655</v>
      </c>
      <c r="E1782" s="14" t="s">
        <v>29</v>
      </c>
      <c r="F1782" s="14" t="s">
        <v>30</v>
      </c>
      <c r="G1782" s="15" t="s">
        <v>17</v>
      </c>
      <c r="H1782" s="15" t="s">
        <v>18</v>
      </c>
      <c r="I1782" s="14" t="str">
        <f>IMAGE("https://upload.wikimedia.org/wikipedia/commons/1/1a/PLAYA_SOLEDAD_CON_AGUAS_CRISTALINAS_Y_PLAYAS_BLANCAS%2C_LA_DENSA_SELVA_DEL_DARIEN_AL_FONDO.jpg")</f>
        <v/>
      </c>
    </row>
    <row r="1783" ht="36.0" customHeight="1">
      <c r="A1783" s="16" t="str">
        <f>HYPERLINK("https://commons.wikimedia.org/wiki/User:" &amp; ENCODEURL("Juan Antonio Liévano A"), "Juan Antonio Liévano A")</f>
        <v>Juan Antonio Liévano A</v>
      </c>
      <c r="B1783" s="17" t="s">
        <v>3656</v>
      </c>
      <c r="C1783" s="18">
        <v>46203.58001157407</v>
      </c>
      <c r="D1783" s="17" t="s">
        <v>3657</v>
      </c>
      <c r="E1783" s="19" t="s">
        <v>29</v>
      </c>
      <c r="F1783" s="19" t="s">
        <v>30</v>
      </c>
      <c r="G1783" s="20" t="s">
        <v>17</v>
      </c>
      <c r="H1783" s="20" t="s">
        <v>18</v>
      </c>
      <c r="I1783" s="19" t="str">
        <f>IMAGE("https://upload.wikimedia.org/wikipedia/commons/e/e1/PNN_Cahuinari_%26_Rio_Caquet%C3%A1.jpg")</f>
        <v/>
      </c>
    </row>
    <row r="1784" ht="36.0" customHeight="1">
      <c r="A1784" s="10" t="str">
        <f>HYPERLINK("https://commons.wikimedia.org/wiki/User:" &amp; ENCODEURL("AntonioEliseo"), "AntonioEliseo")</f>
        <v>AntonioEliseo</v>
      </c>
      <c r="B1784" s="11" t="s">
        <v>3658</v>
      </c>
      <c r="C1784" s="12">
        <v>46203.82996527778</v>
      </c>
      <c r="D1784" s="11" t="s">
        <v>3659</v>
      </c>
      <c r="E1784" s="14" t="s">
        <v>3660</v>
      </c>
      <c r="F1784" s="15" t="s">
        <v>16</v>
      </c>
      <c r="G1784" s="15" t="s">
        <v>17</v>
      </c>
      <c r="H1784" s="15" t="s">
        <v>18</v>
      </c>
      <c r="I1784" s="14" t="str">
        <f>IMAGE("https://upload.wikimedia.org/wikipedia/commons/d/d0/PNN_El_Cocuy.jpg")</f>
        <v/>
      </c>
    </row>
    <row r="1785" ht="36.0" customHeight="1">
      <c r="A1785" s="16" t="str">
        <f>HYPERLINK("https://commons.wikimedia.org/wiki/User:" &amp; ENCODEURL("PauMU86"), "PauMU86")</f>
        <v>PauMU86</v>
      </c>
      <c r="B1785" s="17" t="s">
        <v>3661</v>
      </c>
      <c r="C1785" s="18">
        <v>46171.690462962964</v>
      </c>
      <c r="D1785" s="17" t="s">
        <v>2569</v>
      </c>
      <c r="E1785" s="19" t="s">
        <v>29</v>
      </c>
      <c r="F1785" s="19" t="s">
        <v>30</v>
      </c>
      <c r="G1785" s="20" t="s">
        <v>17</v>
      </c>
      <c r="H1785" s="20" t="s">
        <v>18</v>
      </c>
      <c r="I1785" s="19" t="str">
        <f>IMAGE("https://upload.wikimedia.org/wikipedia/commons/2/20/PNN_Sumapaz.jpg")</f>
        <v/>
      </c>
    </row>
    <row r="1786" ht="36.0" customHeight="1">
      <c r="A1786" s="10" t="str">
        <f>HYPERLINK("https://commons.wikimedia.org/wiki/User:" &amp; ENCODEURL("Leo123qwerty"), "Leo123qwerty")</f>
        <v>Leo123qwerty</v>
      </c>
      <c r="B1786" s="11" t="s">
        <v>3662</v>
      </c>
      <c r="C1786" s="12">
        <v>46201.79178240741</v>
      </c>
      <c r="D1786" s="11" t="s">
        <v>3663</v>
      </c>
      <c r="E1786" s="14" t="s">
        <v>708</v>
      </c>
      <c r="F1786" s="15" t="s">
        <v>16</v>
      </c>
      <c r="G1786" s="15" t="s">
        <v>17</v>
      </c>
      <c r="H1786" s="15" t="s">
        <v>18</v>
      </c>
      <c r="I1786" s="14" t="str">
        <f>IMAGE("https://upload.wikimedia.org/wikipedia/commons/f/f1/Planta_trepadora_en_flor_sobre_tronco.jpg")</f>
        <v/>
      </c>
    </row>
    <row r="1787" ht="36.0" customHeight="1">
      <c r="A1787" s="16" t="str">
        <f>HYPERLINK("https://commons.wikimedia.org/wiki/User:" &amp; ENCODEURL("Nathaly 1106"), "Nathaly 1106")</f>
        <v>Nathaly 1106</v>
      </c>
      <c r="B1787" s="17" t="s">
        <v>3664</v>
      </c>
      <c r="C1787" s="18">
        <v>46148.9571875</v>
      </c>
      <c r="D1787" s="17" t="s">
        <v>3665</v>
      </c>
      <c r="E1787" s="19" t="s">
        <v>29</v>
      </c>
      <c r="F1787" s="19" t="s">
        <v>30</v>
      </c>
      <c r="G1787" s="20" t="s">
        <v>17</v>
      </c>
      <c r="H1787" s="20" t="s">
        <v>18</v>
      </c>
      <c r="I1787" s="19" t="str">
        <f>IMAGE("https://upload.wikimedia.org/wikipedia/commons/1/12/Plantas_nativas.jpg")</f>
        <v/>
      </c>
    </row>
    <row r="1788" ht="36.0" customHeight="1">
      <c r="A1788" s="10" t="str">
        <f>HYPERLINK("https://commons.wikimedia.org/wiki/User:" &amp; ENCODEURL("Tudum1213"), "Tudum1213")</f>
        <v>Tudum1213</v>
      </c>
      <c r="B1788" s="11" t="s">
        <v>3666</v>
      </c>
      <c r="C1788" s="12">
        <v>46163.51164351852</v>
      </c>
      <c r="D1788" s="11" t="s">
        <v>3667</v>
      </c>
      <c r="E1788" s="14" t="s">
        <v>29</v>
      </c>
      <c r="F1788" s="14" t="s">
        <v>30</v>
      </c>
      <c r="G1788" s="15" t="s">
        <v>17</v>
      </c>
      <c r="H1788" s="15" t="s">
        <v>18</v>
      </c>
      <c r="I1788" s="14" t="str">
        <f>IMAGE("https://upload.wikimedia.org/wikipedia/commons/1/1f/Plantas_ruderales_Diente_de_Le%C3%B3n.jpg")</f>
        <v/>
      </c>
    </row>
    <row r="1789" ht="36.0" customHeight="1">
      <c r="A1789" s="16" t="str">
        <f>HYPERLINK("https://commons.wikimedia.org/wiki/User:" &amp; ENCODEURL("Nathaly 1106"), "Nathaly 1106")</f>
        <v>Nathaly 1106</v>
      </c>
      <c r="B1789" s="17" t="s">
        <v>3668</v>
      </c>
      <c r="C1789" s="18">
        <v>46147.60947916667</v>
      </c>
      <c r="D1789" s="17" t="s">
        <v>2182</v>
      </c>
      <c r="E1789" s="19" t="s">
        <v>29</v>
      </c>
      <c r="F1789" s="19" t="s">
        <v>30</v>
      </c>
      <c r="G1789" s="20" t="s">
        <v>17</v>
      </c>
      <c r="H1789" s="20" t="s">
        <v>18</v>
      </c>
      <c r="I1789" s="19" t="str">
        <f>IMAGE("https://upload.wikimedia.org/wikipedia/commons/3/39/Platanillo_%28Heliconia_rostrata%29.jpg")</f>
        <v/>
      </c>
    </row>
    <row r="1790" ht="36.0" customHeight="1">
      <c r="A1790" s="10" t="str">
        <f>HYPERLINK("https://commons.wikimedia.org/wiki/User:" &amp; ENCODEURL("AnaPereaRo"), "AnaPereaRo")</f>
        <v>AnaPereaRo</v>
      </c>
      <c r="B1790" s="11" t="s">
        <v>3669</v>
      </c>
      <c r="C1790" s="12">
        <v>46203.979629629626</v>
      </c>
      <c r="D1790" s="11" t="s">
        <v>3670</v>
      </c>
      <c r="E1790" s="14" t="s">
        <v>29</v>
      </c>
      <c r="F1790" s="14" t="s">
        <v>30</v>
      </c>
      <c r="G1790" s="15" t="s">
        <v>17</v>
      </c>
      <c r="H1790" s="15" t="s">
        <v>18</v>
      </c>
      <c r="I1790" s="14" t="str">
        <f>IMAGE("https://upload.wikimedia.org/wikipedia/commons/b/bd/Platanillo_%28Heliconis_rostrata%29_-_Jard%C3%ADn_bot%C3%A1nico_de_Cali%2C_Colombia.jpg")</f>
        <v/>
      </c>
    </row>
    <row r="1791" ht="36.0" customHeight="1">
      <c r="A1791" s="16" t="str">
        <f>HYPERLINK("https://commons.wikimedia.org/wiki/User:" &amp; ENCODEURL("Supertita"), "Supertita")</f>
        <v>Supertita</v>
      </c>
      <c r="B1791" s="17" t="s">
        <v>3671</v>
      </c>
      <c r="C1791" s="18">
        <v>46192.68439814815</v>
      </c>
      <c r="D1791" s="17" t="s">
        <v>3672</v>
      </c>
      <c r="E1791" s="19" t="s">
        <v>1453</v>
      </c>
      <c r="F1791" s="20" t="s">
        <v>16</v>
      </c>
      <c r="G1791" s="20" t="s">
        <v>17</v>
      </c>
      <c r="H1791" s="20" t="s">
        <v>18</v>
      </c>
      <c r="I1791" s="19" t="str">
        <f>IMAGE("https://upload.wikimedia.org/wikipedia/commons/d/d4/Playa_Parque_Tayrona.jpg")</f>
        <v/>
      </c>
    </row>
    <row r="1792" ht="36.0" customHeight="1">
      <c r="A1792" s="10" t="str">
        <f>HYPERLINK("https://commons.wikimedia.org/wiki/User:" &amp; ENCODEURL("CA3avellaneda"), "CA3avellaneda")</f>
        <v>CA3avellaneda</v>
      </c>
      <c r="B1792" s="11" t="s">
        <v>3673</v>
      </c>
      <c r="C1792" s="12">
        <v>46199.61072916666</v>
      </c>
      <c r="D1792" s="11" t="s">
        <v>3674</v>
      </c>
      <c r="E1792" s="14" t="s">
        <v>3675</v>
      </c>
      <c r="F1792" s="15" t="s">
        <v>16</v>
      </c>
      <c r="G1792" s="15" t="s">
        <v>17</v>
      </c>
      <c r="H1792" s="15" t="s">
        <v>18</v>
      </c>
      <c r="I1792" s="14" t="str">
        <f>IMAGE("https://upload.wikimedia.org/wikipedia/commons/3/3a/Playa_en_Santa_Marta%2C_Colombia%2C_sept_2024.jpg")</f>
        <v/>
      </c>
    </row>
    <row r="1793" ht="36.0" customHeight="1">
      <c r="A1793" s="16" t="str">
        <f t="shared" ref="A1793:A1794" si="227">HYPERLINK("https://commons.wikimedia.org/wiki/User:" &amp; ENCODEURL("Joseeem"), "Joseeem")</f>
        <v>Joseeem</v>
      </c>
      <c r="B1793" s="17" t="s">
        <v>3676</v>
      </c>
      <c r="C1793" s="18">
        <v>46156.94484953704</v>
      </c>
      <c r="D1793" s="17" t="s">
        <v>3677</v>
      </c>
      <c r="E1793" s="19" t="s">
        <v>29</v>
      </c>
      <c r="F1793" s="19" t="s">
        <v>30</v>
      </c>
      <c r="G1793" s="20" t="s">
        <v>17</v>
      </c>
      <c r="H1793" s="20" t="s">
        <v>18</v>
      </c>
      <c r="I1793" s="19" t="str">
        <f>IMAGE("https://upload.wikimedia.org/wikipedia/commons/7/73/Playaca.jpg")</f>
        <v/>
      </c>
    </row>
    <row r="1794" ht="36.0" customHeight="1">
      <c r="A1794" s="10" t="str">
        <f t="shared" si="227"/>
        <v>Joseeem</v>
      </c>
      <c r="B1794" s="11" t="s">
        <v>3678</v>
      </c>
      <c r="C1794" s="12">
        <v>46156.944872685184</v>
      </c>
      <c r="D1794" s="11" t="s">
        <v>3679</v>
      </c>
      <c r="E1794" s="14" t="s">
        <v>29</v>
      </c>
      <c r="F1794" s="14" t="s">
        <v>30</v>
      </c>
      <c r="G1794" s="15" t="s">
        <v>17</v>
      </c>
      <c r="H1794" s="15" t="s">
        <v>18</v>
      </c>
      <c r="I1794" s="14" t="str">
        <f>IMAGE("https://upload.wikimedia.org/wikipedia/commons/8/82/Playaca_Coast.jpg")</f>
        <v/>
      </c>
    </row>
    <row r="1795" ht="36.0" customHeight="1">
      <c r="A1795" s="16" t="str">
        <f>HYPERLINK("https://commons.wikimedia.org/wiki/User:" &amp; ENCODEURL("Project5443"), "Project5443")</f>
        <v>Project5443</v>
      </c>
      <c r="B1795" s="17" t="s">
        <v>3680</v>
      </c>
      <c r="C1795" s="18">
        <v>46163.56587962963</v>
      </c>
      <c r="D1795" s="17" t="s">
        <v>3681</v>
      </c>
      <c r="E1795" s="19" t="s">
        <v>3682</v>
      </c>
      <c r="F1795" s="20" t="s">
        <v>16</v>
      </c>
      <c r="G1795" s="20" t="s">
        <v>17</v>
      </c>
      <c r="H1795" s="20" t="s">
        <v>18</v>
      </c>
      <c r="I1795" s="19" t="str">
        <f>IMAGE("https://upload.wikimedia.org/wikipedia/commons/7/72/Playas_de_Bar%C3%BA.jpg")</f>
        <v/>
      </c>
    </row>
    <row r="1796" ht="36.0" customHeight="1">
      <c r="A1796" s="10" t="str">
        <f>HYPERLINK("https://commons.wikimedia.org/wiki/User:" &amp; ENCODEURL("Nbareschu"), "Nbareschu")</f>
        <v>Nbareschu</v>
      </c>
      <c r="B1796" s="11" t="s">
        <v>3683</v>
      </c>
      <c r="C1796" s="12">
        <v>46149.421331018515</v>
      </c>
      <c r="D1796" s="11" t="s">
        <v>3684</v>
      </c>
      <c r="E1796" s="14" t="s">
        <v>3685</v>
      </c>
      <c r="F1796" s="15" t="s">
        <v>16</v>
      </c>
      <c r="G1796" s="15" t="s">
        <v>17</v>
      </c>
      <c r="H1796" s="15" t="s">
        <v>18</v>
      </c>
      <c r="I1796" s="14" t="str">
        <f>IMAGE("https://upload.wikimedia.org/wikipedia/commons/4/4e/Pleurothallis.jpg")</f>
        <v/>
      </c>
    </row>
    <row r="1797" ht="36.0" customHeight="1">
      <c r="A1797" s="16" t="str">
        <f>HYPERLINK("https://commons.wikimedia.org/wiki/User:" &amp; ENCODEURL("Eumastacidae"), "Eumastacidae")</f>
        <v>Eumastacidae</v>
      </c>
      <c r="B1797" s="17" t="s">
        <v>3686</v>
      </c>
      <c r="C1797" s="18">
        <v>46163.52009259259</v>
      </c>
      <c r="D1797" s="17" t="s">
        <v>3687</v>
      </c>
      <c r="E1797" s="19" t="s">
        <v>29</v>
      </c>
      <c r="F1797" s="19" t="s">
        <v>30</v>
      </c>
      <c r="G1797" s="20" t="s">
        <v>17</v>
      </c>
      <c r="H1797" s="20" t="s">
        <v>18</v>
      </c>
      <c r="I1797" s="19" t="str">
        <f>IMAGE("https://upload.wikimedia.org/wikipedia/commons/9/91/Pleurothallis_sp_en_Bojac%C3%A1.jpg")</f>
        <v/>
      </c>
    </row>
    <row r="1798" ht="36.0" customHeight="1">
      <c r="A1798" s="10" t="str">
        <f t="shared" ref="A1798:A1799" si="228">HYPERLINK("https://commons.wikimedia.org/wiki/User:" &amp; ENCODEURL("AmiGueko"), "AmiGueko")</f>
        <v>AmiGueko</v>
      </c>
      <c r="B1798" s="11" t="s">
        <v>3688</v>
      </c>
      <c r="C1798" s="12">
        <v>46166.57672453704</v>
      </c>
      <c r="D1798" s="11" t="s">
        <v>3689</v>
      </c>
      <c r="E1798" s="14" t="s">
        <v>3690</v>
      </c>
      <c r="F1798" s="15" t="s">
        <v>16</v>
      </c>
      <c r="G1798" s="15" t="s">
        <v>17</v>
      </c>
      <c r="H1798" s="15" t="s">
        <v>18</v>
      </c>
      <c r="I1798" s="14" t="str">
        <f>IMAGE("https://upload.wikimedia.org/wikipedia/commons/b/b5/Polilla_%2880986%29.jpg")</f>
        <v/>
      </c>
    </row>
    <row r="1799" ht="36.0" customHeight="1">
      <c r="A1799" s="16" t="str">
        <f t="shared" si="228"/>
        <v>AmiGueko</v>
      </c>
      <c r="B1799" s="17" t="s">
        <v>3691</v>
      </c>
      <c r="C1799" s="18">
        <v>46166.57664351852</v>
      </c>
      <c r="D1799" s="17" t="s">
        <v>3689</v>
      </c>
      <c r="E1799" s="19" t="s">
        <v>3692</v>
      </c>
      <c r="F1799" s="20" t="s">
        <v>16</v>
      </c>
      <c r="G1799" s="20" t="s">
        <v>17</v>
      </c>
      <c r="H1799" s="20" t="s">
        <v>18</v>
      </c>
      <c r="I1799" s="19" t="str">
        <f>IMAGE("https://upload.wikimedia.org/wikipedia/commons/5/51/Polilla_%2893650%29.jpg")</f>
        <v/>
      </c>
    </row>
    <row r="1800" ht="36.0" customHeight="1">
      <c r="A1800" s="10" t="str">
        <f>HYPERLINK("https://commons.wikimedia.org/wiki/User:" &amp; ENCODEURL("XimmoY"), "XimmoY")</f>
        <v>XimmoY</v>
      </c>
      <c r="B1800" s="11" t="s">
        <v>3693</v>
      </c>
      <c r="C1800" s="12">
        <v>46203.91204861111</v>
      </c>
      <c r="D1800" s="11" t="s">
        <v>3694</v>
      </c>
      <c r="E1800" s="14" t="s">
        <v>669</v>
      </c>
      <c r="F1800" s="15" t="s">
        <v>16</v>
      </c>
      <c r="G1800" s="15" t="s">
        <v>17</v>
      </c>
      <c r="H1800" s="15" t="s">
        <v>18</v>
      </c>
      <c r="I1800" s="14" t="str">
        <f>IMAGE("https://upload.wikimedia.org/wikipedia/commons/f/f8/Polilla_de_solapa.jpg")</f>
        <v/>
      </c>
    </row>
    <row r="1801" ht="36.0" customHeight="1">
      <c r="A1801" s="16" t="str">
        <f>HYPERLINK("https://commons.wikimedia.org/wiki/User:" &amp; ENCODEURL("Jcast07"), "Jcast07")</f>
        <v>Jcast07</v>
      </c>
      <c r="B1801" s="17" t="s">
        <v>3695</v>
      </c>
      <c r="C1801" s="18">
        <v>46198.806655092594</v>
      </c>
      <c r="D1801" s="17" t="s">
        <v>3696</v>
      </c>
      <c r="E1801" s="19" t="s">
        <v>3697</v>
      </c>
      <c r="F1801" s="20" t="s">
        <v>16</v>
      </c>
      <c r="G1801" s="20" t="s">
        <v>17</v>
      </c>
      <c r="H1801" s="20" t="s">
        <v>18</v>
      </c>
      <c r="I1801" s="19" t="str">
        <f>IMAGE("https://upload.wikimedia.org/wikipedia/commons/4/4e/Polinizaci%C3%B3n_en_p%C3%A1ramos.png")</f>
        <v/>
      </c>
    </row>
    <row r="1802" ht="36.0" customHeight="1">
      <c r="A1802" s="10" t="str">
        <f>HYPERLINK("https://commons.wikimedia.org/wiki/User:" &amp; ENCODEURL("Maira Alejandra Restrepo"), "Maira Alejandra Restrepo")</f>
        <v>Maira Alejandra Restrepo</v>
      </c>
      <c r="B1802" s="11" t="s">
        <v>3698</v>
      </c>
      <c r="C1802" s="12">
        <v>46155.81993055555</v>
      </c>
      <c r="D1802" s="11" t="s">
        <v>3699</v>
      </c>
      <c r="E1802" s="14" t="s">
        <v>29</v>
      </c>
      <c r="F1802" s="14" t="s">
        <v>30</v>
      </c>
      <c r="G1802" s="15" t="s">
        <v>17</v>
      </c>
      <c r="H1802" s="15" t="s">
        <v>18</v>
      </c>
      <c r="I1802" s="14" t="str">
        <f>IMAGE("https://upload.wikimedia.org/wikipedia/commons/c/c9/PROMESA_DIVINA_CALI_COLOMBIA.jpg")</f>
        <v/>
      </c>
    </row>
    <row r="1803" ht="36.0" customHeight="1">
      <c r="A1803" s="16" t="str">
        <f>HYPERLINK("https://commons.wikimedia.org/wiki/User:" &amp; ENCODEURL("Moisés Barrera Sogamoso"), "Moisés Barrera Sogamoso")</f>
        <v>Moisés Barrera Sogamoso</v>
      </c>
      <c r="B1803" s="17" t="s">
        <v>3700</v>
      </c>
      <c r="C1803" s="18">
        <v>46146.64145833333</v>
      </c>
      <c r="D1803" s="17" t="s">
        <v>3701</v>
      </c>
      <c r="E1803" s="19" t="s">
        <v>29</v>
      </c>
      <c r="F1803" s="19" t="s">
        <v>30</v>
      </c>
      <c r="G1803" s="20" t="s">
        <v>17</v>
      </c>
      <c r="H1803" s="20" t="s">
        <v>18</v>
      </c>
      <c r="I1803" s="19" t="str">
        <f>IMAGE("https://upload.wikimedia.org/wikipedia/commons/4/49/Pollito_rapaz.png")</f>
        <v/>
      </c>
    </row>
    <row r="1804" ht="36.0" customHeight="1">
      <c r="A1804" s="10" t="str">
        <f>HYPERLINK("https://commons.wikimedia.org/wiki/User:" &amp; ENCODEURL("Sanfelpa"), "Sanfelpa")</f>
        <v>Sanfelpa</v>
      </c>
      <c r="B1804" s="11" t="s">
        <v>3702</v>
      </c>
      <c r="C1804" s="12">
        <v>46194.30266203704</v>
      </c>
      <c r="D1804" s="11" t="s">
        <v>2191</v>
      </c>
      <c r="E1804" s="14" t="s">
        <v>29</v>
      </c>
      <c r="F1804" s="14" t="s">
        <v>30</v>
      </c>
      <c r="G1804" s="15" t="s">
        <v>17</v>
      </c>
      <c r="H1804" s="15" t="s">
        <v>18</v>
      </c>
      <c r="I1804" s="14" t="str">
        <f>IMAGE("https://upload.wikimedia.org/wikipedia/commons/4/43/Polluelos_euphonia_piquigruesa.jpg")</f>
        <v/>
      </c>
    </row>
    <row r="1805" ht="36.0" customHeight="1">
      <c r="A1805" s="16" t="str">
        <f>HYPERLINK("https://commons.wikimedia.org/wiki/User:" &amp; ENCODEURL("Johan Andrés Toro"), "Johan Andrés Toro")</f>
        <v>Johan Andrés Toro</v>
      </c>
      <c r="B1805" s="17" t="s">
        <v>3703</v>
      </c>
      <c r="C1805" s="18">
        <v>46171.555555555555</v>
      </c>
      <c r="D1805" s="17" t="s">
        <v>3704</v>
      </c>
      <c r="E1805" s="19" t="s">
        <v>29</v>
      </c>
      <c r="F1805" s="19" t="s">
        <v>30</v>
      </c>
      <c r="G1805" s="20" t="s">
        <v>17</v>
      </c>
      <c r="H1805" s="20" t="s">
        <v>18</v>
      </c>
      <c r="I1805" s="19" t="str">
        <f>IMAGE("https://upload.wikimedia.org/wikipedia/commons/c/c3/Porcicultura_artesanal_en_comunidades_ribere%C3%B1as.jpg")</f>
        <v/>
      </c>
    </row>
    <row r="1806" ht="36.0" customHeight="1">
      <c r="A1806" s="10" t="str">
        <f>HYPERLINK("https://commons.wikimedia.org/wiki/User:" &amp; ENCODEURL("Crisrueda99"), "Crisrueda99")</f>
        <v>Crisrueda99</v>
      </c>
      <c r="B1806" s="11" t="s">
        <v>3705</v>
      </c>
      <c r="C1806" s="12">
        <v>46173.84475694445</v>
      </c>
      <c r="D1806" s="11" t="s">
        <v>3706</v>
      </c>
      <c r="E1806" s="14" t="s">
        <v>29</v>
      </c>
      <c r="F1806" s="14" t="s">
        <v>30</v>
      </c>
      <c r="G1806" s="15" t="s">
        <v>17</v>
      </c>
      <c r="H1806" s="15" t="s">
        <v>18</v>
      </c>
      <c r="I1806" s="14" t="str">
        <f>IMAGE("https://upload.wikimedia.org/wikipedia/commons/2/2e/Potrillos_en_la_laguna_del_amor.jpg")</f>
        <v/>
      </c>
    </row>
    <row r="1807" ht="36.0" customHeight="1">
      <c r="A1807" s="16" t="str">
        <f>HYPERLINK("https://commons.wikimedia.org/wiki/User:" &amp; ENCODEURL("Mottenpriesterin"), "Mottenpriesterin")</f>
        <v>Mottenpriesterin</v>
      </c>
      <c r="B1807" s="17" t="s">
        <v>3707</v>
      </c>
      <c r="C1807" s="18">
        <v>46202.919953703706</v>
      </c>
      <c r="D1807" s="17" t="s">
        <v>3708</v>
      </c>
      <c r="E1807" s="19" t="s">
        <v>29</v>
      </c>
      <c r="F1807" s="19" t="s">
        <v>30</v>
      </c>
      <c r="G1807" s="20" t="s">
        <v>17</v>
      </c>
      <c r="H1807" s="20" t="s">
        <v>18</v>
      </c>
      <c r="I1807" s="19" t="str">
        <f>IMAGE("https://upload.wikimedia.org/wikipedia/commons/f/fa/Prickly_Pear_Fruits_%28Opuntia%29%2C_near_Villa_de_Leyva%2C_Boyac%C3%A1%2C_2026.jpg")</f>
        <v/>
      </c>
    </row>
    <row r="1808" ht="36.0" customHeight="1">
      <c r="A1808" s="10" t="str">
        <f>HYPERLINK("https://commons.wikimedia.org/wiki/User:" &amp; ENCODEURL("Nathaly 1106"), "Nathaly 1106")</f>
        <v>Nathaly 1106</v>
      </c>
      <c r="B1808" s="11" t="s">
        <v>3709</v>
      </c>
      <c r="C1808" s="12">
        <v>46147.67130787037</v>
      </c>
      <c r="D1808" s="11" t="s">
        <v>3710</v>
      </c>
      <c r="E1808" s="14" t="s">
        <v>29</v>
      </c>
      <c r="F1808" s="14" t="s">
        <v>30</v>
      </c>
      <c r="G1808" s="15" t="s">
        <v>17</v>
      </c>
      <c r="H1808" s="15" t="s">
        <v>18</v>
      </c>
      <c r="I1808" s="14" t="str">
        <f>IMAGE("https://upload.wikimedia.org/wikipedia/commons/a/a6/Pricklypear_%28Cactaceae%29.jpg")</f>
        <v/>
      </c>
    </row>
    <row r="1809" ht="36.0" customHeight="1">
      <c r="A1809" s="16" t="str">
        <f>HYPERLINK("https://commons.wikimedia.org/wiki/User:" &amp; ENCODEURL("AmiGueko"), "AmiGueko")</f>
        <v>AmiGueko</v>
      </c>
      <c r="B1809" s="17" t="s">
        <v>3711</v>
      </c>
      <c r="C1809" s="18">
        <v>46166.561875</v>
      </c>
      <c r="D1809" s="17" t="s">
        <v>3712</v>
      </c>
      <c r="E1809" s="19" t="s">
        <v>3713</v>
      </c>
      <c r="F1809" s="20" t="s">
        <v>16</v>
      </c>
      <c r="G1809" s="20" t="s">
        <v>17</v>
      </c>
      <c r="H1809" s="20" t="s">
        <v>18</v>
      </c>
      <c r="I1809" s="19" t="str">
        <f>IMAGE("https://upload.wikimedia.org/wikipedia/commons/8/89/Primaveras_%2875682%29.jpg")</f>
        <v/>
      </c>
    </row>
    <row r="1810" ht="36.0" customHeight="1">
      <c r="A1810" s="10" t="str">
        <f>HYPERLINK("https://commons.wikimedia.org/wiki/User:" &amp; ENCODEURL("Adrianvargasag"), "Adrianvargasag")</f>
        <v>Adrianvargasag</v>
      </c>
      <c r="B1810" s="11" t="s">
        <v>3714</v>
      </c>
      <c r="C1810" s="12">
        <v>46144.12709490741</v>
      </c>
      <c r="D1810" s="11" t="s">
        <v>3715</v>
      </c>
      <c r="E1810" s="14" t="s">
        <v>3716</v>
      </c>
      <c r="F1810" s="15" t="s">
        <v>16</v>
      </c>
      <c r="G1810" s="15" t="s">
        <v>17</v>
      </c>
      <c r="H1810" s="15" t="s">
        <v>18</v>
      </c>
      <c r="I1810" s="14" t="str">
        <f>IMAGE("https://upload.wikimedia.org/wikipedia/commons/d/d6/Productores_de_vida.jpg")</f>
        <v/>
      </c>
    </row>
    <row r="1811" ht="36.0" customHeight="1">
      <c r="A1811" s="16" t="str">
        <f>HYPERLINK("https://commons.wikimedia.org/wiki/User:" &amp; ENCODEURL("AmiGueko"), "AmiGueko")</f>
        <v>AmiGueko</v>
      </c>
      <c r="B1811" s="17" t="s">
        <v>3717</v>
      </c>
      <c r="C1811" s="18">
        <v>46156.93863425926</v>
      </c>
      <c r="D1811" s="17" t="s">
        <v>3718</v>
      </c>
      <c r="E1811" s="19" t="s">
        <v>3719</v>
      </c>
      <c r="F1811" s="20" t="s">
        <v>16</v>
      </c>
      <c r="G1811" s="20" t="s">
        <v>17</v>
      </c>
      <c r="H1811" s="20" t="s">
        <v>18</v>
      </c>
      <c r="I1811" s="19" t="str">
        <f>IMAGE("https://upload.wikimedia.org/wikipedia/commons/7/7a/Proliferaci%C3%B3n_del_escarabajo_de_hoja_de_menta_azul.jpg")</f>
        <v/>
      </c>
    </row>
    <row r="1812" ht="36.0" customHeight="1">
      <c r="A1812" s="10" t="str">
        <f>HYPERLINK("https://commons.wikimedia.org/wiki/User:" &amp; ENCODEURL("Diferoch"), "Diferoch")</f>
        <v>Diferoch</v>
      </c>
      <c r="B1812" s="11" t="s">
        <v>3720</v>
      </c>
      <c r="C1812" s="12">
        <v>46171.890694444446</v>
      </c>
      <c r="D1812" s="11" t="s">
        <v>3721</v>
      </c>
      <c r="E1812" s="14" t="s">
        <v>3722</v>
      </c>
      <c r="F1812" s="15" t="s">
        <v>16</v>
      </c>
      <c r="G1812" s="15" t="s">
        <v>17</v>
      </c>
      <c r="H1812" s="15" t="s">
        <v>18</v>
      </c>
      <c r="I1812" s="14" t="str">
        <f>IMAGE("https://upload.wikimedia.org/wikipedia/commons/8/84/Proscopiidae_-_Barrancabermeja%2C_Santander%2C_Colombia_-_11_Jun_2025_-_Diferoch.jpg")</f>
        <v/>
      </c>
    </row>
    <row r="1813" ht="36.0" customHeight="1">
      <c r="A1813" s="16" t="str">
        <f>HYPERLINK("https://commons.wikimedia.org/wiki/User:" &amp; ENCODEURL("Nbareschu"), "Nbareschu")</f>
        <v>Nbareschu</v>
      </c>
      <c r="B1813" s="17" t="s">
        <v>3723</v>
      </c>
      <c r="C1813" s="18">
        <v>46149.42138888889</v>
      </c>
      <c r="D1813" s="17" t="s">
        <v>3724</v>
      </c>
      <c r="E1813" s="19" t="s">
        <v>3725</v>
      </c>
      <c r="F1813" s="20" t="s">
        <v>16</v>
      </c>
      <c r="G1813" s="20" t="s">
        <v>17</v>
      </c>
      <c r="H1813" s="20" t="s">
        <v>18</v>
      </c>
      <c r="I1813" s="19" t="str">
        <f>IMAGE("https://upload.wikimedia.org/wikipedia/commons/f/fc/Psammisia.jpg")</f>
        <v/>
      </c>
    </row>
    <row r="1814" ht="36.0" customHeight="1">
      <c r="A1814" s="10" t="str">
        <f>HYPERLINK("https://commons.wikimedia.org/wiki/User:" &amp; ENCODEURL("Jorge Santander fotografía de fauna"), "Jorge Santander fotografía de fauna")</f>
        <v>Jorge Santander fotografía de fauna</v>
      </c>
      <c r="B1814" s="11" t="s">
        <v>3726</v>
      </c>
      <c r="C1814" s="12">
        <v>46203.99333333333</v>
      </c>
      <c r="D1814" s="11" t="s">
        <v>3727</v>
      </c>
      <c r="E1814" s="14" t="s">
        <v>29</v>
      </c>
      <c r="F1814" s="14" t="s">
        <v>30</v>
      </c>
      <c r="G1814" s="15" t="s">
        <v>17</v>
      </c>
      <c r="H1814" s="15" t="s">
        <v>18</v>
      </c>
      <c r="I1814" s="14" t="str">
        <f>IMAGE("https://upload.wikimedia.org/wikipedia/commons/1/1d/Pseudoproscopia.jpg")</f>
        <v/>
      </c>
    </row>
    <row r="1815" ht="36.0" customHeight="1">
      <c r="A1815" s="16" t="str">
        <f>HYPERLINK("https://commons.wikimedia.org/wiki/User:" &amp; ENCODEURL("Saboru Miro"), "Saboru Miro")</f>
        <v>Saboru Miro</v>
      </c>
      <c r="B1815" s="17" t="s">
        <v>3728</v>
      </c>
      <c r="C1815" s="18">
        <v>46143.40876157407</v>
      </c>
      <c r="D1815" s="17" t="s">
        <v>3729</v>
      </c>
      <c r="E1815" s="19" t="s">
        <v>29</v>
      </c>
      <c r="F1815" s="19" t="s">
        <v>30</v>
      </c>
      <c r="G1815" s="20" t="s">
        <v>17</v>
      </c>
      <c r="H1815" s="20" t="s">
        <v>18</v>
      </c>
      <c r="I1815" s="19" t="str">
        <f>IMAGE("https://upload.wikimedia.org/wikipedia/commons/0/0f/Psilocybe_Cubensis_en_Santa_Elena%2C_Antioquia.jpg")</f>
        <v/>
      </c>
    </row>
    <row r="1816" ht="36.0" customHeight="1">
      <c r="A1816" s="10" t="str">
        <f>HYPERLINK("https://commons.wikimedia.org/wiki/User:" &amp; ENCODEURL("Allysami2215"), "Allysami2215")</f>
        <v>Allysami2215</v>
      </c>
      <c r="B1816" s="11" t="s">
        <v>3730</v>
      </c>
      <c r="C1816" s="12">
        <v>46147.85178240741</v>
      </c>
      <c r="D1816" s="11" t="s">
        <v>3731</v>
      </c>
      <c r="E1816" s="14" t="s">
        <v>29</v>
      </c>
      <c r="F1816" s="14" t="s">
        <v>30</v>
      </c>
      <c r="G1816" s="15" t="s">
        <v>17</v>
      </c>
      <c r="H1816" s="15" t="s">
        <v>18</v>
      </c>
      <c r="I1816" s="14" t="str">
        <f>IMAGE("https://upload.wikimedia.org/wikipedia/commons/7/7b/Pueblo_Quiba_cundinamarca.jpg")</f>
        <v/>
      </c>
    </row>
    <row r="1817" ht="36.0" customHeight="1">
      <c r="A1817" s="16" t="str">
        <f>HYPERLINK("https://commons.wikimedia.org/wiki/User:" &amp; ENCODEURL("Mar 21DS"), "Mar 21DS")</f>
        <v>Mar 21DS</v>
      </c>
      <c r="B1817" s="17" t="s">
        <v>3732</v>
      </c>
      <c r="C1817" s="18">
        <v>46163.56233796296</v>
      </c>
      <c r="D1817" s="17" t="s">
        <v>3733</v>
      </c>
      <c r="E1817" s="19" t="s">
        <v>29</v>
      </c>
      <c r="F1817" s="19" t="s">
        <v>30</v>
      </c>
      <c r="G1817" s="20" t="s">
        <v>17</v>
      </c>
      <c r="H1817" s="20" t="s">
        <v>18</v>
      </c>
      <c r="I1817" s="19" t="str">
        <f>IMAGE("https://upload.wikimedia.org/wikipedia/commons/c/c1/Pueblo_de_Guatavita.jpg")</f>
        <v/>
      </c>
    </row>
    <row r="1818" ht="36.0" customHeight="1">
      <c r="A1818" s="10" t="str">
        <f>HYPERLINK("https://commons.wikimedia.org/wiki/User:" &amp; ENCODEURL("Mfrancoavellaneda"), "Mfrancoavellaneda")</f>
        <v>Mfrancoavellaneda</v>
      </c>
      <c r="B1818" s="11" t="s">
        <v>3734</v>
      </c>
      <c r="C1818" s="12">
        <v>46203.71140046296</v>
      </c>
      <c r="D1818" s="11" t="s">
        <v>3735</v>
      </c>
      <c r="E1818" s="14" t="s">
        <v>29</v>
      </c>
      <c r="F1818" s="14" t="s">
        <v>30</v>
      </c>
      <c r="G1818" s="15" t="s">
        <v>17</v>
      </c>
      <c r="H1818" s="15" t="s">
        <v>18</v>
      </c>
      <c r="I1818" s="14" t="str">
        <f>IMAGE("https://upload.wikimedia.org/wikipedia/commons/7/75/Puente_Navarro_Honda-Tolima.jpg")</f>
        <v/>
      </c>
    </row>
    <row r="1819" ht="36.0" customHeight="1">
      <c r="A1819" s="16" t="str">
        <f>HYPERLINK("https://commons.wikimedia.org/wiki/User:" &amp; ENCODEURL("Crisrueda99"), "Crisrueda99")</f>
        <v>Crisrueda99</v>
      </c>
      <c r="B1819" s="17" t="s">
        <v>3736</v>
      </c>
      <c r="C1819" s="18">
        <v>46173.8446875</v>
      </c>
      <c r="D1819" s="17" t="s">
        <v>3737</v>
      </c>
      <c r="E1819" s="19" t="s">
        <v>29</v>
      </c>
      <c r="F1819" s="19" t="s">
        <v>30</v>
      </c>
      <c r="G1819" s="20" t="s">
        <v>17</v>
      </c>
      <c r="H1819" s="20" t="s">
        <v>18</v>
      </c>
      <c r="I1819" s="19" t="str">
        <f>IMAGE("https://upload.wikimedia.org/wikipedia/commons/1/1e/Puente_flotante_en_la_laguna_del_Amor.jpg")</f>
        <v/>
      </c>
    </row>
    <row r="1820" ht="36.0" customHeight="1">
      <c r="A1820" s="10" t="str">
        <f>HYPERLINK("https://commons.wikimedia.org/wiki/User:" &amp; ENCODEURL("Jjtolosa9"), "Jjtolosa9")</f>
        <v>Jjtolosa9</v>
      </c>
      <c r="B1820" s="11" t="s">
        <v>3738</v>
      </c>
      <c r="C1820" s="12">
        <v>46181.80179398148</v>
      </c>
      <c r="D1820" s="11" t="s">
        <v>3739</v>
      </c>
      <c r="E1820" s="14" t="s">
        <v>29</v>
      </c>
      <c r="F1820" s="14" t="s">
        <v>30</v>
      </c>
      <c r="G1820" s="15" t="s">
        <v>17</v>
      </c>
      <c r="H1820" s="15" t="s">
        <v>18</v>
      </c>
      <c r="I1820" s="14" t="str">
        <f>IMAGE("https://upload.wikimedia.org/wikipedia/commons/6/62/Puerto_Bolivar_-_Uribia_LA_GUAJIRA.jpg")</f>
        <v/>
      </c>
    </row>
    <row r="1821" ht="36.0" customHeight="1">
      <c r="A1821" s="16" t="str">
        <f>HYPERLINK("https://commons.wikimedia.org/wiki/User:" &amp; ENCODEURL("Juan Antonio Liévano A"), "Juan Antonio Liévano A")</f>
        <v>Juan Antonio Liévano A</v>
      </c>
      <c r="B1821" s="17" t="s">
        <v>3740</v>
      </c>
      <c r="C1821" s="18">
        <v>46203.580046296294</v>
      </c>
      <c r="D1821" s="17" t="s">
        <v>3741</v>
      </c>
      <c r="E1821" s="19" t="s">
        <v>29</v>
      </c>
      <c r="F1821" s="19" t="s">
        <v>30</v>
      </c>
      <c r="G1821" s="20" t="s">
        <v>17</v>
      </c>
      <c r="H1821" s="20" t="s">
        <v>18</v>
      </c>
      <c r="I1821" s="19" t="str">
        <f>IMAGE("https://upload.wikimedia.org/wikipedia/commons/a/af/Puerto_Remanos_del_Tigre_-_Mira%C3%B1as_PNN_Cahuinari.jpg")</f>
        <v/>
      </c>
    </row>
    <row r="1822" ht="36.0" customHeight="1">
      <c r="A1822" s="10" t="str">
        <f>HYPERLINK("https://commons.wikimedia.org/wiki/User:" &amp; ENCODEURL("AmiGueko"), "AmiGueko")</f>
        <v>AmiGueko</v>
      </c>
      <c r="B1822" s="11" t="s">
        <v>3742</v>
      </c>
      <c r="C1822" s="12">
        <v>46178.39601851852</v>
      </c>
      <c r="D1822" s="11" t="s">
        <v>3743</v>
      </c>
      <c r="E1822" s="14" t="s">
        <v>103</v>
      </c>
      <c r="F1822" s="15" t="s">
        <v>16</v>
      </c>
      <c r="G1822" s="15" t="s">
        <v>17</v>
      </c>
      <c r="H1822" s="15" t="s">
        <v>18</v>
      </c>
      <c r="I1822" s="14" t="str">
        <f>IMAGE("https://upload.wikimedia.org/wikipedia/commons/f/f4/PXL_20260530_165408587.MP.jpg")</f>
        <v/>
      </c>
    </row>
    <row r="1823" ht="36.0" customHeight="1">
      <c r="A1823" s="16" t="str">
        <f>HYPERLINK("https://commons.wikimedia.org/wiki/User:" &amp; ENCODEURL("Juan Antonio Liévano A"), "Juan Antonio Liévano A")</f>
        <v>Juan Antonio Liévano A</v>
      </c>
      <c r="B1823" s="17" t="s">
        <v>3744</v>
      </c>
      <c r="C1823" s="18">
        <v>46203.58001157407</v>
      </c>
      <c r="D1823" s="17" t="s">
        <v>3745</v>
      </c>
      <c r="E1823" s="19" t="s">
        <v>29</v>
      </c>
      <c r="F1823" s="19" t="s">
        <v>30</v>
      </c>
      <c r="G1823" s="20" t="s">
        <v>17</v>
      </c>
      <c r="H1823" s="20" t="s">
        <v>18</v>
      </c>
      <c r="I1823" s="19" t="str">
        <f>IMAGE("https://upload.wikimedia.org/wikipedia/commons/5/5d/Puerto_Remanso_del_Tigre_PNN_Cahuinari.jpg")</f>
        <v/>
      </c>
    </row>
    <row r="1824" ht="36.0" customHeight="1">
      <c r="A1824" s="10" t="str">
        <f>HYPERLINK("https://commons.wikimedia.org/wiki/User:" &amp; ENCODEURL("Juli 2000 her"), "Juli 2000 her")</f>
        <v>Juli 2000 her</v>
      </c>
      <c r="B1824" s="11" t="s">
        <v>3746</v>
      </c>
      <c r="C1824" s="12">
        <v>46189.05503472222</v>
      </c>
      <c r="D1824" s="11" t="s">
        <v>3747</v>
      </c>
      <c r="E1824" s="14" t="s">
        <v>29</v>
      </c>
      <c r="F1824" s="14" t="s">
        <v>30</v>
      </c>
      <c r="G1824" s="15" t="s">
        <v>17</v>
      </c>
      <c r="H1824" s="15" t="s">
        <v>18</v>
      </c>
      <c r="I1824" s="14" t="str">
        <f>IMAGE("https://upload.wikimedia.org/wikipedia/commons/c/c2/Puesta_de_huevos_de_rana_en_cuerpo_de_agua_en_Santander%2C_Colombia.jpg")</f>
        <v/>
      </c>
    </row>
    <row r="1825" ht="36.0" customHeight="1">
      <c r="A1825" s="16" t="str">
        <f>HYPERLINK("https://commons.wikimedia.org/wiki/User:" &amp; ENCODEURL("TeaBonsai"), "TeaBonsai")</f>
        <v>TeaBonsai</v>
      </c>
      <c r="B1825" s="17" t="s">
        <v>3748</v>
      </c>
      <c r="C1825" s="18">
        <v>46193.38964120371</v>
      </c>
      <c r="D1825" s="17" t="s">
        <v>430</v>
      </c>
      <c r="E1825" s="19" t="s">
        <v>29</v>
      </c>
      <c r="F1825" s="19" t="s">
        <v>30</v>
      </c>
      <c r="G1825" s="20" t="s">
        <v>17</v>
      </c>
      <c r="H1825" s="20" t="s">
        <v>18</v>
      </c>
      <c r="I1825" s="19" t="str">
        <f>IMAGE("https://upload.wikimedia.org/wikipedia/commons/9/9d/Puesta_del_sol_en_el_muelle_de_Riohacha_junio_de_2026.jpg")</f>
        <v/>
      </c>
    </row>
    <row r="1826" ht="36.0" customHeight="1">
      <c r="A1826" s="10" t="str">
        <f>HYPERLINK("https://commons.wikimedia.org/wiki/User:" &amp; ENCODEURL("Antoniacorralosorio"), "Antoniacorralosorio")</f>
        <v>Antoniacorralosorio</v>
      </c>
      <c r="B1826" s="11" t="s">
        <v>3749</v>
      </c>
      <c r="C1826" s="12">
        <v>46167.45976851852</v>
      </c>
      <c r="D1826" s="11" t="s">
        <v>3750</v>
      </c>
      <c r="E1826" s="14" t="s">
        <v>3751</v>
      </c>
      <c r="F1826" s="15" t="s">
        <v>16</v>
      </c>
      <c r="G1826" s="15" t="s">
        <v>17</v>
      </c>
      <c r="H1826" s="15" t="s">
        <v>18</v>
      </c>
      <c r="I1826" s="14" t="str">
        <f>IMAGE("https://upload.wikimedia.org/wikipedia/commons/c/cf/Pulmones.jpg")</f>
        <v/>
      </c>
    </row>
    <row r="1827" ht="36.0" customHeight="1">
      <c r="A1827" s="16" t="str">
        <f>HYPERLINK("https://commons.wikimedia.org/wiki/User:" &amp; ENCODEURL("Andres Ggalindo"), "Andres Ggalindo")</f>
        <v>Andres Ggalindo</v>
      </c>
      <c r="B1827" s="17" t="s">
        <v>3752</v>
      </c>
      <c r="C1827" s="18">
        <v>46203.998252314814</v>
      </c>
      <c r="D1827" s="17" t="s">
        <v>3753</v>
      </c>
      <c r="E1827" s="19" t="s">
        <v>29</v>
      </c>
      <c r="F1827" s="19" t="s">
        <v>30</v>
      </c>
      <c r="G1827" s="20" t="s">
        <v>17</v>
      </c>
      <c r="H1827" s="20" t="s">
        <v>18</v>
      </c>
      <c r="I1827" s="19" t="str">
        <f>IMAGE("https://upload.wikimedia.org/wikipedia/commons/8/87/Pulpito_del_diablo_en_el_Parque_Nacional_Natural_El_Cocuy.jpg")</f>
        <v/>
      </c>
    </row>
    <row r="1828" ht="36.0" customHeight="1">
      <c r="A1828" s="10" t="str">
        <f>HYPERLINK("https://commons.wikimedia.org/wiki/User:" &amp; ENCODEURL("Charlesjsharp"), "Charlesjsharp")</f>
        <v>Charlesjsharp</v>
      </c>
      <c r="B1828" s="11" t="s">
        <v>3754</v>
      </c>
      <c r="C1828" s="12">
        <v>46171.64208333333</v>
      </c>
      <c r="D1828" s="11" t="s">
        <v>3755</v>
      </c>
      <c r="E1828" s="14" t="s">
        <v>3756</v>
      </c>
      <c r="F1828" s="15" t="s">
        <v>16</v>
      </c>
      <c r="G1828" s="15" t="s">
        <v>17</v>
      </c>
      <c r="H1828" s="15" t="s">
        <v>18</v>
      </c>
      <c r="I1828" s="14" t="str">
        <f>IMAGE("https://upload.wikimedia.org/wikipedia/commons/e/ea/Purple-throated_woodstar_%28Philodice_mitchellii%29_male_in_flight_Las_Tangaras_2.jpg")</f>
        <v/>
      </c>
    </row>
    <row r="1829" ht="36.0" customHeight="1">
      <c r="A1829" s="16" t="str">
        <f>HYPERLINK("https://commons.wikimedia.org/wiki/User:" &amp; ENCODEURL("JJCL09"), "JJCL09")</f>
        <v>JJCL09</v>
      </c>
      <c r="B1829" s="17" t="s">
        <v>3757</v>
      </c>
      <c r="C1829" s="18">
        <v>46147.88138888889</v>
      </c>
      <c r="D1829" s="17" t="s">
        <v>3758</v>
      </c>
      <c r="E1829" s="19" t="s">
        <v>3759</v>
      </c>
      <c r="F1829" s="20" t="s">
        <v>16</v>
      </c>
      <c r="G1829" s="20" t="s">
        <v>17</v>
      </c>
      <c r="H1829" s="20" t="s">
        <v>18</v>
      </c>
      <c r="I1829" s="19" t="str">
        <f>IMAGE("https://upload.wikimedia.org/wikipedia/commons/3/35/Purple_march.jpg")</f>
        <v/>
      </c>
    </row>
    <row r="1830" ht="36.0" customHeight="1">
      <c r="A1830" s="10" t="str">
        <f>HYPERLINK("https://commons.wikimedia.org/wiki/User:" &amp; ENCODEURL("Mfrancoavellaneda"), "Mfrancoavellaneda")</f>
        <v>Mfrancoavellaneda</v>
      </c>
      <c r="B1830" s="11" t="s">
        <v>3760</v>
      </c>
      <c r="C1830" s="12">
        <v>46203.83819444444</v>
      </c>
      <c r="D1830" s="11" t="s">
        <v>3761</v>
      </c>
      <c r="E1830" s="14" t="s">
        <v>29</v>
      </c>
      <c r="F1830" s="14" t="s">
        <v>30</v>
      </c>
      <c r="G1830" s="15" t="s">
        <v>17</v>
      </c>
      <c r="H1830" s="15" t="s">
        <v>18</v>
      </c>
      <c r="I1830" s="14" t="str">
        <f>IMAGE("https://upload.wikimedia.org/wikipedia/commons/c/cc/Putumayo_camino_cascadas_del_fin_del_mundo.jpg")</f>
        <v/>
      </c>
    </row>
    <row r="1831" ht="36.0" customHeight="1">
      <c r="A1831" s="16" t="str">
        <f>HYPERLINK("https://commons.wikimedia.org/wiki/User:" &amp; ENCODEURL("Juli 2000 her"), "Juli 2000 her")</f>
        <v>Juli 2000 her</v>
      </c>
      <c r="B1831" s="17" t="s">
        <v>3762</v>
      </c>
      <c r="C1831" s="18">
        <v>46189.054189814815</v>
      </c>
      <c r="D1831" s="17" t="s">
        <v>3763</v>
      </c>
      <c r="E1831" s="19" t="s">
        <v>29</v>
      </c>
      <c r="F1831" s="19" t="s">
        <v>30</v>
      </c>
      <c r="G1831" s="20" t="s">
        <v>17</v>
      </c>
      <c r="H1831" s="20" t="s">
        <v>18</v>
      </c>
      <c r="I1831" s="19" t="str">
        <f>IMAGE("https://upload.wikimedia.org/wikipedia/commons/f/fa/Puya_Santos_%28Puya_santosii%29_en_floraci%C3%B3n_en_el_P%C3%A1ramo_de_Matarredonda%2C_Colombia.jpg")</f>
        <v/>
      </c>
    </row>
    <row r="1832" ht="36.0" customHeight="1">
      <c r="A1832" s="10" t="str">
        <f>HYPERLINK("https://commons.wikimedia.org/wiki/User:" &amp; ENCODEURL("Eumastacidae"), "Eumastacidae")</f>
        <v>Eumastacidae</v>
      </c>
      <c r="B1832" s="11" t="s">
        <v>3764</v>
      </c>
      <c r="C1832" s="12">
        <v>46163.558587962965</v>
      </c>
      <c r="D1832" s="11" t="s">
        <v>3765</v>
      </c>
      <c r="E1832" s="14" t="s">
        <v>29</v>
      </c>
      <c r="F1832" s="14" t="s">
        <v>30</v>
      </c>
      <c r="G1832" s="15" t="s">
        <v>17</v>
      </c>
      <c r="H1832" s="15" t="s">
        <v>18</v>
      </c>
      <c r="I1832" s="14" t="str">
        <f>IMAGE("https://upload.wikimedia.org/wikipedia/commons/a/a5/Puya_trianae_florecida.jpg")</f>
        <v/>
      </c>
    </row>
    <row r="1833" ht="36.0" customHeight="1">
      <c r="A1833" s="16" t="str">
        <f>HYPERLINK("https://commons.wikimedia.org/wiki/User:" &amp; ENCODEURL("Diferoch"), "Diferoch")</f>
        <v>Diferoch</v>
      </c>
      <c r="B1833" s="17" t="s">
        <v>3766</v>
      </c>
      <c r="C1833" s="18">
        <v>46202.93497685185</v>
      </c>
      <c r="D1833" s="17" t="s">
        <v>3767</v>
      </c>
      <c r="E1833" s="19" t="s">
        <v>3768</v>
      </c>
      <c r="F1833" s="20" t="s">
        <v>16</v>
      </c>
      <c r="G1833" s="20" t="s">
        <v>17</v>
      </c>
      <c r="H1833" s="20" t="s">
        <v>18</v>
      </c>
      <c r="I1833" s="19" t="str">
        <f>IMAGE("https://upload.wikimedia.org/wikipedia/commons/d/d9/Pyrocephalus_rubinus_piurae_-_Barrancabermeja%2C_Santander%2C_Colombia_-_31_Dec_2025_-_Diferoch.jpg")</f>
        <v/>
      </c>
    </row>
    <row r="1834" ht="36.0" customHeight="1">
      <c r="A1834" s="10" t="str">
        <f>HYPERLINK("https://commons.wikimedia.org/wiki/User:" &amp; ENCODEURL("Maracome"), "Maracome")</f>
        <v>Maracome</v>
      </c>
      <c r="B1834" s="11" t="s">
        <v>3769</v>
      </c>
      <c r="C1834" s="12">
        <v>46149.95302083333</v>
      </c>
      <c r="D1834" s="11" t="s">
        <v>3770</v>
      </c>
      <c r="E1834" s="14" t="s">
        <v>29</v>
      </c>
      <c r="F1834" s="14" t="s">
        <v>30</v>
      </c>
      <c r="G1834" s="15" t="s">
        <v>17</v>
      </c>
      <c r="H1834" s="15" t="s">
        <v>18</v>
      </c>
      <c r="I1834" s="14" t="str">
        <f>IMAGE("https://upload.wikimedia.org/wikipedia/commons/2/2e/P%C3%A1jaro_Barranquero.jpg")</f>
        <v/>
      </c>
    </row>
    <row r="1835" ht="36.0" customHeight="1">
      <c r="A1835" s="16" t="str">
        <f>HYPERLINK("https://commons.wikimedia.org/wiki/User:" &amp; ENCODEURL("Jeffmanh"), "Jeffmanh")</f>
        <v>Jeffmanh</v>
      </c>
      <c r="B1835" s="17" t="s">
        <v>3771</v>
      </c>
      <c r="C1835" s="18">
        <v>46199.02457175926</v>
      </c>
      <c r="D1835" s="17" t="s">
        <v>3772</v>
      </c>
      <c r="E1835" s="19" t="s">
        <v>29</v>
      </c>
      <c r="F1835" s="19" t="s">
        <v>30</v>
      </c>
      <c r="G1835" s="20" t="s">
        <v>17</v>
      </c>
      <c r="H1835" s="20" t="s">
        <v>18</v>
      </c>
      <c r="I1835" s="19" t="str">
        <f>IMAGE("https://upload.wikimedia.org/wikipedia/commons/0/0e/P%C3%A1jaro_Barranquero_Parqu%C3%A9_Arvi.jpg")</f>
        <v/>
      </c>
    </row>
    <row r="1836" ht="36.0" customHeight="1">
      <c r="A1836" s="10" t="str">
        <f>HYPERLINK("https://commons.wikimedia.org/wiki/User:" &amp; ENCODEURL("Nbareschu"), "Nbareschu")</f>
        <v>Nbareschu</v>
      </c>
      <c r="B1836" s="11" t="s">
        <v>3773</v>
      </c>
      <c r="C1836" s="12">
        <v>46149.42144675926</v>
      </c>
      <c r="D1836" s="11" t="s">
        <v>3774</v>
      </c>
      <c r="E1836" s="14" t="s">
        <v>3775</v>
      </c>
      <c r="F1836" s="15" t="s">
        <v>16</v>
      </c>
      <c r="G1836" s="15" t="s">
        <v>17</v>
      </c>
      <c r="H1836" s="15" t="s">
        <v>18</v>
      </c>
      <c r="I1836" s="14" t="str">
        <f>IMAGE("https://upload.wikimedia.org/wikipedia/commons/a/ad/P%C3%A1jaro_g%C3%BCican.jpg")</f>
        <v/>
      </c>
    </row>
    <row r="1837" ht="36.0" customHeight="1">
      <c r="A1837" s="16" t="str">
        <f>HYPERLINK("https://commons.wikimedia.org/wiki/User:" &amp; ENCODEURL("Tannhauser33"), "Tannhauser33")</f>
        <v>Tannhauser33</v>
      </c>
      <c r="B1837" s="17" t="s">
        <v>3776</v>
      </c>
      <c r="C1837" s="18">
        <v>46188.535520833335</v>
      </c>
      <c r="D1837" s="17" t="s">
        <v>3777</v>
      </c>
      <c r="E1837" s="19" t="s">
        <v>29</v>
      </c>
      <c r="F1837" s="19" t="s">
        <v>30</v>
      </c>
      <c r="G1837" s="20" t="s">
        <v>17</v>
      </c>
      <c r="H1837" s="20" t="s">
        <v>18</v>
      </c>
      <c r="I1837" s="19" t="str">
        <f>IMAGE("https://upload.wikimedia.org/wikipedia/commons/e/ec/P%C3%A1ramo_El_Consuelo%2C_Boyac%C3%A1%2C_Colombia.jpg")</f>
        <v/>
      </c>
    </row>
    <row r="1838" ht="36.0" customHeight="1">
      <c r="A1838" s="10" t="str">
        <f>HYPERLINK("https://commons.wikimedia.org/wiki/User:" &amp; ENCODEURL("JuanitoCISF"), "JuanitoCISF")</f>
        <v>JuanitoCISF</v>
      </c>
      <c r="B1838" s="11" t="s">
        <v>3778</v>
      </c>
      <c r="C1838" s="12">
        <v>46170.43733796296</v>
      </c>
      <c r="D1838" s="11" t="s">
        <v>3779</v>
      </c>
      <c r="E1838" s="14" t="s">
        <v>3780</v>
      </c>
      <c r="F1838" s="15" t="s">
        <v>16</v>
      </c>
      <c r="G1838" s="15" t="s">
        <v>17</v>
      </c>
      <c r="H1838" s="15" t="s">
        <v>18</v>
      </c>
      <c r="I1838" s="14" t="str">
        <f>IMAGE("https://upload.wikimedia.org/wikipedia/commons/c/cb/P%C3%A1ramo_Guerrero.jpg")</f>
        <v/>
      </c>
    </row>
    <row r="1839" ht="36.0" customHeight="1">
      <c r="A1839" s="16" t="str">
        <f>HYPERLINK("https://commons.wikimedia.org/wiki/User:" &amp; ENCODEURL("Nathaly 1106"), "Nathaly 1106")</f>
        <v>Nathaly 1106</v>
      </c>
      <c r="B1839" s="17" t="s">
        <v>3781</v>
      </c>
      <c r="C1839" s="18">
        <v>46198.50177083333</v>
      </c>
      <c r="D1839" s="17" t="s">
        <v>3782</v>
      </c>
      <c r="E1839" s="19" t="s">
        <v>29</v>
      </c>
      <c r="F1839" s="19" t="s">
        <v>30</v>
      </c>
      <c r="G1839" s="20" t="s">
        <v>17</v>
      </c>
      <c r="H1839" s="20" t="s">
        <v>18</v>
      </c>
      <c r="I1839" s="19" t="str">
        <f>IMAGE("https://upload.wikimedia.org/wikipedia/commons/2/20/P%C3%A1ramo_de_Chingaza.jpg")</f>
        <v/>
      </c>
    </row>
    <row r="1840" ht="36.0" customHeight="1">
      <c r="A1840" s="10" t="str">
        <f>HYPERLINK("https://commons.wikimedia.org/wiki/User:" &amp; ENCODEURL("Tannhauser33"), "Tannhauser33")</f>
        <v>Tannhauser33</v>
      </c>
      <c r="B1840" s="11" t="s">
        <v>3783</v>
      </c>
      <c r="C1840" s="12">
        <v>46202.89900462963</v>
      </c>
      <c r="D1840" s="11" t="s">
        <v>3784</v>
      </c>
      <c r="E1840" s="14" t="s">
        <v>29</v>
      </c>
      <c r="F1840" s="14" t="s">
        <v>30</v>
      </c>
      <c r="G1840" s="15" t="s">
        <v>17</v>
      </c>
      <c r="H1840" s="15" t="s">
        <v>18</v>
      </c>
      <c r="I1840" s="14" t="str">
        <f>IMAGE("https://upload.wikimedia.org/wikipedia/commons/b/b1/P%C3%A1ramo_de_Ocet%C3%A1_y_Laguna_Negra_Mongua%2C_Boyac%C3%A1.jpg")</f>
        <v/>
      </c>
    </row>
    <row r="1841" ht="36.0" customHeight="1">
      <c r="A1841" s="16" t="str">
        <f>HYPERLINK("https://commons.wikimedia.org/wiki/User:" &amp; ENCODEURL("Viv Fa"), "Viv Fa")</f>
        <v>Viv Fa</v>
      </c>
      <c r="B1841" s="17" t="s">
        <v>3785</v>
      </c>
      <c r="C1841" s="18">
        <v>46197.541597222225</v>
      </c>
      <c r="D1841" s="17" t="s">
        <v>3786</v>
      </c>
      <c r="E1841" s="19" t="s">
        <v>29</v>
      </c>
      <c r="F1841" s="19" t="s">
        <v>30</v>
      </c>
      <c r="G1841" s="20" t="s">
        <v>17</v>
      </c>
      <c r="H1841" s="20" t="s">
        <v>18</v>
      </c>
      <c r="I1841" s="19" t="str">
        <f>IMAGE("https://upload.wikimedia.org/wikipedia/commons/a/ae/P%C3%A1ramo_el_tablazo.jpg")</f>
        <v/>
      </c>
    </row>
    <row r="1842" ht="36.0" customHeight="1">
      <c r="A1842" s="10" t="str">
        <f>HYPERLINK("https://commons.wikimedia.org/wiki/User:" &amp; ENCODEURL("Tannhauser33"), "Tannhauser33")</f>
        <v>Tannhauser33</v>
      </c>
      <c r="B1842" s="11" t="s">
        <v>3787</v>
      </c>
      <c r="C1842" s="12">
        <v>46202.92076388889</v>
      </c>
      <c r="D1842" s="11" t="s">
        <v>3788</v>
      </c>
      <c r="E1842" s="14" t="s">
        <v>29</v>
      </c>
      <c r="F1842" s="14" t="s">
        <v>30</v>
      </c>
      <c r="G1842" s="15" t="s">
        <v>17</v>
      </c>
      <c r="H1842" s="15" t="s">
        <v>18</v>
      </c>
      <c r="I1842" s="14" t="str">
        <f>IMAGE("https://upload.wikimedia.org/wikipedia/commons/3/33/P%C3%A1ramo_La_Cortadora_Siachoque_Boyac%C3%A1.jpg")</f>
        <v/>
      </c>
    </row>
    <row r="1843" ht="36.0" customHeight="1">
      <c r="A1843" s="16" t="str">
        <f t="shared" ref="A1843:A1844" si="229">HYPERLINK("https://commons.wikimedia.org/wiki/User:" &amp; ENCODEURL("Mfrancoavellaneda"), "Mfrancoavellaneda")</f>
        <v>Mfrancoavellaneda</v>
      </c>
      <c r="B1843" s="17" t="s">
        <v>3789</v>
      </c>
      <c r="C1843" s="18">
        <v>46203.838113425925</v>
      </c>
      <c r="D1843" s="17" t="s">
        <v>3790</v>
      </c>
      <c r="E1843" s="19" t="s">
        <v>29</v>
      </c>
      <c r="F1843" s="19" t="s">
        <v>30</v>
      </c>
      <c r="G1843" s="20" t="s">
        <v>17</v>
      </c>
      <c r="H1843" s="20" t="s">
        <v>18</v>
      </c>
      <c r="I1843" s="19" t="str">
        <f>IMAGE("https://upload.wikimedia.org/wikipedia/commons/5/50/P%C3%A1ramo_sierra_nevada_del_Cocuy_y_Guican.jpg")</f>
        <v/>
      </c>
    </row>
    <row r="1844" ht="36.0" customHeight="1">
      <c r="A1844" s="10" t="str">
        <f t="shared" si="229"/>
        <v>Mfrancoavellaneda</v>
      </c>
      <c r="B1844" s="11" t="s">
        <v>3791</v>
      </c>
      <c r="C1844" s="12">
        <v>46203.838113425925</v>
      </c>
      <c r="D1844" s="11" t="s">
        <v>3792</v>
      </c>
      <c r="E1844" s="14" t="s">
        <v>29</v>
      </c>
      <c r="F1844" s="14" t="s">
        <v>30</v>
      </c>
      <c r="G1844" s="15" t="s">
        <v>17</v>
      </c>
      <c r="H1844" s="15" t="s">
        <v>18</v>
      </c>
      <c r="I1844" s="14" t="str">
        <f>IMAGE("https://upload.wikimedia.org/wikipedia/commons/d/d8/P%C3%A1ramo_sierra_nevada_del_Cocuy_y_G%C3%BCic%C3%A1n_2019.jpg")</f>
        <v/>
      </c>
    </row>
    <row r="1845" ht="36.0" customHeight="1">
      <c r="A1845" s="16" t="str">
        <f>HYPERLINK("https://commons.wikimedia.org/wiki/User:" &amp; ENCODEURL("JuanitoCISF"), "JuanitoCISF")</f>
        <v>JuanitoCISF</v>
      </c>
      <c r="B1845" s="17" t="s">
        <v>3793</v>
      </c>
      <c r="C1845" s="18">
        <v>46170.45259259259</v>
      </c>
      <c r="D1845" s="17" t="s">
        <v>3794</v>
      </c>
      <c r="E1845" s="19" t="s">
        <v>3795</v>
      </c>
      <c r="F1845" s="20" t="s">
        <v>16</v>
      </c>
      <c r="G1845" s="20" t="s">
        <v>17</v>
      </c>
      <c r="H1845" s="20" t="s">
        <v>18</v>
      </c>
      <c r="I1845" s="19" t="str">
        <f>IMAGE("https://upload.wikimedia.org/wikipedia/commons/3/36/P%C3%A9guela_amiga.jpg")</f>
        <v/>
      </c>
    </row>
    <row r="1846" ht="36.0" customHeight="1">
      <c r="A1846" s="10" t="str">
        <f>HYPERLINK("https://commons.wikimedia.org/wiki/User:" &amp; ENCODEURL("VirginiaClavijo"), "VirginiaClavijo")</f>
        <v>VirginiaClavijo</v>
      </c>
      <c r="B1846" s="11" t="s">
        <v>3796</v>
      </c>
      <c r="C1846" s="12">
        <v>46167.663993055554</v>
      </c>
      <c r="D1846" s="11" t="s">
        <v>3797</v>
      </c>
      <c r="E1846" s="14" t="s">
        <v>29</v>
      </c>
      <c r="F1846" s="14" t="s">
        <v>30</v>
      </c>
      <c r="G1846" s="15" t="s">
        <v>17</v>
      </c>
      <c r="H1846" s="15" t="s">
        <v>18</v>
      </c>
      <c r="I1846" s="14" t="str">
        <f>IMAGE("https://upload.wikimedia.org/wikipedia/commons/3/3d/Quebadas_el_tambo.jpg")</f>
        <v/>
      </c>
    </row>
    <row r="1847" ht="36.0" customHeight="1">
      <c r="A1847" s="16" t="str">
        <f>HYPERLINK("https://commons.wikimedia.org/wiki/User:" &amp; ENCODEURL("Juan Antonio Liévano A"), "Juan Antonio Liévano A")</f>
        <v>Juan Antonio Liévano A</v>
      </c>
      <c r="B1847" s="17" t="s">
        <v>3798</v>
      </c>
      <c r="C1847" s="18">
        <v>46203.579976851855</v>
      </c>
      <c r="D1847" s="17" t="s">
        <v>3741</v>
      </c>
      <c r="E1847" s="19" t="s">
        <v>29</v>
      </c>
      <c r="F1847" s="19" t="s">
        <v>30</v>
      </c>
      <c r="G1847" s="20" t="s">
        <v>17</v>
      </c>
      <c r="H1847" s="20" t="s">
        <v>18</v>
      </c>
      <c r="I1847" s="19" t="str">
        <f>IMAGE("https://upload.wikimedia.org/wikipedia/commons/1/16/Quebrada_del_Sol_PNN_Cahuinari_AutorJuanAntonioLievanoAlzate_01.jpg")</f>
        <v/>
      </c>
    </row>
    <row r="1848" ht="36.0" customHeight="1">
      <c r="A1848" s="10" t="str">
        <f>HYPERLINK("https://commons.wikimedia.org/wiki/User:" &amp; ENCODEURL("Mar 21DS"), "Mar 21DS")</f>
        <v>Mar 21DS</v>
      </c>
      <c r="B1848" s="11" t="s">
        <v>3799</v>
      </c>
      <c r="C1848" s="12">
        <v>46163.56236111111</v>
      </c>
      <c r="D1848" s="11" t="s">
        <v>3800</v>
      </c>
      <c r="E1848" s="14" t="s">
        <v>29</v>
      </c>
      <c r="F1848" s="14" t="s">
        <v>30</v>
      </c>
      <c r="G1848" s="15" t="s">
        <v>17</v>
      </c>
      <c r="H1848" s="15" t="s">
        <v>18</v>
      </c>
      <c r="I1848" s="14" t="str">
        <f>IMAGE("https://upload.wikimedia.org/wikipedia/commons/1/14/Quebrada_valencia_santa_marta.jpg")</f>
        <v/>
      </c>
    </row>
    <row r="1849" ht="36.0" customHeight="1">
      <c r="A1849" s="16" t="str">
        <f t="shared" ref="A1849:A1852" si="230">HYPERLINK("https://commons.wikimedia.org/wiki/User:" &amp; ENCODEURL("MemoOssa"), "MemoOssa")</f>
        <v>MemoOssa</v>
      </c>
      <c r="B1849" s="17" t="s">
        <v>3801</v>
      </c>
      <c r="C1849" s="18">
        <v>46176.773981481485</v>
      </c>
      <c r="D1849" s="17" t="s">
        <v>3802</v>
      </c>
      <c r="E1849" s="19" t="s">
        <v>29</v>
      </c>
      <c r="F1849" s="19" t="s">
        <v>30</v>
      </c>
      <c r="G1849" s="20" t="s">
        <v>17</v>
      </c>
      <c r="H1849" s="20" t="s">
        <v>18</v>
      </c>
      <c r="I1849" s="19" t="str">
        <f>IMAGE("https://upload.wikimedia.org/wikipedia/commons/f/f3/Quetzal_Colinegro_%28Pharomachrus_auriceps%29.jpg")</f>
        <v/>
      </c>
    </row>
    <row r="1850" ht="36.0" customHeight="1">
      <c r="A1850" s="10" t="str">
        <f t="shared" si="230"/>
        <v>MemoOssa</v>
      </c>
      <c r="B1850" s="11" t="s">
        <v>3803</v>
      </c>
      <c r="C1850" s="12">
        <v>46176.77402777778</v>
      </c>
      <c r="D1850" s="11" t="s">
        <v>3804</v>
      </c>
      <c r="E1850" s="14" t="s">
        <v>29</v>
      </c>
      <c r="F1850" s="14" t="s">
        <v>30</v>
      </c>
      <c r="G1850" s="15" t="s">
        <v>17</v>
      </c>
      <c r="H1850" s="15" t="s">
        <v>18</v>
      </c>
      <c r="I1850" s="14" t="str">
        <f>IMAGE("https://upload.wikimedia.org/wikipedia/commons/6/6c/Quetzal_Colinegro_%28Pharomachrus_auriceps%29_canta_en_una_rama_de_un_%C3%A1rbol.jpg")</f>
        <v/>
      </c>
    </row>
    <row r="1851" ht="36.0" customHeight="1">
      <c r="A1851" s="16" t="str">
        <f t="shared" si="230"/>
        <v>MemoOssa</v>
      </c>
      <c r="B1851" s="17" t="s">
        <v>3805</v>
      </c>
      <c r="C1851" s="18">
        <v>46176.77400462963</v>
      </c>
      <c r="D1851" s="17" t="s">
        <v>3804</v>
      </c>
      <c r="E1851" s="19" t="s">
        <v>29</v>
      </c>
      <c r="F1851" s="19" t="s">
        <v>30</v>
      </c>
      <c r="G1851" s="20" t="s">
        <v>17</v>
      </c>
      <c r="H1851" s="20" t="s">
        <v>18</v>
      </c>
      <c r="I1851" s="19" t="str">
        <f>IMAGE("https://upload.wikimedia.org/wikipedia/commons/f/fc/Quetzal_Colinegro_%28Pharomachrus_auriceps%29_se_percha_en_una_rama.jpg")</f>
        <v/>
      </c>
    </row>
    <row r="1852" ht="36.0" customHeight="1">
      <c r="A1852" s="10" t="str">
        <f t="shared" si="230"/>
        <v>MemoOssa</v>
      </c>
      <c r="B1852" s="11" t="s">
        <v>3806</v>
      </c>
      <c r="C1852" s="12">
        <v>46176.773981481485</v>
      </c>
      <c r="D1852" s="11" t="s">
        <v>3804</v>
      </c>
      <c r="E1852" s="14" t="s">
        <v>29</v>
      </c>
      <c r="F1852" s="14" t="s">
        <v>30</v>
      </c>
      <c r="G1852" s="15" t="s">
        <v>17</v>
      </c>
      <c r="H1852" s="15" t="s">
        <v>18</v>
      </c>
      <c r="I1852" s="14" t="str">
        <f>IMAGE("https://upload.wikimedia.org/wikipedia/commons/c/c8/Quetzal_Colinegro_%28Pharomachrus_auriceps%29_vuela_hacia_su_nido.jpg")</f>
        <v/>
      </c>
    </row>
    <row r="1853" ht="36.0" customHeight="1">
      <c r="A1853" s="16" t="str">
        <f>HYPERLINK("https://commons.wikimedia.org/wiki/User:" &amp; ENCODEURL("Zolsemiya"), "Zolsemiya")</f>
        <v>Zolsemiya</v>
      </c>
      <c r="B1853" s="17" t="s">
        <v>3807</v>
      </c>
      <c r="C1853" s="18">
        <v>46203.749131944445</v>
      </c>
      <c r="D1853" s="17" t="s">
        <v>3808</v>
      </c>
      <c r="E1853" s="19" t="s">
        <v>1430</v>
      </c>
      <c r="F1853" s="20" t="s">
        <v>16</v>
      </c>
      <c r="G1853" s="20" t="s">
        <v>17</v>
      </c>
      <c r="H1853" s="20" t="s">
        <v>18</v>
      </c>
      <c r="I1853" s="19" t="str">
        <f>IMAGE("https://upload.wikimedia.org/wikipedia/commons/5/50/Quinoa_florecida.jpg")</f>
        <v/>
      </c>
    </row>
    <row r="1854" ht="36.0" customHeight="1">
      <c r="A1854" s="10" t="str">
        <f t="shared" ref="A1854:A1856" si="231">HYPERLINK("https://commons.wikimedia.org/wiki/User:" &amp; ENCODEURL("Diferoch"), "Diferoch")</f>
        <v>Diferoch</v>
      </c>
      <c r="B1854" s="11" t="s">
        <v>3809</v>
      </c>
      <c r="C1854" s="12">
        <v>46179.91133101852</v>
      </c>
      <c r="D1854" s="11" t="s">
        <v>3810</v>
      </c>
      <c r="E1854" s="14" t="s">
        <v>3811</v>
      </c>
      <c r="F1854" s="15" t="s">
        <v>16</v>
      </c>
      <c r="G1854" s="15" t="s">
        <v>17</v>
      </c>
      <c r="H1854" s="15" t="s">
        <v>18</v>
      </c>
      <c r="I1854" s="14" t="str">
        <f>IMAGE("https://upload.wikimedia.org/wikipedia/commons/8/84/Quiscalus_mexicanus_peruvianus_-_Santa_Marta%2C_Magdalena%2C_Colombia_-_22_Jun_2025_-_Diferoch_-_1.jpg")</f>
        <v/>
      </c>
    </row>
    <row r="1855" ht="36.0" customHeight="1">
      <c r="A1855" s="16" t="str">
        <f t="shared" si="231"/>
        <v>Diferoch</v>
      </c>
      <c r="B1855" s="17" t="s">
        <v>3812</v>
      </c>
      <c r="C1855" s="18">
        <v>46179.91133101852</v>
      </c>
      <c r="D1855" s="17" t="s">
        <v>3813</v>
      </c>
      <c r="E1855" s="19" t="s">
        <v>3811</v>
      </c>
      <c r="F1855" s="20" t="s">
        <v>16</v>
      </c>
      <c r="G1855" s="20" t="s">
        <v>17</v>
      </c>
      <c r="H1855" s="20" t="s">
        <v>18</v>
      </c>
      <c r="I1855" s="19" t="str">
        <f>IMAGE("https://upload.wikimedia.org/wikipedia/commons/8/86/Quiscalus_mexicanus_peruvianus_-_Santa_Marta%2C_Magdalena%2C_Colombia_-_22_Jun_2025_-_Diferoch_-_2.jpg")</f>
        <v/>
      </c>
    </row>
    <row r="1856" ht="36.0" customHeight="1">
      <c r="A1856" s="10" t="str">
        <f t="shared" si="231"/>
        <v>Diferoch</v>
      </c>
      <c r="B1856" s="11" t="s">
        <v>3814</v>
      </c>
      <c r="C1856" s="12">
        <v>46179.91133101852</v>
      </c>
      <c r="D1856" s="11" t="s">
        <v>3815</v>
      </c>
      <c r="E1856" s="14" t="s">
        <v>3811</v>
      </c>
      <c r="F1856" s="15" t="s">
        <v>16</v>
      </c>
      <c r="G1856" s="15" t="s">
        <v>17</v>
      </c>
      <c r="H1856" s="15" t="s">
        <v>18</v>
      </c>
      <c r="I1856" s="14" t="str">
        <f>IMAGE("https://upload.wikimedia.org/wikipedia/commons/4/47/Quiscalus_mexicanus_peruvianus_-_Santa_Marta%2C_Magdalena%2C_Colombia_-_22_Jun_2025_-_Diferoch_-_3.jpg")</f>
        <v/>
      </c>
    </row>
    <row r="1857" ht="36.0" customHeight="1">
      <c r="A1857" s="16" t="str">
        <f>HYPERLINK("https://commons.wikimedia.org/wiki/User:" &amp; ENCODEURL("Nathaly 1106"), "Nathaly 1106")</f>
        <v>Nathaly 1106</v>
      </c>
      <c r="B1857" s="17" t="s">
        <v>3816</v>
      </c>
      <c r="C1857" s="18">
        <v>46147.671435185184</v>
      </c>
      <c r="D1857" s="17" t="s">
        <v>3817</v>
      </c>
      <c r="E1857" s="19" t="s">
        <v>29</v>
      </c>
      <c r="F1857" s="19" t="s">
        <v>30</v>
      </c>
      <c r="G1857" s="20" t="s">
        <v>17</v>
      </c>
      <c r="H1857" s="20" t="s">
        <v>18</v>
      </c>
      <c r="I1857" s="19" t="str">
        <f>IMAGE("https://upload.wikimedia.org/wikipedia/commons/a/a9/Rabo_de_gallo_%28Lauraceae%29.jpg")</f>
        <v/>
      </c>
    </row>
    <row r="1858" ht="36.0" customHeight="1">
      <c r="A1858" s="10" t="str">
        <f>HYPERLINK("https://commons.wikimedia.org/wiki/User:" &amp; ENCODEURL("Jukaper23"), "Jukaper23")</f>
        <v>Jukaper23</v>
      </c>
      <c r="B1858" s="11" t="s">
        <v>3818</v>
      </c>
      <c r="C1858" s="12">
        <v>46201.53802083333</v>
      </c>
      <c r="D1858" s="11" t="s">
        <v>3819</v>
      </c>
      <c r="E1858" s="14" t="s">
        <v>29</v>
      </c>
      <c r="F1858" s="14" t="s">
        <v>30</v>
      </c>
      <c r="G1858" s="15" t="s">
        <v>17</v>
      </c>
      <c r="H1858" s="15" t="s">
        <v>18</v>
      </c>
      <c r="I1858" s="14" t="str">
        <f>IMAGE("https://upload.wikimedia.org/wikipedia/commons/d/da/Rainbow_2026-06-23.jpg")</f>
        <v/>
      </c>
    </row>
    <row r="1859" ht="36.0" customHeight="1">
      <c r="A1859" s="16" t="str">
        <f>HYPERLINK("https://commons.wikimedia.org/wiki/User:" &amp; ENCODEURL("Karumain"), "Karumain")</f>
        <v>Karumain</v>
      </c>
      <c r="B1859" s="17" t="s">
        <v>3820</v>
      </c>
      <c r="C1859" s="18">
        <v>46163.5596875</v>
      </c>
      <c r="D1859" s="17" t="s">
        <v>3821</v>
      </c>
      <c r="E1859" s="19" t="s">
        <v>29</v>
      </c>
      <c r="F1859" s="19" t="s">
        <v>30</v>
      </c>
      <c r="G1859" s="20" t="s">
        <v>17</v>
      </c>
      <c r="H1859" s="20" t="s">
        <v>18</v>
      </c>
      <c r="I1859" s="19" t="str">
        <f>IMAGE("https://upload.wikimedia.org/wikipedia/commons/8/8c/Rama_de_Eucalipto.jpg")</f>
        <v/>
      </c>
    </row>
    <row r="1860" ht="36.0" customHeight="1">
      <c r="A1860" s="10" t="str">
        <f>HYPERLINK("https://commons.wikimedia.org/wiki/User:" &amp; ENCODEURL("XimmoY"), "XimmoY")</f>
        <v>XimmoY</v>
      </c>
      <c r="B1860" s="11" t="s">
        <v>3822</v>
      </c>
      <c r="C1860" s="12">
        <v>46203.94248842593</v>
      </c>
      <c r="D1860" s="11" t="s">
        <v>3823</v>
      </c>
      <c r="E1860" s="14" t="s">
        <v>184</v>
      </c>
      <c r="F1860" s="15" t="s">
        <v>16</v>
      </c>
      <c r="G1860" s="15" t="s">
        <v>17</v>
      </c>
      <c r="H1860" s="15" t="s">
        <v>18</v>
      </c>
      <c r="I1860" s="14" t="str">
        <f>IMAGE("https://upload.wikimedia.org/wikipedia/commons/2/2c/Ramphastos_vitellinus_2026.jpg")</f>
        <v/>
      </c>
    </row>
    <row r="1861" ht="36.0" customHeight="1">
      <c r="A1861" s="16" t="str">
        <f>HYPERLINK("https://commons.wikimedia.org/wiki/User:" &amp; ENCODEURL("Mathias David P"), "Mathias David P")</f>
        <v>Mathias David P</v>
      </c>
      <c r="B1861" s="17" t="s">
        <v>3824</v>
      </c>
      <c r="C1861" s="18">
        <v>46201.74662037037</v>
      </c>
      <c r="D1861" s="17" t="s">
        <v>3825</v>
      </c>
      <c r="E1861" s="19" t="s">
        <v>29</v>
      </c>
      <c r="F1861" s="19" t="s">
        <v>30</v>
      </c>
      <c r="G1861" s="20" t="s">
        <v>17</v>
      </c>
      <c r="H1861" s="20" t="s">
        <v>18</v>
      </c>
      <c r="I1861" s="19" t="str">
        <f>IMAGE("https://upload.wikimedia.org/wikipedia/commons/c/c4/Rana_albina.jpg")</f>
        <v/>
      </c>
    </row>
    <row r="1862" ht="36.0" customHeight="1">
      <c r="A1862" s="10" t="str">
        <f t="shared" ref="A1862:A1872" si="232">HYPERLINK("https://commons.wikimedia.org/wiki/User:" &amp; ENCODEURL("AmiGueko"), "AmiGueko")</f>
        <v>AmiGueko</v>
      </c>
      <c r="B1862" s="11" t="s">
        <v>3826</v>
      </c>
      <c r="C1862" s="12">
        <v>46165.94429398148</v>
      </c>
      <c r="D1862" s="11" t="s">
        <v>3827</v>
      </c>
      <c r="E1862" s="14" t="s">
        <v>3828</v>
      </c>
      <c r="F1862" s="15" t="s">
        <v>16</v>
      </c>
      <c r="G1862" s="15" t="s">
        <v>17</v>
      </c>
      <c r="H1862" s="15" t="s">
        <v>18</v>
      </c>
      <c r="I1862" s="14" t="str">
        <f>IMAGE("https://upload.wikimedia.org/wikipedia/commons/b/bf/Rana_Rub%C3%AD.jpg")</f>
        <v/>
      </c>
    </row>
    <row r="1863" ht="36.0" customHeight="1">
      <c r="A1863" s="16" t="str">
        <f t="shared" si="232"/>
        <v>AmiGueko</v>
      </c>
      <c r="B1863" s="17" t="s">
        <v>3829</v>
      </c>
      <c r="C1863" s="18">
        <v>46165.944398148145</v>
      </c>
      <c r="D1863" s="17" t="s">
        <v>3827</v>
      </c>
      <c r="E1863" s="19" t="s">
        <v>3830</v>
      </c>
      <c r="F1863" s="20" t="s">
        <v>16</v>
      </c>
      <c r="G1863" s="20" t="s">
        <v>17</v>
      </c>
      <c r="H1863" s="20" t="s">
        <v>18</v>
      </c>
      <c r="I1863" s="19" t="str">
        <f>IMAGE("https://upload.wikimedia.org/wikipedia/commons/4/4a/Rana_Rub%C3%AD_%2824588%29.jpg")</f>
        <v/>
      </c>
    </row>
    <row r="1864" ht="36.0" customHeight="1">
      <c r="A1864" s="10" t="str">
        <f t="shared" si="232"/>
        <v>AmiGueko</v>
      </c>
      <c r="B1864" s="11" t="s">
        <v>3831</v>
      </c>
      <c r="C1864" s="12">
        <v>46165.94447916667</v>
      </c>
      <c r="D1864" s="11" t="s">
        <v>3827</v>
      </c>
      <c r="E1864" s="14" t="s">
        <v>3832</v>
      </c>
      <c r="F1864" s="15" t="s">
        <v>16</v>
      </c>
      <c r="G1864" s="15" t="s">
        <v>17</v>
      </c>
      <c r="H1864" s="15" t="s">
        <v>18</v>
      </c>
      <c r="I1864" s="14" t="str">
        <f>IMAGE("https://upload.wikimedia.org/wikipedia/commons/a/a8/Rana_Rub%C3%AD_%2826812%29.jpg")</f>
        <v/>
      </c>
    </row>
    <row r="1865" ht="36.0" customHeight="1">
      <c r="A1865" s="16" t="str">
        <f t="shared" si="232"/>
        <v>AmiGueko</v>
      </c>
      <c r="B1865" s="17" t="s">
        <v>3833</v>
      </c>
      <c r="C1865" s="18">
        <v>46165.94478009259</v>
      </c>
      <c r="D1865" s="17" t="s">
        <v>3827</v>
      </c>
      <c r="E1865" s="19" t="s">
        <v>3834</v>
      </c>
      <c r="F1865" s="20" t="s">
        <v>16</v>
      </c>
      <c r="G1865" s="20" t="s">
        <v>17</v>
      </c>
      <c r="H1865" s="20" t="s">
        <v>18</v>
      </c>
      <c r="I1865" s="19" t="str">
        <f>IMAGE("https://upload.wikimedia.org/wikipedia/commons/c/ca/Rana_Rub%C3%AD_%2828931%29.jpg")</f>
        <v/>
      </c>
    </row>
    <row r="1866" ht="36.0" customHeight="1">
      <c r="A1866" s="10" t="str">
        <f t="shared" si="232"/>
        <v>AmiGueko</v>
      </c>
      <c r="B1866" s="11" t="s">
        <v>3835</v>
      </c>
      <c r="C1866" s="12">
        <v>46165.94572916667</v>
      </c>
      <c r="D1866" s="11" t="s">
        <v>3827</v>
      </c>
      <c r="E1866" s="14" t="s">
        <v>3836</v>
      </c>
      <c r="F1866" s="15" t="s">
        <v>16</v>
      </c>
      <c r="G1866" s="15" t="s">
        <v>17</v>
      </c>
      <c r="H1866" s="15" t="s">
        <v>18</v>
      </c>
      <c r="I1866" s="14" t="str">
        <f>IMAGE("https://upload.wikimedia.org/wikipedia/commons/6/62/Rana_Rub%C3%AD_%2834016%29.jpg")</f>
        <v/>
      </c>
    </row>
    <row r="1867" ht="36.0" customHeight="1">
      <c r="A1867" s="16" t="str">
        <f t="shared" si="232"/>
        <v>AmiGueko</v>
      </c>
      <c r="B1867" s="17" t="s">
        <v>3837</v>
      </c>
      <c r="C1867" s="18">
        <v>46165.94457175926</v>
      </c>
      <c r="D1867" s="17" t="s">
        <v>3827</v>
      </c>
      <c r="E1867" s="19" t="s">
        <v>3838</v>
      </c>
      <c r="F1867" s="20" t="s">
        <v>16</v>
      </c>
      <c r="G1867" s="20" t="s">
        <v>17</v>
      </c>
      <c r="H1867" s="20" t="s">
        <v>18</v>
      </c>
      <c r="I1867" s="19" t="str">
        <f>IMAGE("https://upload.wikimedia.org/wikipedia/commons/9/9e/Rana_Rub%C3%AD_%2841626%29.jpg")</f>
        <v/>
      </c>
    </row>
    <row r="1868" ht="36.0" customHeight="1">
      <c r="A1868" s="10" t="str">
        <f t="shared" si="232"/>
        <v>AmiGueko</v>
      </c>
      <c r="B1868" s="11" t="s">
        <v>3839</v>
      </c>
      <c r="C1868" s="12">
        <v>46165.944872685184</v>
      </c>
      <c r="D1868" s="11" t="s">
        <v>3827</v>
      </c>
      <c r="E1868" s="14" t="s">
        <v>3840</v>
      </c>
      <c r="F1868" s="15" t="s">
        <v>16</v>
      </c>
      <c r="G1868" s="15" t="s">
        <v>17</v>
      </c>
      <c r="H1868" s="15" t="s">
        <v>18</v>
      </c>
      <c r="I1868" s="14" t="str">
        <f>IMAGE("https://upload.wikimedia.org/wikipedia/commons/2/24/Rana_Rub%C3%AD_%2844273%29.jpg")</f>
        <v/>
      </c>
    </row>
    <row r="1869" ht="36.0" customHeight="1">
      <c r="A1869" s="16" t="str">
        <f t="shared" si="232"/>
        <v>AmiGueko</v>
      </c>
      <c r="B1869" s="17" t="s">
        <v>3841</v>
      </c>
      <c r="C1869" s="18">
        <v>46165.94511574074</v>
      </c>
      <c r="D1869" s="17" t="s">
        <v>3827</v>
      </c>
      <c r="E1869" s="19" t="s">
        <v>3842</v>
      </c>
      <c r="F1869" s="20" t="s">
        <v>16</v>
      </c>
      <c r="G1869" s="20" t="s">
        <v>17</v>
      </c>
      <c r="H1869" s="20" t="s">
        <v>18</v>
      </c>
      <c r="I1869" s="19" t="str">
        <f>IMAGE("https://upload.wikimedia.org/wikipedia/commons/5/57/Rana_Rub%C3%AD_%2854775%29.jpg")</f>
        <v/>
      </c>
    </row>
    <row r="1870" ht="36.0" customHeight="1">
      <c r="A1870" s="10" t="str">
        <f t="shared" si="232"/>
        <v>AmiGueko</v>
      </c>
      <c r="B1870" s="11" t="s">
        <v>3843</v>
      </c>
      <c r="C1870" s="12">
        <v>46165.945914351854</v>
      </c>
      <c r="D1870" s="11" t="s">
        <v>3827</v>
      </c>
      <c r="E1870" s="14" t="s">
        <v>3844</v>
      </c>
      <c r="F1870" s="15" t="s">
        <v>16</v>
      </c>
      <c r="G1870" s="15" t="s">
        <v>17</v>
      </c>
      <c r="H1870" s="15" t="s">
        <v>18</v>
      </c>
      <c r="I1870" s="14" t="str">
        <f>IMAGE("https://upload.wikimedia.org/wikipedia/commons/b/b1/Rana_Rub%C3%AD_%2855608%29.jpg")</f>
        <v/>
      </c>
    </row>
    <row r="1871" ht="36.0" customHeight="1">
      <c r="A1871" s="16" t="str">
        <f t="shared" si="232"/>
        <v>AmiGueko</v>
      </c>
      <c r="B1871" s="17" t="s">
        <v>3845</v>
      </c>
      <c r="C1871" s="18">
        <v>46165.94530092592</v>
      </c>
      <c r="D1871" s="17" t="s">
        <v>3827</v>
      </c>
      <c r="E1871" s="19" t="s">
        <v>3846</v>
      </c>
      <c r="F1871" s="20" t="s">
        <v>16</v>
      </c>
      <c r="G1871" s="20" t="s">
        <v>17</v>
      </c>
      <c r="H1871" s="20" t="s">
        <v>18</v>
      </c>
      <c r="I1871" s="19" t="str">
        <f>IMAGE("https://upload.wikimedia.org/wikipedia/commons/a/a0/Rana_Rub%C3%AD_%2858777%29.jpg")</f>
        <v/>
      </c>
    </row>
    <row r="1872" ht="36.0" customHeight="1">
      <c r="A1872" s="10" t="str">
        <f t="shared" si="232"/>
        <v>AmiGueko</v>
      </c>
      <c r="B1872" s="11" t="s">
        <v>3847</v>
      </c>
      <c r="C1872" s="12">
        <v>46165.945543981485</v>
      </c>
      <c r="D1872" s="11" t="s">
        <v>3827</v>
      </c>
      <c r="E1872" s="14" t="s">
        <v>3848</v>
      </c>
      <c r="F1872" s="15" t="s">
        <v>16</v>
      </c>
      <c r="G1872" s="15" t="s">
        <v>17</v>
      </c>
      <c r="H1872" s="15" t="s">
        <v>18</v>
      </c>
      <c r="I1872" s="14" t="str">
        <f>IMAGE("https://upload.wikimedia.org/wikipedia/commons/c/c5/Rana_Rub%C3%AD_%2864246%29.jpg")</f>
        <v/>
      </c>
    </row>
    <row r="1873" ht="36.0" customHeight="1">
      <c r="A1873" s="16" t="str">
        <f>HYPERLINK("https://commons.wikimedia.org/wiki/User:" &amp; ENCODEURL("ExploraMuseos"), "ExploraMuseos")</f>
        <v>ExploraMuseos</v>
      </c>
      <c r="B1873" s="17" t="s">
        <v>3849</v>
      </c>
      <c r="C1873" s="18">
        <v>46201.439039351855</v>
      </c>
      <c r="D1873" s="17" t="s">
        <v>3850</v>
      </c>
      <c r="E1873" s="19" t="s">
        <v>29</v>
      </c>
      <c r="F1873" s="19" t="s">
        <v>30</v>
      </c>
      <c r="G1873" s="20" t="s">
        <v>17</v>
      </c>
      <c r="H1873" s="20" t="s">
        <v>18</v>
      </c>
      <c r="I1873" s="19" t="str">
        <f>IMAGE("https://upload.wikimedia.org/wikipedia/commons/c/c6/Rana_Sabanera_sobre_helechos_2026.jpg")</f>
        <v/>
      </c>
    </row>
    <row r="1874" ht="36.0" customHeight="1">
      <c r="A1874" s="10" t="str">
        <f>HYPERLINK("https://commons.wikimedia.org/wiki/User:" &amp; ENCODEURL("Andresdflorez23"), "Andresdflorez23")</f>
        <v>Andresdflorez23</v>
      </c>
      <c r="B1874" s="11" t="s">
        <v>3851</v>
      </c>
      <c r="C1874" s="12">
        <v>46203.44752314815</v>
      </c>
      <c r="D1874" s="11" t="s">
        <v>3852</v>
      </c>
      <c r="E1874" s="14" t="s">
        <v>3853</v>
      </c>
      <c r="F1874" s="15" t="s">
        <v>16</v>
      </c>
      <c r="G1874" s="15" t="s">
        <v>17</v>
      </c>
      <c r="H1874" s="15" t="s">
        <v>18</v>
      </c>
      <c r="I1874" s="14" t="str">
        <f>IMAGE("https://upload.wikimedia.org/wikipedia/commons/e/ee/Rana_arboricola_Scinax.jpg")</f>
        <v/>
      </c>
    </row>
    <row r="1875" ht="36.0" customHeight="1">
      <c r="A1875" s="16" t="str">
        <f>HYPERLINK("https://commons.wikimedia.org/wiki/User:" &amp; ENCODEURL("NunuAiyi"), "NunuAiyi")</f>
        <v>NunuAiyi</v>
      </c>
      <c r="B1875" s="17" t="s">
        <v>3854</v>
      </c>
      <c r="C1875" s="18">
        <v>46203.85875</v>
      </c>
      <c r="D1875" s="17" t="s">
        <v>3855</v>
      </c>
      <c r="E1875" s="19" t="s">
        <v>29</v>
      </c>
      <c r="F1875" s="19" t="s">
        <v>30</v>
      </c>
      <c r="G1875" s="20" t="s">
        <v>17</v>
      </c>
      <c r="H1875" s="20" t="s">
        <v>18</v>
      </c>
      <c r="I1875" s="19" t="str">
        <f>IMAGE("https://upload.wikimedia.org/wikipedia/commons/6/68/Rana_blanca.jpg")</f>
        <v/>
      </c>
    </row>
    <row r="1876" ht="36.0" customHeight="1">
      <c r="A1876" s="10" t="str">
        <f>HYPERLINK("https://commons.wikimedia.org/wiki/User:" &amp; ENCODEURL("Zolsemiya"), "Zolsemiya")</f>
        <v>Zolsemiya</v>
      </c>
      <c r="B1876" s="11" t="s">
        <v>3856</v>
      </c>
      <c r="C1876" s="12">
        <v>46203.74916666667</v>
      </c>
      <c r="D1876" s="11" t="s">
        <v>3857</v>
      </c>
      <c r="E1876" s="14" t="s">
        <v>29</v>
      </c>
      <c r="F1876" s="14" t="s">
        <v>30</v>
      </c>
      <c r="G1876" s="15" t="s">
        <v>17</v>
      </c>
      <c r="H1876" s="15" t="s">
        <v>18</v>
      </c>
      <c r="I1876" s="14" t="str">
        <f>IMAGE("https://upload.wikimedia.org/wikipedia/commons/e/e9/Rana_boana_Pandi.jpg")</f>
        <v/>
      </c>
    </row>
    <row r="1877" ht="36.0" customHeight="1">
      <c r="A1877" s="16" t="str">
        <f>HYPERLINK("https://commons.wikimedia.org/wiki/User:" &amp; ENCODEURL("XimmoY"), "XimmoY")</f>
        <v>XimmoY</v>
      </c>
      <c r="B1877" s="17" t="s">
        <v>3858</v>
      </c>
      <c r="C1877" s="18">
        <v>46198.884409722225</v>
      </c>
      <c r="D1877" s="17" t="s">
        <v>2316</v>
      </c>
      <c r="E1877" s="19" t="s">
        <v>184</v>
      </c>
      <c r="F1877" s="20" t="s">
        <v>16</v>
      </c>
      <c r="G1877" s="20" t="s">
        <v>17</v>
      </c>
      <c r="H1877" s="20" t="s">
        <v>18</v>
      </c>
      <c r="I1877" s="19" t="str">
        <f>IMAGE("https://upload.wikimedia.org/wikipedia/commons/a/ab/Rana_de_torrente_de_Palmer.jpg")</f>
        <v/>
      </c>
    </row>
    <row r="1878" ht="36.0" customHeight="1">
      <c r="A1878" s="10" t="str">
        <f t="shared" ref="A1878:A1879" si="233">HYPERLINK("https://commons.wikimedia.org/wiki/User:" &amp; ENCODEURL("Juli 2000 her"), "Juli 2000 her")</f>
        <v>Juli 2000 her</v>
      </c>
      <c r="B1878" s="11" t="s">
        <v>3859</v>
      </c>
      <c r="C1878" s="12">
        <v>46189.054444444446</v>
      </c>
      <c r="D1878" s="11" t="s">
        <v>3860</v>
      </c>
      <c r="E1878" s="14" t="s">
        <v>29</v>
      </c>
      <c r="F1878" s="14" t="s">
        <v>30</v>
      </c>
      <c r="G1878" s="15" t="s">
        <v>17</v>
      </c>
      <c r="H1878" s="15" t="s">
        <v>18</v>
      </c>
      <c r="I1878" s="14" t="str">
        <f>IMAGE("https://upload.wikimedia.org/wikipedia/commons/a/af/Rana_hormiguera_rayada_%28Lithodytes_lineatus%29_en_Puerto_L%C3%B3pez%2C_Meta%2C_Colombia.jpg")</f>
        <v/>
      </c>
    </row>
    <row r="1879" ht="36.0" customHeight="1">
      <c r="A1879" s="16" t="str">
        <f t="shared" si="233"/>
        <v>Juli 2000 her</v>
      </c>
      <c r="B1879" s="17" t="s">
        <v>3861</v>
      </c>
      <c r="C1879" s="18">
        <v>46189.054502314815</v>
      </c>
      <c r="D1879" s="17" t="s">
        <v>3862</v>
      </c>
      <c r="E1879" s="19" t="s">
        <v>29</v>
      </c>
      <c r="F1879" s="19" t="s">
        <v>30</v>
      </c>
      <c r="G1879" s="20" t="s">
        <v>17</v>
      </c>
      <c r="H1879" s="20" t="s">
        <v>18</v>
      </c>
      <c r="I1879" s="19" t="str">
        <f>IMAGE("https://upload.wikimedia.org/wikipedia/commons/2/2d/Rana_platanera_%28Boana_platanera%29_en_Casanare%2C_Colombia.jpg")</f>
        <v/>
      </c>
    </row>
    <row r="1880" ht="36.0" customHeight="1">
      <c r="A1880" s="10" t="str">
        <f>HYPERLINK("https://commons.wikimedia.org/wiki/User:" &amp; ENCODEURL("AmiGueko"), "AmiGueko")</f>
        <v>AmiGueko</v>
      </c>
      <c r="B1880" s="11" t="s">
        <v>3863</v>
      </c>
      <c r="C1880" s="12">
        <v>46165.9441087963</v>
      </c>
      <c r="D1880" s="11" t="s">
        <v>3864</v>
      </c>
      <c r="E1880" s="14" t="s">
        <v>3865</v>
      </c>
      <c r="F1880" s="15" t="s">
        <v>16</v>
      </c>
      <c r="G1880" s="15" t="s">
        <v>17</v>
      </c>
      <c r="H1880" s="15" t="s">
        <v>18</v>
      </c>
      <c r="I1880" s="14" t="str">
        <f>IMAGE("https://upload.wikimedia.org/wikipedia/commons/d/dc/Rana_rub%C3%AD_%2834374%29.jpg")</f>
        <v/>
      </c>
    </row>
    <row r="1881" ht="36.0" customHeight="1">
      <c r="A1881" s="16" t="str">
        <f>HYPERLINK("https://commons.wikimedia.org/wiki/User:" &amp; ENCODEURL("Juli 2000 her"), "Juli 2000 her")</f>
        <v>Juli 2000 her</v>
      </c>
      <c r="B1881" s="17" t="s">
        <v>3866</v>
      </c>
      <c r="C1881" s="18">
        <v>46189.05449074074</v>
      </c>
      <c r="D1881" s="17" t="s">
        <v>3867</v>
      </c>
      <c r="E1881" s="19" t="s">
        <v>29</v>
      </c>
      <c r="F1881" s="19" t="s">
        <v>30</v>
      </c>
      <c r="G1881" s="20" t="s">
        <v>17</v>
      </c>
      <c r="H1881" s="20" t="s">
        <v>18</v>
      </c>
      <c r="I1881" s="19" t="str">
        <f>IMAGE("https://upload.wikimedia.org/wikipedia/commons/0/05/Rana_sabanera_%28Dendropsophus_molitor%29_sobre_un_residuo_pl%C3%A1stico_en_la_Reserva_Biol%C3%B3gica_Encenillo%2C_Colombia.jpg")</f>
        <v/>
      </c>
    </row>
    <row r="1882" ht="36.0" customHeight="1">
      <c r="A1882" s="10" t="str">
        <f>HYPERLINK("https://commons.wikimedia.org/wiki/User:" &amp; ENCODEURL("Johan Andrés Toro"), "Johan Andrés Toro")</f>
        <v>Johan Andrés Toro</v>
      </c>
      <c r="B1882" s="11" t="s">
        <v>3868</v>
      </c>
      <c r="C1882" s="12">
        <v>46166.95693287037</v>
      </c>
      <c r="D1882" s="11" t="s">
        <v>3869</v>
      </c>
      <c r="E1882" s="14" t="s">
        <v>29</v>
      </c>
      <c r="F1882" s="14" t="s">
        <v>30</v>
      </c>
      <c r="G1882" s="15" t="s">
        <v>17</v>
      </c>
      <c r="H1882" s="15" t="s">
        <v>18</v>
      </c>
      <c r="I1882" s="14" t="str">
        <f>IMAGE("https://upload.wikimedia.org/wikipedia/commons/8/8f/RANA_VENENOSA_VERDE_Y_NEGRA_EN_LA_SELVA_DEL_TAPON_DEL_DARIEN.jpg")</f>
        <v/>
      </c>
    </row>
    <row r="1883" ht="36.0" customHeight="1">
      <c r="A1883" s="16" t="str">
        <f t="shared" ref="A1883:A1884" si="234">HYPERLINK("https://commons.wikimedia.org/wiki/User:" &amp; ENCODEURL("Juli 2000 her"), "Juli 2000 her")</f>
        <v>Juli 2000 her</v>
      </c>
      <c r="B1883" s="17" t="s">
        <v>3870</v>
      </c>
      <c r="C1883" s="18">
        <v>46189.05449074074</v>
      </c>
      <c r="D1883" s="17" t="s">
        <v>3871</v>
      </c>
      <c r="E1883" s="19" t="s">
        <v>29</v>
      </c>
      <c r="F1883" s="19" t="s">
        <v>30</v>
      </c>
      <c r="G1883" s="20" t="s">
        <v>17</v>
      </c>
      <c r="H1883" s="20" t="s">
        <v>18</v>
      </c>
      <c r="I1883" s="19" t="str">
        <f>IMAGE("https://upload.wikimedia.org/wikipedia/commons/8/82/Rana_venenosa_de_Ruthven_%28Colostethus_ruthveni%29_camuflada_en_la_hojarasca_de_Minca%2C_Santa_Marta%2C_Colombia.jpg")</f>
        <v/>
      </c>
    </row>
    <row r="1884" ht="36.0" customHeight="1">
      <c r="A1884" s="10" t="str">
        <f t="shared" si="234"/>
        <v>Juli 2000 her</v>
      </c>
      <c r="B1884" s="11" t="s">
        <v>3872</v>
      </c>
      <c r="C1884" s="12">
        <v>46189.054456018515</v>
      </c>
      <c r="D1884" s="11" t="s">
        <v>3873</v>
      </c>
      <c r="E1884" s="14" t="s">
        <v>29</v>
      </c>
      <c r="F1884" s="14" t="s">
        <v>30</v>
      </c>
      <c r="G1884" s="15" t="s">
        <v>17</v>
      </c>
      <c r="H1884" s="15" t="s">
        <v>18</v>
      </c>
      <c r="I1884" s="14" t="str">
        <f>IMAGE("https://upload.wikimedia.org/wikipedia/commons/1/10/Rana_venenosa_de_Ruthven_%28Colostethus_ruthveni%29_en_Minca%2C_Santa_Marta%2C_Colombia.jpg")</f>
        <v/>
      </c>
    </row>
    <row r="1885" ht="36.0" customHeight="1">
      <c r="A1885" s="16" t="str">
        <f>HYPERLINK("https://commons.wikimedia.org/wiki/User:" &amp; ENCODEURL("Tudum1213"), "Tudum1213")</f>
        <v>Tudum1213</v>
      </c>
      <c r="B1885" s="17" t="s">
        <v>3874</v>
      </c>
      <c r="C1885" s="18">
        <v>46163.536412037036</v>
      </c>
      <c r="D1885" s="17" t="s">
        <v>3875</v>
      </c>
      <c r="E1885" s="19" t="s">
        <v>29</v>
      </c>
      <c r="F1885" s="19" t="s">
        <v>30</v>
      </c>
      <c r="G1885" s="20" t="s">
        <v>17</v>
      </c>
      <c r="H1885" s="20" t="s">
        <v>18</v>
      </c>
      <c r="I1885" s="19" t="str">
        <f>IMAGE("https://upload.wikimedia.org/wikipedia/commons/8/8a/Ra%C3%ADz_monstera.jpg")</f>
        <v/>
      </c>
    </row>
    <row r="1886" ht="36.0" customHeight="1">
      <c r="A1886" s="10" t="str">
        <f>HYPERLINK("https://commons.wikimedia.org/wiki/User:" &amp; ENCODEURL("Maximo10momeridio"), "Maximo10momeridio")</f>
        <v>Maximo10momeridio</v>
      </c>
      <c r="B1886" s="11" t="s">
        <v>3876</v>
      </c>
      <c r="C1886" s="12">
        <v>46163.56685185185</v>
      </c>
      <c r="D1886" s="11" t="s">
        <v>3877</v>
      </c>
      <c r="E1886" s="14" t="s">
        <v>29</v>
      </c>
      <c r="F1886" s="14" t="s">
        <v>30</v>
      </c>
      <c r="G1886" s="15" t="s">
        <v>17</v>
      </c>
      <c r="H1886" s="15" t="s">
        <v>18</v>
      </c>
      <c r="I1886" s="14" t="str">
        <f>IMAGE("https://upload.wikimedia.org/wikipedia/commons/1/10/Recorrido_de_la_reserva_distrital_de_humedal_de_cordoba.jpg")</f>
        <v/>
      </c>
    </row>
    <row r="1887" ht="36.0" customHeight="1">
      <c r="A1887" s="16" t="str">
        <f>HYPERLINK("https://commons.wikimedia.org/wiki/User:" &amp; ENCODEURL("Dyrt.yis"), "Dyrt.yis")</f>
        <v>Dyrt.yis</v>
      </c>
      <c r="B1887" s="17" t="s">
        <v>3878</v>
      </c>
      <c r="C1887" s="18">
        <v>46163.55280092593</v>
      </c>
      <c r="D1887" s="17" t="s">
        <v>3879</v>
      </c>
      <c r="E1887" s="19" t="s">
        <v>29</v>
      </c>
      <c r="F1887" s="19" t="s">
        <v>30</v>
      </c>
      <c r="G1887" s="20" t="s">
        <v>17</v>
      </c>
      <c r="H1887" s="20" t="s">
        <v>18</v>
      </c>
      <c r="I1887" s="19" t="str">
        <f>IMAGE("https://upload.wikimedia.org/wikipedia/commons/d/d4/Recorrido_jardin_botanico.jpg")</f>
        <v/>
      </c>
    </row>
    <row r="1888" ht="36.0" customHeight="1">
      <c r="A1888" s="10" t="str">
        <f t="shared" ref="A1888:A1889" si="235">HYPERLINK("https://commons.wikimedia.org/wiki/User:" &amp; ENCODEURL("Charlesjsharp"), "Charlesjsharp")</f>
        <v>Charlesjsharp</v>
      </c>
      <c r="B1888" s="11" t="s">
        <v>3880</v>
      </c>
      <c r="C1888" s="12">
        <v>46171.65510416667</v>
      </c>
      <c r="D1888" s="11" t="s">
        <v>3881</v>
      </c>
      <c r="E1888" s="14" t="s">
        <v>3756</v>
      </c>
      <c r="F1888" s="15" t="s">
        <v>16</v>
      </c>
      <c r="G1888" s="15" t="s">
        <v>17</v>
      </c>
      <c r="H1888" s="15" t="s">
        <v>18</v>
      </c>
      <c r="I1888" s="14" t="str">
        <f>IMAGE("https://upload.wikimedia.org/wikipedia/commons/a/ac/Red-crowned_woodpecker_%28Melanerpes_rubricapillus%29_male_Las_Tangaras_2.jpg")</f>
        <v/>
      </c>
    </row>
    <row r="1889" ht="36.0" customHeight="1">
      <c r="A1889" s="16" t="str">
        <f t="shared" si="235"/>
        <v>Charlesjsharp</v>
      </c>
      <c r="B1889" s="17" t="s">
        <v>3882</v>
      </c>
      <c r="C1889" s="18">
        <v>46171.66134259259</v>
      </c>
      <c r="D1889" s="17" t="s">
        <v>3883</v>
      </c>
      <c r="E1889" s="19" t="s">
        <v>554</v>
      </c>
      <c r="F1889" s="20" t="s">
        <v>16</v>
      </c>
      <c r="G1889" s="20" t="s">
        <v>17</v>
      </c>
      <c r="H1889" s="20" t="s">
        <v>18</v>
      </c>
      <c r="I1889" s="19" t="str">
        <f>IMAGE("https://upload.wikimedia.org/wikipedia/commons/4/49/Red-tailed_squirrel_%28Sciurus_granatensis_chrysuros%29_Caldas_2.jpg")</f>
        <v/>
      </c>
    </row>
    <row r="1890" ht="36.0" customHeight="1">
      <c r="A1890" s="10" t="str">
        <f>HYPERLINK("https://commons.wikimedia.org/wiki/User:" &amp; ENCODEURL("Johan Andrés Toro"), "Johan Andrés Toro")</f>
        <v>Johan Andrés Toro</v>
      </c>
      <c r="B1890" s="11" t="s">
        <v>3884</v>
      </c>
      <c r="C1890" s="12">
        <v>46171.87666666666</v>
      </c>
      <c r="D1890" s="11" t="s">
        <v>3885</v>
      </c>
      <c r="E1890" s="14" t="s">
        <v>29</v>
      </c>
      <c r="F1890" s="14" t="s">
        <v>30</v>
      </c>
      <c r="G1890" s="15" t="s">
        <v>17</v>
      </c>
      <c r="H1890" s="15" t="s">
        <v>18</v>
      </c>
      <c r="I1890" s="14" t="str">
        <f>IMAGE("https://upload.wikimedia.org/wikipedia/commons/a/a1/Redes_hidrogr%C3%A1ficas_y_f%C3%A1brica_de_agua_del_P%C3%A1ramo_de_Sumapaz.jpg")</f>
        <v/>
      </c>
    </row>
    <row r="1891" ht="36.0" customHeight="1">
      <c r="A1891" s="16" t="str">
        <f>HYPERLINK("https://commons.wikimedia.org/wiki/User:" &amp; ENCODEURL("Rodrigomacrophoto"), "Rodrigomacrophoto")</f>
        <v>Rodrigomacrophoto</v>
      </c>
      <c r="B1891" s="17" t="s">
        <v>3886</v>
      </c>
      <c r="C1891" s="18">
        <v>46146.7225</v>
      </c>
      <c r="D1891" s="17" t="s">
        <v>3887</v>
      </c>
      <c r="E1891" s="19" t="s">
        <v>3231</v>
      </c>
      <c r="F1891" s="20" t="s">
        <v>16</v>
      </c>
      <c r="G1891" s="20" t="s">
        <v>17</v>
      </c>
      <c r="H1891" s="20" t="s">
        <v>18</v>
      </c>
      <c r="I1891" s="19" t="str">
        <f>IMAGE("https://upload.wikimedia.org/wikipedia/commons/6/6c/Reduviidae_depredando_una_abeja.jpg")</f>
        <v/>
      </c>
    </row>
    <row r="1892" ht="36.0" customHeight="1">
      <c r="A1892" s="10" t="str">
        <f>HYPERLINK("https://commons.wikimedia.org/wiki/User:" &amp; ENCODEURL("Vvelashue21"), "Vvelashue21")</f>
        <v>Vvelashue21</v>
      </c>
      <c r="B1892" s="11" t="s">
        <v>3888</v>
      </c>
      <c r="C1892" s="12">
        <v>46163.51605324074</v>
      </c>
      <c r="D1892" s="11" t="s">
        <v>3889</v>
      </c>
      <c r="E1892" s="14" t="s">
        <v>29</v>
      </c>
      <c r="F1892" s="14" t="s">
        <v>30</v>
      </c>
      <c r="G1892" s="15" t="s">
        <v>17</v>
      </c>
      <c r="H1892" s="15" t="s">
        <v>18</v>
      </c>
      <c r="I1892" s="14" t="str">
        <f>IMAGE("https://upload.wikimedia.org/wikipedia/commons/c/c5/Refeljos_de_la_naturaleza%2C_jardin_botanico.jpg")</f>
        <v/>
      </c>
    </row>
    <row r="1893" ht="36.0" customHeight="1">
      <c r="A1893" s="16" t="str">
        <f>HYPERLINK("https://commons.wikimedia.org/wiki/User:" &amp; ENCODEURL("Nathaly 1106"), "Nathaly 1106")</f>
        <v>Nathaly 1106</v>
      </c>
      <c r="B1893" s="17" t="s">
        <v>3890</v>
      </c>
      <c r="C1893" s="18">
        <v>46148.95722222222</v>
      </c>
      <c r="D1893" s="17" t="s">
        <v>3891</v>
      </c>
      <c r="E1893" s="19" t="s">
        <v>29</v>
      </c>
      <c r="F1893" s="19" t="s">
        <v>30</v>
      </c>
      <c r="G1893" s="20" t="s">
        <v>17</v>
      </c>
      <c r="H1893" s="20" t="s">
        <v>18</v>
      </c>
      <c r="I1893" s="19" t="str">
        <f>IMAGE("https://upload.wikimedia.org/wikipedia/commons/8/81/Reflejo_en_el_lago_-_Villa_de_Leyva_%28Boyac%C3%A1%29.jpg")</f>
        <v/>
      </c>
    </row>
    <row r="1894" ht="36.0" customHeight="1">
      <c r="A1894" s="10" t="str">
        <f>HYPERLINK("https://commons.wikimedia.org/wiki/User:" &amp; ENCODEURL("Mtapiasoquendo"), "Mtapiasoquendo")</f>
        <v>Mtapiasoquendo</v>
      </c>
      <c r="B1894" s="11" t="s">
        <v>3892</v>
      </c>
      <c r="C1894" s="12">
        <v>46192.86561342593</v>
      </c>
      <c r="D1894" s="11" t="s">
        <v>3893</v>
      </c>
      <c r="E1894" s="14" t="s">
        <v>29</v>
      </c>
      <c r="F1894" s="14" t="s">
        <v>30</v>
      </c>
      <c r="G1894" s="15" t="s">
        <v>17</v>
      </c>
      <c r="H1894" s="15" t="s">
        <v>18</v>
      </c>
      <c r="I1894" s="14" t="str">
        <f>IMAGE("https://upload.wikimedia.org/wikipedia/commons/4/46/Reflexionando.jpg")</f>
        <v/>
      </c>
    </row>
    <row r="1895" ht="36.0" customHeight="1">
      <c r="A1895" s="16" t="str">
        <f>HYPERLINK("https://commons.wikimedia.org/wiki/User:" &amp; ENCODEURL("Halleyuncometafotografo"), "Halleyuncometafotografo")</f>
        <v>Halleyuncometafotografo</v>
      </c>
      <c r="B1895" s="17" t="s">
        <v>3894</v>
      </c>
      <c r="C1895" s="18">
        <v>46203.898518518516</v>
      </c>
      <c r="D1895" s="17" t="s">
        <v>3895</v>
      </c>
      <c r="E1895" s="19" t="s">
        <v>29</v>
      </c>
      <c r="F1895" s="19" t="s">
        <v>30</v>
      </c>
      <c r="G1895" s="20" t="s">
        <v>17</v>
      </c>
      <c r="H1895" s="20" t="s">
        <v>18</v>
      </c>
      <c r="I1895" s="19" t="str">
        <f>IMAGE("https://upload.wikimedia.org/wikipedia/commons/3/39/Refugio_de_color.jpg")</f>
        <v/>
      </c>
    </row>
    <row r="1896" ht="36.0" customHeight="1">
      <c r="A1896" s="10" t="str">
        <f>HYPERLINK("https://commons.wikimedia.org/wiki/User:" &amp; ENCODEURL("NMontoya (WMCO)"), "NMontoya (WMCO)")</f>
        <v>NMontoya (WMCO)</v>
      </c>
      <c r="B1896" s="11" t="s">
        <v>3896</v>
      </c>
      <c r="C1896" s="12">
        <v>46191.8078125</v>
      </c>
      <c r="D1896" s="11" t="s">
        <v>3897</v>
      </c>
      <c r="E1896" s="14" t="s">
        <v>683</v>
      </c>
      <c r="F1896" s="15" t="s">
        <v>16</v>
      </c>
      <c r="G1896" s="15" t="s">
        <v>17</v>
      </c>
      <c r="H1896" s="15" t="s">
        <v>18</v>
      </c>
      <c r="I1896" s="14" t="str">
        <f>IMAGE("https://upload.wikimedia.org/wikipedia/commons/1/1b/Reina_de_la_noche_sudamericana_y_Ucle_%28tornillo%29_%E2%80%93_G%C3%A9nero_Cereus_%E2%80%93_Familia_Cactaceae.png")</f>
        <v/>
      </c>
    </row>
    <row r="1897" ht="36.0" customHeight="1">
      <c r="A1897" s="16" t="str">
        <f>HYPERLINK("https://commons.wikimedia.org/wiki/User:" &amp; ENCODEURL("Avargasc1"), "Avargasc1")</f>
        <v>Avargasc1</v>
      </c>
      <c r="B1897" s="17" t="s">
        <v>3898</v>
      </c>
      <c r="C1897" s="18">
        <v>46171.36293981481</v>
      </c>
      <c r="D1897" s="17" t="s">
        <v>3899</v>
      </c>
      <c r="E1897" s="19" t="s">
        <v>29</v>
      </c>
      <c r="F1897" s="19" t="s">
        <v>30</v>
      </c>
      <c r="G1897" s="20" t="s">
        <v>17</v>
      </c>
      <c r="H1897" s="20" t="s">
        <v>18</v>
      </c>
      <c r="I1897" s="19" t="str">
        <f>IMAGE("https://upload.wikimedia.org/wikipedia/commons/f/f8/Reinita_Cabecidorada.jpg")</f>
        <v/>
      </c>
    </row>
    <row r="1898" ht="36.0" customHeight="1">
      <c r="A1898" s="10" t="str">
        <f t="shared" ref="A1898:A1900" si="236">HYPERLINK("https://commons.wikimedia.org/wiki/User:" &amp; ENCODEURL("Diferoch"), "Diferoch")</f>
        <v>Diferoch</v>
      </c>
      <c r="B1898" s="11" t="s">
        <v>3900</v>
      </c>
      <c r="C1898" s="12">
        <v>46198.74229166667</v>
      </c>
      <c r="D1898" s="11" t="s">
        <v>3901</v>
      </c>
      <c r="E1898" s="14" t="s">
        <v>3902</v>
      </c>
      <c r="F1898" s="15" t="s">
        <v>16</v>
      </c>
      <c r="G1898" s="15" t="s">
        <v>17</v>
      </c>
      <c r="H1898" s="15" t="s">
        <v>18</v>
      </c>
      <c r="I1898" s="14" t="str">
        <f>IMAGE("https://upload.wikimedia.org/wikipedia/commons/c/c0/Release_of_Lepidochelys_olivacea_-_Nuqu%C3%AD%2C_Choc%C3%B3%2C_Colombia_-_23_Oct_2025_-_Diferoch_-_1.jpg")</f>
        <v/>
      </c>
    </row>
    <row r="1899" ht="36.0" customHeight="1">
      <c r="A1899" s="16" t="str">
        <f t="shared" si="236"/>
        <v>Diferoch</v>
      </c>
      <c r="B1899" s="17" t="s">
        <v>3903</v>
      </c>
      <c r="C1899" s="18">
        <v>46198.74230324074</v>
      </c>
      <c r="D1899" s="17" t="s">
        <v>3904</v>
      </c>
      <c r="E1899" s="19" t="s">
        <v>3905</v>
      </c>
      <c r="F1899" s="20" t="s">
        <v>16</v>
      </c>
      <c r="G1899" s="20" t="s">
        <v>17</v>
      </c>
      <c r="H1899" s="20" t="s">
        <v>18</v>
      </c>
      <c r="I1899" s="19" t="str">
        <f>IMAGE("https://upload.wikimedia.org/wikipedia/commons/b/b1/Release_of_Lepidochelys_olivacea_-_Nuqu%C3%AD%2C_Choc%C3%B3%2C_Colombia_-_23_Oct_2025_-_Diferoch_-_2.jpg")</f>
        <v/>
      </c>
    </row>
    <row r="1900" ht="36.0" customHeight="1">
      <c r="A1900" s="10" t="str">
        <f t="shared" si="236"/>
        <v>Diferoch</v>
      </c>
      <c r="B1900" s="11" t="s">
        <v>3906</v>
      </c>
      <c r="C1900" s="12">
        <v>46198.74229166667</v>
      </c>
      <c r="D1900" s="11" t="s">
        <v>3907</v>
      </c>
      <c r="E1900" s="14" t="s">
        <v>3908</v>
      </c>
      <c r="F1900" s="15" t="s">
        <v>16</v>
      </c>
      <c r="G1900" s="15" t="s">
        <v>17</v>
      </c>
      <c r="H1900" s="15" t="s">
        <v>18</v>
      </c>
      <c r="I1900" s="14" t="str">
        <f>IMAGE("https://upload.wikimedia.org/wikipedia/commons/4/48/Release_of_Lepidochelys_olivacea_-_Nuqu%C3%AD%2C_Choc%C3%B3%2C_Colombia_-_23_Oct_2025_-_Diferoch_-_3.jpg")</f>
        <v/>
      </c>
    </row>
    <row r="1901" ht="36.0" customHeight="1">
      <c r="A1901" s="16" t="str">
        <f>HYPERLINK("https://commons.wikimedia.org/wiki/User:" &amp; ENCODEURL("Johan Andrés Toro"), "Johan Andrés Toro")</f>
        <v>Johan Andrés Toro</v>
      </c>
      <c r="B1901" s="17" t="s">
        <v>3909</v>
      </c>
      <c r="C1901" s="18">
        <v>46171.55559027778</v>
      </c>
      <c r="D1901" s="17" t="s">
        <v>3910</v>
      </c>
      <c r="E1901" s="19" t="s">
        <v>29</v>
      </c>
      <c r="F1901" s="19" t="s">
        <v>30</v>
      </c>
      <c r="G1901" s="20" t="s">
        <v>17</v>
      </c>
      <c r="H1901" s="20" t="s">
        <v>18</v>
      </c>
      <c r="I1901" s="19" t="str">
        <f>IMAGE("https://upload.wikimedia.org/wikipedia/commons/9/95/Relieve_monta%C3%B1oso_de_la_cuenca_del_R%C3%ADo_Magdalena.jpg")</f>
        <v/>
      </c>
    </row>
    <row r="1902" ht="36.0" customHeight="1">
      <c r="A1902" s="10" t="str">
        <f>HYPERLINK("https://commons.wikimedia.org/wiki/User:" &amp; ENCODEURL("NMontoya (WMCO)"), "NMontoya (WMCO)")</f>
        <v>NMontoya (WMCO)</v>
      </c>
      <c r="B1902" s="11" t="s">
        <v>3911</v>
      </c>
      <c r="C1902" s="12">
        <v>46191.80784722222</v>
      </c>
      <c r="D1902" s="11" t="s">
        <v>3912</v>
      </c>
      <c r="E1902" s="14" t="s">
        <v>683</v>
      </c>
      <c r="F1902" s="15" t="s">
        <v>16</v>
      </c>
      <c r="G1902" s="15" t="s">
        <v>17</v>
      </c>
      <c r="H1902" s="15" t="s">
        <v>18</v>
      </c>
      <c r="I1902" s="14" t="str">
        <f>IMAGE("https://upload.wikimedia.org/wikipedia/commons/b/b2/Renealmia_thyrsoidea_-_Familia_Zingiberaceae.jpg")</f>
        <v/>
      </c>
    </row>
    <row r="1903" ht="36.0" customHeight="1">
      <c r="A1903" s="16" t="str">
        <f t="shared" ref="A1903:A1911" si="237">HYPERLINK("https://commons.wikimedia.org/wiki/User:" &amp; ENCODEURL("SebasWork"), "SebasWork")</f>
        <v>SebasWork</v>
      </c>
      <c r="B1903" s="17" t="s">
        <v>3913</v>
      </c>
      <c r="C1903" s="18">
        <v>46203.82283564815</v>
      </c>
      <c r="D1903" s="17" t="s">
        <v>3914</v>
      </c>
      <c r="E1903" s="19" t="s">
        <v>29</v>
      </c>
      <c r="F1903" s="19" t="s">
        <v>30</v>
      </c>
      <c r="G1903" s="20" t="s">
        <v>17</v>
      </c>
      <c r="H1903" s="20" t="s">
        <v>18</v>
      </c>
      <c r="I1903" s="19" t="str">
        <f>IMAGE("https://upload.wikimedia.org/wikipedia/commons/8/8d/Reserva_de_los_flamencos_-_Guajira_-_Platalea_ajaja.jpg")</f>
        <v/>
      </c>
    </row>
    <row r="1904" ht="36.0" customHeight="1">
      <c r="A1904" s="10" t="str">
        <f t="shared" si="237"/>
        <v>SebasWork</v>
      </c>
      <c r="B1904" s="11" t="s">
        <v>3915</v>
      </c>
      <c r="C1904" s="12">
        <v>46203.830659722225</v>
      </c>
      <c r="D1904" s="11" t="s">
        <v>3916</v>
      </c>
      <c r="E1904" s="14" t="s">
        <v>29</v>
      </c>
      <c r="F1904" s="14" t="s">
        <v>30</v>
      </c>
      <c r="G1904" s="15" t="s">
        <v>17</v>
      </c>
      <c r="H1904" s="15" t="s">
        <v>18</v>
      </c>
      <c r="I1904" s="14" t="str">
        <f>IMAGE("https://upload.wikimedia.org/wikipedia/commons/f/f5/Reserva_natural_Parque_Chicaque_-_Bosque_de_niebla.jpg")</f>
        <v/>
      </c>
    </row>
    <row r="1905" ht="36.0" customHeight="1">
      <c r="A1905" s="16" t="str">
        <f t="shared" si="237"/>
        <v>SebasWork</v>
      </c>
      <c r="B1905" s="17" t="s">
        <v>3917</v>
      </c>
      <c r="C1905" s="18">
        <v>46203.83068287037</v>
      </c>
      <c r="D1905" s="17" t="s">
        <v>3916</v>
      </c>
      <c r="E1905" s="19" t="s">
        <v>29</v>
      </c>
      <c r="F1905" s="19" t="s">
        <v>30</v>
      </c>
      <c r="G1905" s="20" t="s">
        <v>17</v>
      </c>
      <c r="H1905" s="20" t="s">
        <v>18</v>
      </c>
      <c r="I1905" s="19" t="str">
        <f>IMAGE("https://upload.wikimedia.org/wikipedia/commons/1/15/Reserva_natural_Parque_Chicaque_-_Claro_en_el_bosque_de_niebla.jpg")</f>
        <v/>
      </c>
    </row>
    <row r="1906" ht="36.0" customHeight="1">
      <c r="A1906" s="10" t="str">
        <f t="shared" si="237"/>
        <v>SebasWork</v>
      </c>
      <c r="B1906" s="11" t="s">
        <v>3918</v>
      </c>
      <c r="C1906" s="12">
        <v>46203.83068287037</v>
      </c>
      <c r="D1906" s="11" t="s">
        <v>3916</v>
      </c>
      <c r="E1906" s="14" t="s">
        <v>29</v>
      </c>
      <c r="F1906" s="14" t="s">
        <v>30</v>
      </c>
      <c r="G1906" s="15" t="s">
        <v>17</v>
      </c>
      <c r="H1906" s="15" t="s">
        <v>18</v>
      </c>
      <c r="I1906" s="14" t="str">
        <f>IMAGE("https://upload.wikimedia.org/wikipedia/commons/7/74/Reserva_natural_Parque_Chicaque_-_Ep%C3%ADfita_musgo.jpg")</f>
        <v/>
      </c>
    </row>
    <row r="1907" ht="36.0" customHeight="1">
      <c r="A1907" s="16" t="str">
        <f t="shared" si="237"/>
        <v>SebasWork</v>
      </c>
      <c r="B1907" s="17" t="s">
        <v>3919</v>
      </c>
      <c r="C1907" s="18">
        <v>46203.82275462963</v>
      </c>
      <c r="D1907" s="17" t="s">
        <v>3920</v>
      </c>
      <c r="E1907" s="19" t="s">
        <v>29</v>
      </c>
      <c r="F1907" s="19" t="s">
        <v>30</v>
      </c>
      <c r="G1907" s="20" t="s">
        <v>17</v>
      </c>
      <c r="H1907" s="20" t="s">
        <v>18</v>
      </c>
      <c r="I1907" s="19" t="str">
        <f>IMAGE("https://upload.wikimedia.org/wikipedia/commons/0/0e/Reserva_natural_Santuario_de_los_flamencos_-_Guajira_-.jpg")</f>
        <v/>
      </c>
    </row>
    <row r="1908" ht="36.0" customHeight="1">
      <c r="A1908" s="10" t="str">
        <f t="shared" si="237"/>
        <v>SebasWork</v>
      </c>
      <c r="B1908" s="11" t="s">
        <v>3921</v>
      </c>
      <c r="C1908" s="12">
        <v>46203.82282407407</v>
      </c>
      <c r="D1908" s="11" t="s">
        <v>3922</v>
      </c>
      <c r="E1908" s="14" t="s">
        <v>29</v>
      </c>
      <c r="F1908" s="14" t="s">
        <v>30</v>
      </c>
      <c r="G1908" s="15" t="s">
        <v>17</v>
      </c>
      <c r="H1908" s="15" t="s">
        <v>18</v>
      </c>
      <c r="I1908" s="14" t="str">
        <f>IMAGE("https://upload.wikimedia.org/wikipedia/commons/c/c7/Reserva_natural_Santuario_de_los_flamencos_-_Guajira_-_Flamencos.jpg")</f>
        <v/>
      </c>
    </row>
    <row r="1909" ht="36.0" customHeight="1">
      <c r="A1909" s="16" t="str">
        <f t="shared" si="237"/>
        <v>SebasWork</v>
      </c>
      <c r="B1909" s="17" t="s">
        <v>3923</v>
      </c>
      <c r="C1909" s="18">
        <v>46203.82273148148</v>
      </c>
      <c r="D1909" s="17" t="s">
        <v>3924</v>
      </c>
      <c r="E1909" s="19" t="s">
        <v>29</v>
      </c>
      <c r="F1909" s="19" t="s">
        <v>30</v>
      </c>
      <c r="G1909" s="20" t="s">
        <v>17</v>
      </c>
      <c r="H1909" s="20" t="s">
        <v>18</v>
      </c>
      <c r="I1909" s="19" t="str">
        <f>IMAGE("https://upload.wikimedia.org/wikipedia/commons/1/1d/Reserva_natural_Santuario_de_los_flamencos_-_Guajira_-_Garza.jpg")</f>
        <v/>
      </c>
    </row>
    <row r="1910" ht="36.0" customHeight="1">
      <c r="A1910" s="10" t="str">
        <f t="shared" si="237"/>
        <v>SebasWork</v>
      </c>
      <c r="B1910" s="11" t="s">
        <v>3925</v>
      </c>
      <c r="C1910" s="12">
        <v>46203.82275462963</v>
      </c>
      <c r="D1910" s="11" t="s">
        <v>3926</v>
      </c>
      <c r="E1910" s="14" t="s">
        <v>29</v>
      </c>
      <c r="F1910" s="14" t="s">
        <v>30</v>
      </c>
      <c r="G1910" s="15" t="s">
        <v>17</v>
      </c>
      <c r="H1910" s="15" t="s">
        <v>18</v>
      </c>
      <c r="I1910" s="14" t="str">
        <f>IMAGE("https://upload.wikimedia.org/wikipedia/commons/8/87/Reserva_natural_Santuario_de_los_flamencos_-_Guajira_-_Garzas.jpg")</f>
        <v/>
      </c>
    </row>
    <row r="1911" ht="36.0" customHeight="1">
      <c r="A1911" s="16" t="str">
        <f t="shared" si="237"/>
        <v>SebasWork</v>
      </c>
      <c r="B1911" s="17" t="s">
        <v>3927</v>
      </c>
      <c r="C1911" s="18">
        <v>46203.82275462963</v>
      </c>
      <c r="D1911" s="17" t="s">
        <v>3928</v>
      </c>
      <c r="E1911" s="19" t="s">
        <v>29</v>
      </c>
      <c r="F1911" s="19" t="s">
        <v>30</v>
      </c>
      <c r="G1911" s="20" t="s">
        <v>17</v>
      </c>
      <c r="H1911" s="20" t="s">
        <v>18</v>
      </c>
      <c r="I1911" s="19" t="str">
        <f>IMAGE("https://upload.wikimedia.org/wikipedia/commons/8/89/Reserva_natural_Santuario_de_los_flamencos_-_Guajira_-_Platalea_ajaja_%28Espatula_rosada%29.jpg")</f>
        <v/>
      </c>
    </row>
    <row r="1912" ht="36.0" customHeight="1">
      <c r="A1912" s="10" t="str">
        <f>HYPERLINK("https://commons.wikimedia.org/wiki/User:" &amp; ENCODEURL("Luisalberto p"), "Luisalberto p")</f>
        <v>Luisalberto p</v>
      </c>
      <c r="B1912" s="11" t="s">
        <v>3929</v>
      </c>
      <c r="C1912" s="12">
        <v>46175.773460648146</v>
      </c>
      <c r="D1912" s="11" t="s">
        <v>3930</v>
      </c>
      <c r="E1912" s="14" t="s">
        <v>29</v>
      </c>
      <c r="F1912" s="14" t="s">
        <v>30</v>
      </c>
      <c r="G1912" s="15" t="s">
        <v>17</v>
      </c>
      <c r="H1912" s="15" t="s">
        <v>18</v>
      </c>
      <c r="I1912" s="14" t="str">
        <f>IMAGE("https://upload.wikimedia.org/wikipedia/commons/f/f2/Resistiendo_la_eterna_sequia.jpg")</f>
        <v/>
      </c>
    </row>
    <row r="1913" ht="36.0" customHeight="1">
      <c r="A1913" s="16" t="str">
        <f>HYPERLINK("https://commons.wikimedia.org/wiki/User:" &amp; ENCODEURL("Nbareschu"), "Nbareschu")</f>
        <v>Nbareschu</v>
      </c>
      <c r="B1913" s="17" t="s">
        <v>3931</v>
      </c>
      <c r="C1913" s="18">
        <v>46149.42157407408</v>
      </c>
      <c r="D1913" s="17" t="s">
        <v>3932</v>
      </c>
      <c r="E1913" s="19" t="s">
        <v>3933</v>
      </c>
      <c r="F1913" s="20" t="s">
        <v>16</v>
      </c>
      <c r="G1913" s="20" t="s">
        <v>17</v>
      </c>
      <c r="H1913" s="20" t="s">
        <v>18</v>
      </c>
      <c r="I1913" s="19" t="str">
        <f>IMAGE("https://upload.wikimedia.org/wikipedia/commons/0/00/Restrepo_a_reserva_chulajuan.jpg")</f>
        <v/>
      </c>
    </row>
    <row r="1914" ht="36.0" customHeight="1">
      <c r="A1914" s="10" t="str">
        <f>HYPERLINK("https://commons.wikimedia.org/wiki/User:" &amp; ENCODEURL("Diferoch"), "Diferoch")</f>
        <v>Diferoch</v>
      </c>
      <c r="B1914" s="11" t="s">
        <v>3934</v>
      </c>
      <c r="C1914" s="12">
        <v>46170.911215277774</v>
      </c>
      <c r="D1914" s="11" t="s">
        <v>3935</v>
      </c>
      <c r="E1914" s="14" t="s">
        <v>3936</v>
      </c>
      <c r="F1914" s="15" t="s">
        <v>16</v>
      </c>
      <c r="G1914" s="15" t="s">
        <v>17</v>
      </c>
      <c r="H1914" s="15" t="s">
        <v>18</v>
      </c>
      <c r="I1914" s="14" t="str">
        <f>IMAGE("https://upload.wikimedia.org/wikipedia/commons/f/fe/Rhinella_alata_-_Piedecuesta%2C_Santander%2C_Colombia_-_7_Jun_2026_-_Diferoch.jpg")</f>
        <v/>
      </c>
    </row>
    <row r="1915" ht="36.0" customHeight="1">
      <c r="A1915" s="16" t="str">
        <f>HYPERLINK("https://commons.wikimedia.org/wiki/User:" &amp; ENCODEURL("Jhoan Bravo"), "Jhoan Bravo")</f>
        <v>Jhoan Bravo</v>
      </c>
      <c r="B1915" s="17" t="s">
        <v>3937</v>
      </c>
      <c r="C1915" s="18">
        <v>46202.513865740744</v>
      </c>
      <c r="D1915" s="17" t="s">
        <v>3938</v>
      </c>
      <c r="E1915" s="19" t="s">
        <v>3939</v>
      </c>
      <c r="F1915" s="20" t="s">
        <v>16</v>
      </c>
      <c r="G1915" s="20" t="s">
        <v>17</v>
      </c>
      <c r="H1915" s="20" t="s">
        <v>18</v>
      </c>
      <c r="I1915" s="19" t="str">
        <f>IMAGE("https://upload.wikimedia.org/wikipedia/commons/2/21/Rhinella_sp._toad_in_Colombia.jpg")</f>
        <v/>
      </c>
    </row>
    <row r="1916" ht="36.0" customHeight="1">
      <c r="A1916" s="10" t="str">
        <f>HYPERLINK("https://commons.wikimedia.org/wiki/User:" &amp; ENCODEURL("Diferoch"), "Diferoch")</f>
        <v>Diferoch</v>
      </c>
      <c r="B1916" s="11" t="s">
        <v>3940</v>
      </c>
      <c r="C1916" s="12">
        <v>46199.848912037036</v>
      </c>
      <c r="D1916" s="11" t="s">
        <v>3941</v>
      </c>
      <c r="E1916" s="14" t="s">
        <v>2628</v>
      </c>
      <c r="F1916" s="15" t="s">
        <v>16</v>
      </c>
      <c r="G1916" s="15" t="s">
        <v>17</v>
      </c>
      <c r="H1916" s="15" t="s">
        <v>18</v>
      </c>
      <c r="I1916" s="14" t="str">
        <f>IMAGE("https://upload.wikimedia.org/wikipedia/commons/0/01/Rhodorhipha_flammans_-_Nuqu%C3%AD%2C_Choc%C3%B3%2C_Colombia_-_24_Oct_2025_-_Diferoch.jpg")</f>
        <v/>
      </c>
    </row>
    <row r="1917" ht="36.0" customHeight="1">
      <c r="A1917" s="16" t="str">
        <f>HYPERLINK("https://commons.wikimedia.org/wiki/User:" &amp; ENCODEURL("Oscarvelascomora"), "Oscarvelascomora")</f>
        <v>Oscarvelascomora</v>
      </c>
      <c r="B1917" s="17" t="s">
        <v>3942</v>
      </c>
      <c r="C1917" s="18">
        <v>46151.68319444444</v>
      </c>
      <c r="D1917" s="17" t="s">
        <v>3943</v>
      </c>
      <c r="E1917" s="19" t="s">
        <v>29</v>
      </c>
      <c r="F1917" s="19" t="s">
        <v>30</v>
      </c>
      <c r="G1917" s="20" t="s">
        <v>17</v>
      </c>
      <c r="H1917" s="20" t="s">
        <v>18</v>
      </c>
      <c r="I1917" s="19" t="str">
        <f>IMAGE("https://upload.wikimedia.org/wikipedia/commons/e/e2/Rio_Arauca.jpg")</f>
        <v/>
      </c>
    </row>
    <row r="1918" ht="36.0" customHeight="1">
      <c r="A1918" s="10" t="str">
        <f t="shared" ref="A1918:A1921" si="238">HYPERLINK("https://commons.wikimedia.org/wiki/User:" &amp; ENCODEURL("Juan Antonio Liévano A"), "Juan Antonio Liévano A")</f>
        <v>Juan Antonio Liévano A</v>
      </c>
      <c r="B1918" s="11" t="s">
        <v>3944</v>
      </c>
      <c r="C1918" s="12">
        <v>46203.580046296294</v>
      </c>
      <c r="D1918" s="11" t="s">
        <v>3945</v>
      </c>
      <c r="E1918" s="14" t="s">
        <v>29</v>
      </c>
      <c r="F1918" s="14" t="s">
        <v>30</v>
      </c>
      <c r="G1918" s="15" t="s">
        <v>17</v>
      </c>
      <c r="H1918" s="15" t="s">
        <v>18</v>
      </c>
      <c r="I1918" s="14" t="str">
        <f>IMAGE("https://upload.wikimedia.org/wikipedia/commons/4/4e/Rio_Caquet%C3%A1_-_Puerto_Remanso_del_Tigre_PNN_Cahuinari.jpg")</f>
        <v/>
      </c>
    </row>
    <row r="1919" ht="36.0" customHeight="1">
      <c r="A1919" s="16" t="str">
        <f t="shared" si="238"/>
        <v>Juan Antonio Liévano A</v>
      </c>
      <c r="B1919" s="17" t="s">
        <v>3946</v>
      </c>
      <c r="C1919" s="18">
        <v>46203.58011574074</v>
      </c>
      <c r="D1919" s="17" t="s">
        <v>3741</v>
      </c>
      <c r="E1919" s="19" t="s">
        <v>29</v>
      </c>
      <c r="F1919" s="19" t="s">
        <v>30</v>
      </c>
      <c r="G1919" s="20" t="s">
        <v>17</v>
      </c>
      <c r="H1919" s="20" t="s">
        <v>18</v>
      </c>
      <c r="I1919" s="19" t="str">
        <f>IMAGE("https://upload.wikimedia.org/wikipedia/commons/e/ed/Rio_Caquet%C3%A1_PNN_Cahuinari.jpg")</f>
        <v/>
      </c>
    </row>
    <row r="1920" ht="36.0" customHeight="1">
      <c r="A1920" s="10" t="str">
        <f t="shared" si="238"/>
        <v>Juan Antonio Liévano A</v>
      </c>
      <c r="B1920" s="11" t="s">
        <v>3947</v>
      </c>
      <c r="C1920" s="12">
        <v>46203.58008101852</v>
      </c>
      <c r="D1920" s="11" t="s">
        <v>3948</v>
      </c>
      <c r="E1920" s="14" t="s">
        <v>29</v>
      </c>
      <c r="F1920" s="14" t="s">
        <v>30</v>
      </c>
      <c r="G1920" s="15" t="s">
        <v>17</v>
      </c>
      <c r="H1920" s="15" t="s">
        <v>18</v>
      </c>
      <c r="I1920" s="14" t="str">
        <f>IMAGE("https://upload.wikimedia.org/wikipedia/commons/e/ef/Rio_Caquet%C3%A1_en_Verano_Tres_Islas_PNN_Cahuinari.jpg")</f>
        <v/>
      </c>
    </row>
    <row r="1921" ht="36.0" customHeight="1">
      <c r="A1921" s="16" t="str">
        <f t="shared" si="238"/>
        <v>Juan Antonio Liévano A</v>
      </c>
      <c r="B1921" s="17" t="s">
        <v>3949</v>
      </c>
      <c r="C1921" s="18">
        <v>46203.58008101852</v>
      </c>
      <c r="D1921" s="17" t="s">
        <v>3950</v>
      </c>
      <c r="E1921" s="19" t="s">
        <v>29</v>
      </c>
      <c r="F1921" s="19" t="s">
        <v>30</v>
      </c>
      <c r="G1921" s="20" t="s">
        <v>17</v>
      </c>
      <c r="H1921" s="20" t="s">
        <v>18</v>
      </c>
      <c r="I1921" s="19" t="str">
        <f>IMAGE("https://upload.wikimedia.org/wikipedia/commons/7/76/Rio_Caquet%C3%A1_en_verano_PNN_Cahuinari.jpg")</f>
        <v/>
      </c>
    </row>
    <row r="1922" ht="36.0" customHeight="1">
      <c r="A1922" s="10" t="str">
        <f>HYPERLINK("https://commons.wikimedia.org/wiki/User:" &amp; ENCODEURL("GABRIELITO5711"), "GABRIELITO5711")</f>
        <v>GABRIELITO5711</v>
      </c>
      <c r="B1922" s="11" t="s">
        <v>3951</v>
      </c>
      <c r="C1922" s="12">
        <v>46155.02185185185</v>
      </c>
      <c r="D1922" s="11" t="s">
        <v>3952</v>
      </c>
      <c r="E1922" s="14" t="s">
        <v>29</v>
      </c>
      <c r="F1922" s="14" t="s">
        <v>30</v>
      </c>
      <c r="G1922" s="15" t="s">
        <v>17</v>
      </c>
      <c r="H1922" s="15" t="s">
        <v>18</v>
      </c>
      <c r="I1922" s="14" t="str">
        <f>IMAGE("https://upload.wikimedia.org/wikipedia/commons/8/89/Rio_Cauca_con_su_cobija_de_nube.jpg")</f>
        <v/>
      </c>
    </row>
    <row r="1923" ht="36.0" customHeight="1">
      <c r="A1923" s="16" t="str">
        <f>HYPERLINK("https://commons.wikimedia.org/wiki/User:" &amp; ENCODEURL("Elprofeta91"), "Elprofeta91")</f>
        <v>Elprofeta91</v>
      </c>
      <c r="B1923" s="17" t="s">
        <v>3953</v>
      </c>
      <c r="C1923" s="18">
        <v>46147.79503472222</v>
      </c>
      <c r="D1923" s="17" t="s">
        <v>1560</v>
      </c>
      <c r="E1923" s="19" t="s">
        <v>3954</v>
      </c>
      <c r="F1923" s="20" t="s">
        <v>16</v>
      </c>
      <c r="G1923" s="20" t="s">
        <v>17</v>
      </c>
      <c r="H1923" s="20" t="s">
        <v>18</v>
      </c>
      <c r="I1923" s="19" t="str">
        <f>IMAGE("https://upload.wikimedia.org/wikipedia/commons/7/74/Rio_Cauca_y_rio_Nech%C3%AD.jpg")</f>
        <v/>
      </c>
    </row>
    <row r="1924" ht="36.0" customHeight="1">
      <c r="A1924" s="10" t="str">
        <f t="shared" ref="A1924:A1925" si="239">HYPERLINK("https://commons.wikimedia.org/wiki/User:" &amp; ENCODEURL("Mfrancoavellaneda"), "Mfrancoavellaneda")</f>
        <v>Mfrancoavellaneda</v>
      </c>
      <c r="B1924" s="11" t="s">
        <v>3955</v>
      </c>
      <c r="C1924" s="12">
        <v>46203.71140046296</v>
      </c>
      <c r="D1924" s="11" t="s">
        <v>3956</v>
      </c>
      <c r="E1924" s="14" t="s">
        <v>29</v>
      </c>
      <c r="F1924" s="14" t="s">
        <v>30</v>
      </c>
      <c r="G1924" s="15" t="s">
        <v>17</v>
      </c>
      <c r="H1924" s="15" t="s">
        <v>18</v>
      </c>
      <c r="I1924" s="14" t="str">
        <f>IMAGE("https://upload.wikimedia.org/wikipedia/commons/2/2c/Rio_Magdalena_Honda.jpg")</f>
        <v/>
      </c>
    </row>
    <row r="1925" ht="36.0" customHeight="1">
      <c r="A1925" s="16" t="str">
        <f t="shared" si="239"/>
        <v>Mfrancoavellaneda</v>
      </c>
      <c r="B1925" s="17" t="s">
        <v>3957</v>
      </c>
      <c r="C1925" s="18">
        <v>46203.83814814815</v>
      </c>
      <c r="D1925" s="17" t="s">
        <v>3958</v>
      </c>
      <c r="E1925" s="19" t="s">
        <v>29</v>
      </c>
      <c r="F1925" s="19" t="s">
        <v>30</v>
      </c>
      <c r="G1925" s="20" t="s">
        <v>17</v>
      </c>
      <c r="H1925" s="20" t="s">
        <v>18</v>
      </c>
      <c r="I1925" s="19" t="str">
        <f>IMAGE("https://upload.wikimedia.org/wikipedia/commons/9/94/Rio_Magdalena_vista_Guaduas.jpg")</f>
        <v/>
      </c>
    </row>
    <row r="1926" ht="36.0" customHeight="1">
      <c r="A1926" s="10" t="str">
        <f>HYPERLINK("https://commons.wikimedia.org/wiki/User:" &amp; ENCODEURL("Anvar2420"), "Anvar2420")</f>
        <v>Anvar2420</v>
      </c>
      <c r="B1926" s="11" t="s">
        <v>3959</v>
      </c>
      <c r="C1926" s="12">
        <v>46163.55685185185</v>
      </c>
      <c r="D1926" s="11" t="s">
        <v>3960</v>
      </c>
      <c r="E1926" s="14" t="s">
        <v>29</v>
      </c>
      <c r="F1926" s="14" t="s">
        <v>30</v>
      </c>
      <c r="G1926" s="15" t="s">
        <v>17</v>
      </c>
      <c r="H1926" s="15" t="s">
        <v>18</v>
      </c>
      <c r="I1926" s="14" t="str">
        <f>IMAGE("https://upload.wikimedia.org/wikipedia/commons/a/a8/Rio_Pauto.jpg")</f>
        <v/>
      </c>
    </row>
    <row r="1927" ht="36.0" customHeight="1">
      <c r="A1927" s="16" t="str">
        <f>HYPERLINK("https://commons.wikimedia.org/wiki/User:" &amp; ENCODEURL("CHAVESJUAN19"), "CHAVESJUAN19")</f>
        <v>CHAVESJUAN19</v>
      </c>
      <c r="B1927" s="17" t="s">
        <v>3961</v>
      </c>
      <c r="C1927" s="18">
        <v>46203.786215277774</v>
      </c>
      <c r="D1927" s="17" t="s">
        <v>3962</v>
      </c>
      <c r="E1927" s="19" t="s">
        <v>3963</v>
      </c>
      <c r="F1927" s="20" t="s">
        <v>16</v>
      </c>
      <c r="G1927" s="20" t="s">
        <v>17</v>
      </c>
      <c r="H1927" s="20" t="s">
        <v>18</v>
      </c>
      <c r="I1927" s="19" t="str">
        <f>IMAGE("https://upload.wikimedia.org/wikipedia/commons/1/16/Rio_Suaza_-_PNN_Cueva_de_los_Guacharos.jpg")</f>
        <v/>
      </c>
    </row>
    <row r="1928" ht="36.0" customHeight="1">
      <c r="A1928" s="10" t="str">
        <f>HYPERLINK("https://commons.wikimedia.org/wiki/User:" &amp; ENCODEURL("Natalia gferia"), "Natalia gferia")</f>
        <v>Natalia gferia</v>
      </c>
      <c r="B1928" s="11" t="s">
        <v>3964</v>
      </c>
      <c r="C1928" s="12">
        <v>46202.5903587963</v>
      </c>
      <c r="D1928" s="11" t="s">
        <v>3965</v>
      </c>
      <c r="E1928" s="14" t="s">
        <v>29</v>
      </c>
      <c r="F1928" s="14" t="s">
        <v>30</v>
      </c>
      <c r="G1928" s="15" t="s">
        <v>17</v>
      </c>
      <c r="H1928" s="15" t="s">
        <v>18</v>
      </c>
      <c r="I1928" s="14" t="str">
        <f>IMAGE("https://upload.wikimedia.org/wikipedia/commons/6/6f/Rio_Termales_el_sif%C3%B3n.jpg")</f>
        <v/>
      </c>
    </row>
    <row r="1929" ht="36.0" customHeight="1">
      <c r="A1929" s="16" t="str">
        <f>HYPERLINK("https://commons.wikimedia.org/wiki/User:" &amp; ENCODEURL("Mig.ast20"), "Mig.ast20")</f>
        <v>Mig.ast20</v>
      </c>
      <c r="B1929" s="17" t="s">
        <v>3966</v>
      </c>
      <c r="C1929" s="18">
        <v>46163.56998842592</v>
      </c>
      <c r="D1929" s="17" t="s">
        <v>3967</v>
      </c>
      <c r="E1929" s="19" t="s">
        <v>29</v>
      </c>
      <c r="F1929" s="19" t="s">
        <v>30</v>
      </c>
      <c r="G1929" s="20" t="s">
        <v>17</v>
      </c>
      <c r="H1929" s="20" t="s">
        <v>18</v>
      </c>
      <c r="I1929" s="19" t="str">
        <f>IMAGE("https://upload.wikimedia.org/wikipedia/commons/8/88/Rio_de_Infancia.jpg")</f>
        <v/>
      </c>
    </row>
    <row r="1930" ht="36.0" customHeight="1">
      <c r="A1930" s="10" t="str">
        <f>HYPERLINK("https://commons.wikimedia.org/wiki/User:" &amp; ENCODEURL("Willandre1194"), "Willandre1194")</f>
        <v>Willandre1194</v>
      </c>
      <c r="B1930" s="11" t="s">
        <v>3968</v>
      </c>
      <c r="C1930" s="12">
        <v>46155.6609837963</v>
      </c>
      <c r="D1930" s="11" t="s">
        <v>3969</v>
      </c>
      <c r="E1930" s="14" t="s">
        <v>29</v>
      </c>
      <c r="F1930" s="14" t="s">
        <v>30</v>
      </c>
      <c r="G1930" s="15" t="s">
        <v>17</v>
      </c>
      <c r="H1930" s="15" t="s">
        <v>18</v>
      </c>
      <c r="I1930" s="14" t="str">
        <f>IMAGE("https://upload.wikimedia.org/wikipedia/commons/8/89/Rio_en_Valle_del_Cauca.jpg")</f>
        <v/>
      </c>
    </row>
    <row r="1931" ht="36.0" customHeight="1">
      <c r="A1931" s="16" t="str">
        <f>HYPERLINK("https://commons.wikimedia.org/wiki/User:" &amp; ENCODEURL("Maximo10momeridio"), "Maximo10momeridio")</f>
        <v>Maximo10momeridio</v>
      </c>
      <c r="B1931" s="17" t="s">
        <v>3970</v>
      </c>
      <c r="C1931" s="18">
        <v>46163.56688657407</v>
      </c>
      <c r="D1931" s="17" t="s">
        <v>3971</v>
      </c>
      <c r="E1931" s="19" t="s">
        <v>29</v>
      </c>
      <c r="F1931" s="19" t="s">
        <v>30</v>
      </c>
      <c r="G1931" s="20" t="s">
        <v>17</v>
      </c>
      <c r="H1931" s="20" t="s">
        <v>18</v>
      </c>
      <c r="I1931" s="19" t="str">
        <f>IMAGE("https://upload.wikimedia.org/wikipedia/commons/9/9c/Rio_sinu_corrido_en_lancha.jpg")</f>
        <v/>
      </c>
    </row>
    <row r="1932" ht="36.0" customHeight="1">
      <c r="A1932" s="10" t="str">
        <f>HYPERLINK("https://commons.wikimedia.org/wiki/User:" &amp; ENCODEURL("Felipequiceno"), "Felipequiceno")</f>
        <v>Felipequiceno</v>
      </c>
      <c r="B1932" s="11" t="s">
        <v>3972</v>
      </c>
      <c r="C1932" s="12">
        <v>46146.77730324074</v>
      </c>
      <c r="D1932" s="11" t="s">
        <v>3973</v>
      </c>
      <c r="E1932" s="14" t="s">
        <v>29</v>
      </c>
      <c r="F1932" s="14" t="s">
        <v>30</v>
      </c>
      <c r="G1932" s="15" t="s">
        <v>17</v>
      </c>
      <c r="H1932" s="15" t="s">
        <v>18</v>
      </c>
      <c r="I1932" s="14" t="str">
        <f>IMAGE("https://upload.wikimedia.org/wikipedia/commons/2/24/Ritacuba_blanco_panoramica.jpg")</f>
        <v/>
      </c>
    </row>
    <row r="1933" ht="36.0" customHeight="1">
      <c r="A1933" s="16" t="str">
        <f>HYPERLINK("https://commons.wikimedia.org/wiki/User:" &amp; ENCODEURL("Dacorralesc"), "Dacorralesc")</f>
        <v>Dacorralesc</v>
      </c>
      <c r="B1933" s="17" t="s">
        <v>3974</v>
      </c>
      <c r="C1933" s="18">
        <v>46204.01644675926</v>
      </c>
      <c r="D1933" s="17" t="s">
        <v>3975</v>
      </c>
      <c r="E1933" s="19" t="s">
        <v>3976</v>
      </c>
      <c r="F1933" s="20" t="s">
        <v>16</v>
      </c>
      <c r="G1933" s="20" t="s">
        <v>17</v>
      </c>
      <c r="H1933" s="20" t="s">
        <v>18</v>
      </c>
      <c r="I1933" s="19" t="str">
        <f>IMAGE("https://upload.wikimedia.org/wikipedia/commons/e/e2/Ritakwa_Blanco_20260614.jpg")</f>
        <v/>
      </c>
    </row>
    <row r="1934" ht="36.0" customHeight="1">
      <c r="A1934" s="10" t="str">
        <f>HYPERLINK("https://commons.wikimedia.org/wiki/User:" &amp; ENCODEURL("Joseeem"), "Joseeem")</f>
        <v>Joseeem</v>
      </c>
      <c r="B1934" s="11" t="s">
        <v>3977</v>
      </c>
      <c r="C1934" s="12">
        <v>46156.94494212963</v>
      </c>
      <c r="D1934" s="11" t="s">
        <v>3978</v>
      </c>
      <c r="E1934" s="14" t="s">
        <v>29</v>
      </c>
      <c r="F1934" s="14" t="s">
        <v>30</v>
      </c>
      <c r="G1934" s="15" t="s">
        <v>17</v>
      </c>
      <c r="H1934" s="15" t="s">
        <v>18</v>
      </c>
      <c r="I1934" s="14" t="str">
        <f>IMAGE("https://upload.wikimedia.org/wikipedia/commons/5/58/River_in_Palomino_Colombia.jpg")</f>
        <v/>
      </c>
    </row>
    <row r="1935" ht="36.0" customHeight="1">
      <c r="A1935" s="16" t="str">
        <f t="shared" ref="A1935:A1937" si="240">HYPERLINK("https://commons.wikimedia.org/wiki/User:" &amp; ENCODEURL("Nathaly 1106"), "Nathaly 1106")</f>
        <v>Nathaly 1106</v>
      </c>
      <c r="B1935" s="17" t="s">
        <v>3979</v>
      </c>
      <c r="C1935" s="18">
        <v>46147.67120370371</v>
      </c>
      <c r="D1935" s="17" t="s">
        <v>3980</v>
      </c>
      <c r="E1935" s="19" t="s">
        <v>29</v>
      </c>
      <c r="F1935" s="19" t="s">
        <v>30</v>
      </c>
      <c r="G1935" s="20" t="s">
        <v>17</v>
      </c>
      <c r="H1935" s="20" t="s">
        <v>18</v>
      </c>
      <c r="I1935" s="19" t="str">
        <f>IMAGE("https://upload.wikimedia.org/wikipedia/commons/6/64/Roble_%28Fagaceae%29.jpg")</f>
        <v/>
      </c>
    </row>
    <row r="1936" ht="36.0" customHeight="1">
      <c r="A1936" s="10" t="str">
        <f t="shared" si="240"/>
        <v>Nathaly 1106</v>
      </c>
      <c r="B1936" s="11" t="s">
        <v>3981</v>
      </c>
      <c r="C1936" s="12">
        <v>46148.619467592594</v>
      </c>
      <c r="D1936" s="11" t="s">
        <v>3982</v>
      </c>
      <c r="E1936" s="14" t="s">
        <v>29</v>
      </c>
      <c r="F1936" s="14" t="s">
        <v>30</v>
      </c>
      <c r="G1936" s="15" t="s">
        <v>17</v>
      </c>
      <c r="H1936" s="15" t="s">
        <v>18</v>
      </c>
      <c r="I1936" s="14" t="str">
        <f>IMAGE("https://upload.wikimedia.org/wikipedia/commons/3/3b/Roble_%28Quercus_humboldtii%29.jpg")</f>
        <v/>
      </c>
    </row>
    <row r="1937" ht="36.0" customHeight="1">
      <c r="A1937" s="16" t="str">
        <f t="shared" si="240"/>
        <v>Nathaly 1106</v>
      </c>
      <c r="B1937" s="17" t="s">
        <v>3983</v>
      </c>
      <c r="C1937" s="18">
        <v>46148.61950231482</v>
      </c>
      <c r="D1937" s="17" t="s">
        <v>3984</v>
      </c>
      <c r="E1937" s="19" t="s">
        <v>29</v>
      </c>
      <c r="F1937" s="19" t="s">
        <v>30</v>
      </c>
      <c r="G1937" s="20" t="s">
        <v>17</v>
      </c>
      <c r="H1937" s="20" t="s">
        <v>18</v>
      </c>
      <c r="I1937" s="19" t="str">
        <f>IMAGE("https://upload.wikimedia.org/wikipedia/commons/5/56/Roble_andino_%28Quercus_humboldtii%29.jpg")</f>
        <v/>
      </c>
    </row>
    <row r="1938" ht="36.0" customHeight="1">
      <c r="A1938" s="10" t="str">
        <f t="shared" ref="A1938:A1939" si="241">HYPERLINK("https://commons.wikimedia.org/wiki/User:" &amp; ENCODEURL("DeibyJk"), "DeibyJk")</f>
        <v>DeibyJk</v>
      </c>
      <c r="B1938" s="11" t="s">
        <v>3985</v>
      </c>
      <c r="C1938" s="12">
        <v>46166.94181712963</v>
      </c>
      <c r="D1938" s="11" t="s">
        <v>158</v>
      </c>
      <c r="E1938" s="14" t="s">
        <v>29</v>
      </c>
      <c r="F1938" s="14" t="s">
        <v>30</v>
      </c>
      <c r="G1938" s="15" t="s">
        <v>17</v>
      </c>
      <c r="H1938" s="15" t="s">
        <v>18</v>
      </c>
      <c r="I1938" s="14" t="str">
        <f>IMAGE("https://upload.wikimedia.org/wikipedia/commons/c/ca/Rojashuila_02.jpg")</f>
        <v/>
      </c>
    </row>
    <row r="1939" ht="36.0" customHeight="1">
      <c r="A1939" s="16" t="str">
        <f t="shared" si="241"/>
        <v>DeibyJk</v>
      </c>
      <c r="B1939" s="17" t="s">
        <v>3986</v>
      </c>
      <c r="C1939" s="18">
        <v>46166.94212962963</v>
      </c>
      <c r="D1939" s="17" t="s">
        <v>158</v>
      </c>
      <c r="E1939" s="19" t="s">
        <v>29</v>
      </c>
      <c r="F1939" s="19" t="s">
        <v>30</v>
      </c>
      <c r="G1939" s="20" t="s">
        <v>17</v>
      </c>
      <c r="H1939" s="20" t="s">
        <v>18</v>
      </c>
      <c r="I1939" s="19" t="str">
        <f>IMAGE("https://upload.wikimedia.org/wikipedia/commons/9/92/Rojashuila_17.jpg")</f>
        <v/>
      </c>
    </row>
    <row r="1940" ht="36.0" customHeight="1">
      <c r="A1940" s="10" t="str">
        <f>HYPERLINK("https://commons.wikimedia.org/wiki/User:" &amp; ENCODEURL("SoyElMaloColon"), "SoyElMaloColon")</f>
        <v>SoyElMaloColon</v>
      </c>
      <c r="B1940" s="11" t="s">
        <v>3987</v>
      </c>
      <c r="C1940" s="12">
        <v>46163.11399305556</v>
      </c>
      <c r="D1940" s="11" t="s">
        <v>3988</v>
      </c>
      <c r="E1940" s="14" t="s">
        <v>29</v>
      </c>
      <c r="F1940" s="14" t="s">
        <v>30</v>
      </c>
      <c r="G1940" s="15" t="s">
        <v>17</v>
      </c>
      <c r="H1940" s="15" t="s">
        <v>18</v>
      </c>
      <c r="I1940" s="14" t="str">
        <f>IMAGE("https://upload.wikimedia.org/wikipedia/commons/9/9f/Rooster_Ritual.jpg")</f>
        <v/>
      </c>
    </row>
    <row r="1941" ht="36.0" customHeight="1">
      <c r="A1941" s="16" t="str">
        <f t="shared" ref="A1941:A1942" si="242">HYPERLINK("https://commons.wikimedia.org/wiki/User:" &amp; ENCODEURL("AmiGueko"), "AmiGueko")</f>
        <v>AmiGueko</v>
      </c>
      <c r="B1941" s="17" t="s">
        <v>3989</v>
      </c>
      <c r="C1941" s="18">
        <v>46166.574108796296</v>
      </c>
      <c r="D1941" s="17" t="s">
        <v>3990</v>
      </c>
      <c r="E1941" s="19" t="s">
        <v>3991</v>
      </c>
      <c r="F1941" s="20" t="s">
        <v>16</v>
      </c>
      <c r="G1941" s="20" t="s">
        <v>17</v>
      </c>
      <c r="H1941" s="20" t="s">
        <v>18</v>
      </c>
      <c r="I1941" s="19" t="str">
        <f>IMAGE("https://upload.wikimedia.org/wikipedia/commons/b/bd/Rosa_%2843191%29.jpg")</f>
        <v/>
      </c>
    </row>
    <row r="1942" ht="36.0" customHeight="1">
      <c r="A1942" s="10" t="str">
        <f t="shared" si="242"/>
        <v>AmiGueko</v>
      </c>
      <c r="B1942" s="11" t="s">
        <v>3992</v>
      </c>
      <c r="C1942" s="12">
        <v>46166.57400462963</v>
      </c>
      <c r="D1942" s="11" t="s">
        <v>3990</v>
      </c>
      <c r="E1942" s="14" t="s">
        <v>3993</v>
      </c>
      <c r="F1942" s="15" t="s">
        <v>16</v>
      </c>
      <c r="G1942" s="15" t="s">
        <v>17</v>
      </c>
      <c r="H1942" s="15" t="s">
        <v>18</v>
      </c>
      <c r="I1942" s="14" t="str">
        <f>IMAGE("https://upload.wikimedia.org/wikipedia/commons/8/82/Rosa_%2899661%29.jpg")</f>
        <v/>
      </c>
    </row>
    <row r="1943" ht="36.0" customHeight="1">
      <c r="A1943" s="16" t="str">
        <f>HYPERLINK("https://commons.wikimedia.org/wiki/User:" &amp; ENCODEURL("Project5443"), "Project5443")</f>
        <v>Project5443</v>
      </c>
      <c r="B1943" s="17" t="s">
        <v>3994</v>
      </c>
      <c r="C1943" s="18">
        <v>46163.56591435185</v>
      </c>
      <c r="D1943" s="17" t="s">
        <v>3995</v>
      </c>
      <c r="E1943" s="19" t="s">
        <v>2314</v>
      </c>
      <c r="F1943" s="20" t="s">
        <v>16</v>
      </c>
      <c r="G1943" s="20" t="s">
        <v>17</v>
      </c>
      <c r="H1943" s="20" t="s">
        <v>18</v>
      </c>
      <c r="I1943" s="19" t="str">
        <f>IMAGE("https://upload.wikimedia.org/wikipedia/commons/5/59/Rosa_Polyantha.jpg")</f>
        <v/>
      </c>
    </row>
    <row r="1944" ht="36.0" customHeight="1">
      <c r="A1944" s="10" t="str">
        <f>HYPERLINK("https://commons.wikimedia.org/wiki/User:" &amp; ENCODEURL("PauMU86"), "PauMU86")</f>
        <v>PauMU86</v>
      </c>
      <c r="B1944" s="11" t="s">
        <v>3996</v>
      </c>
      <c r="C1944" s="12">
        <v>46171.69053240741</v>
      </c>
      <c r="D1944" s="11" t="s">
        <v>3997</v>
      </c>
      <c r="E1944" s="14" t="s">
        <v>29</v>
      </c>
      <c r="F1944" s="14" t="s">
        <v>30</v>
      </c>
      <c r="G1944" s="15" t="s">
        <v>17</v>
      </c>
      <c r="H1944" s="15" t="s">
        <v>18</v>
      </c>
      <c r="I1944" s="14" t="str">
        <f>IMAGE("https://upload.wikimedia.org/wikipedia/commons/c/c6/Rosales_en_JBB.jpg")</f>
        <v/>
      </c>
    </row>
    <row r="1945" ht="36.0" customHeight="1">
      <c r="A1945" s="16" t="str">
        <f>HYPERLINK("https://commons.wikimedia.org/wiki/User:" &amp; ENCODEURL("DeibyJk"), "DeibyJk")</f>
        <v>DeibyJk</v>
      </c>
      <c r="B1945" s="17" t="s">
        <v>3998</v>
      </c>
      <c r="C1945" s="18">
        <v>46166.94184027778</v>
      </c>
      <c r="D1945" s="17" t="s">
        <v>158</v>
      </c>
      <c r="E1945" s="19" t="s">
        <v>29</v>
      </c>
      <c r="F1945" s="19" t="s">
        <v>30</v>
      </c>
      <c r="G1945" s="20" t="s">
        <v>17</v>
      </c>
      <c r="H1945" s="20" t="s">
        <v>18</v>
      </c>
      <c r="I1945" s="19" t="str">
        <f>IMAGE("https://upload.wikimedia.org/wikipedia/commons/c/c5/Rosashuila_03.jpg")</f>
        <v/>
      </c>
    </row>
    <row r="1946" ht="36.0" customHeight="1">
      <c r="A1946" s="10" t="str">
        <f>HYPERLINK("https://commons.wikimedia.org/wiki/User:" &amp; ENCODEURL("Mtapiasoquendo"), "Mtapiasoquendo")</f>
        <v>Mtapiasoquendo</v>
      </c>
      <c r="B1946" s="11" t="s">
        <v>3999</v>
      </c>
      <c r="C1946" s="12">
        <v>46192.86295138889</v>
      </c>
      <c r="D1946" s="11" t="s">
        <v>4000</v>
      </c>
      <c r="E1946" s="14" t="s">
        <v>29</v>
      </c>
      <c r="F1946" s="14" t="s">
        <v>30</v>
      </c>
      <c r="G1946" s="15" t="s">
        <v>17</v>
      </c>
      <c r="H1946" s="15" t="s">
        <v>18</v>
      </c>
      <c r="I1946" s="14" t="str">
        <f>IMAGE("https://upload.wikimedia.org/wikipedia/commons/2/24/Rostro_de_mujer.jpg")</f>
        <v/>
      </c>
    </row>
    <row r="1947" ht="36.0" customHeight="1">
      <c r="A1947" s="16" t="str">
        <f>HYPERLINK("https://commons.wikimedia.org/wiki/User:" &amp; ENCODEURL("Diferoch"), "Diferoch")</f>
        <v>Diferoch</v>
      </c>
      <c r="B1947" s="17" t="s">
        <v>4001</v>
      </c>
      <c r="C1947" s="18">
        <v>46166.8762037037</v>
      </c>
      <c r="D1947" s="17" t="s">
        <v>4002</v>
      </c>
      <c r="E1947" s="19" t="s">
        <v>4003</v>
      </c>
      <c r="F1947" s="20" t="s">
        <v>16</v>
      </c>
      <c r="G1947" s="20" t="s">
        <v>17</v>
      </c>
      <c r="H1947" s="20" t="s">
        <v>18</v>
      </c>
      <c r="I1947" s="19" t="str">
        <f>IMAGE("https://upload.wikimedia.org/wikipedia/commons/4/40/Rupornis_magnirostris_magnirostris_-_Barrancabermeja%2C_Santander%2C_Colombia_-_3_Jun_2025.jpg")</f>
        <v/>
      </c>
    </row>
    <row r="1948" ht="36.0" customHeight="1">
      <c r="A1948" s="10" t="str">
        <f>HYPERLINK("https://commons.wikimedia.org/wiki/User:" &amp; ENCODEURL("Sandramirezgiraldo"), "Sandramirezgiraldo")</f>
        <v>Sandramirezgiraldo</v>
      </c>
      <c r="B1948" s="11" t="s">
        <v>4004</v>
      </c>
      <c r="C1948" s="12">
        <v>46203.995416666665</v>
      </c>
      <c r="D1948" s="11" t="s">
        <v>4005</v>
      </c>
      <c r="E1948" s="14" t="s">
        <v>29</v>
      </c>
      <c r="F1948" s="14" t="s">
        <v>30</v>
      </c>
      <c r="G1948" s="15" t="s">
        <v>17</v>
      </c>
      <c r="H1948" s="15" t="s">
        <v>18</v>
      </c>
      <c r="I1948" s="14" t="str">
        <f>IMAGE("https://upload.wikimedia.org/wikipedia/commons/b/ba/R%C3%ADo_Cauca%2C_Bajo_Cauca.jpg")</f>
        <v/>
      </c>
    </row>
    <row r="1949" ht="36.0" customHeight="1">
      <c r="A1949" s="16" t="str">
        <f>HYPERLINK("https://commons.wikimedia.org/wiki/User:" &amp; ENCODEURL("Luis commons"), "Luis commons")</f>
        <v>Luis commons</v>
      </c>
      <c r="B1949" s="17" t="s">
        <v>4006</v>
      </c>
      <c r="C1949" s="18">
        <v>46143.5750462963</v>
      </c>
      <c r="D1949" s="17" t="s">
        <v>4007</v>
      </c>
      <c r="E1949" s="19" t="s">
        <v>29</v>
      </c>
      <c r="F1949" s="19" t="s">
        <v>30</v>
      </c>
      <c r="G1949" s="20" t="s">
        <v>17</v>
      </c>
      <c r="H1949" s="20" t="s">
        <v>18</v>
      </c>
      <c r="I1949" s="19" t="str">
        <f>IMAGE("https://upload.wikimedia.org/wikipedia/commons/5/5e/R%C3%ADo_Cauca_en_su_paso_por_Caucasia.jpg")</f>
        <v/>
      </c>
    </row>
    <row r="1950" ht="36.0" customHeight="1">
      <c r="A1950" s="10" t="str">
        <f>HYPERLINK("https://commons.wikimedia.org/wiki/User:" &amp; ENCODEURL("Juan Carlos Sáenz Rodríguez"), "Juan Carlos Sáenz Rodríguez")</f>
        <v>Juan Carlos Sáenz Rodríguez</v>
      </c>
      <c r="B1950" s="11" t="s">
        <v>4008</v>
      </c>
      <c r="C1950" s="12">
        <v>46194.583136574074</v>
      </c>
      <c r="D1950" s="11" t="s">
        <v>4009</v>
      </c>
      <c r="E1950" s="14" t="s">
        <v>29</v>
      </c>
      <c r="F1950" s="14" t="s">
        <v>30</v>
      </c>
      <c r="G1950" s="15" t="s">
        <v>17</v>
      </c>
      <c r="H1950" s="15" t="s">
        <v>18</v>
      </c>
      <c r="I1950" s="14" t="str">
        <f>IMAGE("https://upload.wikimedia.org/wikipedia/commons/8/8b/R%C3%ADo_Lagunillas.jpg")</f>
        <v/>
      </c>
    </row>
    <row r="1951" ht="36.0" customHeight="1">
      <c r="A1951" s="16" t="str">
        <f t="shared" ref="A1951:A1955" si="243">HYPERLINK("https://commons.wikimedia.org/wiki/User:" &amp; ENCODEURL("Quillero1973"), "Quillero1973")</f>
        <v>Quillero1973</v>
      </c>
      <c r="B1951" s="17" t="s">
        <v>4010</v>
      </c>
      <c r="C1951" s="18">
        <v>46198.666875</v>
      </c>
      <c r="D1951" s="17" t="s">
        <v>4011</v>
      </c>
      <c r="E1951" s="19" t="s">
        <v>29</v>
      </c>
      <c r="F1951" s="19" t="s">
        <v>30</v>
      </c>
      <c r="G1951" s="20" t="s">
        <v>17</v>
      </c>
      <c r="H1951" s="20" t="s">
        <v>18</v>
      </c>
      <c r="I1951" s="19" t="str">
        <f>IMAGE("https://upload.wikimedia.org/wikipedia/commons/3/3a/R%C3%ADo_Magdalena_en_la_ma%C3%B1ana_paisaje_1.jpg")</f>
        <v/>
      </c>
    </row>
    <row r="1952" ht="36.0" customHeight="1">
      <c r="A1952" s="10" t="str">
        <f t="shared" si="243"/>
        <v>Quillero1973</v>
      </c>
      <c r="B1952" s="11" t="s">
        <v>4012</v>
      </c>
      <c r="C1952" s="12">
        <v>46198.666909722226</v>
      </c>
      <c r="D1952" s="11" t="s">
        <v>4013</v>
      </c>
      <c r="E1952" s="14" t="s">
        <v>29</v>
      </c>
      <c r="F1952" s="14" t="s">
        <v>30</v>
      </c>
      <c r="G1952" s="15" t="s">
        <v>17</v>
      </c>
      <c r="H1952" s="15" t="s">
        <v>18</v>
      </c>
      <c r="I1952" s="14" t="str">
        <f>IMAGE("https://upload.wikimedia.org/wikipedia/commons/e/eb/R%C3%ADo_Magdalena_paisaje_2.jpg")</f>
        <v/>
      </c>
    </row>
    <row r="1953" ht="36.0" customHeight="1">
      <c r="A1953" s="16" t="str">
        <f t="shared" si="243"/>
        <v>Quillero1973</v>
      </c>
      <c r="B1953" s="17" t="s">
        <v>4014</v>
      </c>
      <c r="C1953" s="18">
        <v>46198.666909722226</v>
      </c>
      <c r="D1953" s="17" t="s">
        <v>4015</v>
      </c>
      <c r="E1953" s="19" t="s">
        <v>29</v>
      </c>
      <c r="F1953" s="19" t="s">
        <v>30</v>
      </c>
      <c r="G1953" s="20" t="s">
        <v>17</v>
      </c>
      <c r="H1953" s="20" t="s">
        <v>18</v>
      </c>
      <c r="I1953" s="19" t="str">
        <f>IMAGE("https://upload.wikimedia.org/wikipedia/commons/b/b6/R%C3%ADo_Magdalena_paisaje_3.jpg")</f>
        <v/>
      </c>
    </row>
    <row r="1954" ht="36.0" customHeight="1">
      <c r="A1954" s="10" t="str">
        <f t="shared" si="243"/>
        <v>Quillero1973</v>
      </c>
      <c r="B1954" s="11" t="s">
        <v>4016</v>
      </c>
      <c r="C1954" s="12">
        <v>46198.666909722226</v>
      </c>
      <c r="D1954" s="11" t="s">
        <v>4015</v>
      </c>
      <c r="E1954" s="14" t="s">
        <v>29</v>
      </c>
      <c r="F1954" s="14" t="s">
        <v>30</v>
      </c>
      <c r="G1954" s="15" t="s">
        <v>17</v>
      </c>
      <c r="H1954" s="15" t="s">
        <v>18</v>
      </c>
      <c r="I1954" s="14" t="str">
        <f>IMAGE("https://upload.wikimedia.org/wikipedia/commons/0/03/R%C3%ADo_Magdalena_paisaje_4.jpg")</f>
        <v/>
      </c>
    </row>
    <row r="1955" ht="36.0" customHeight="1">
      <c r="A1955" s="16" t="str">
        <f t="shared" si="243"/>
        <v>Quillero1973</v>
      </c>
      <c r="B1955" s="17" t="s">
        <v>4017</v>
      </c>
      <c r="C1955" s="18">
        <v>46198.66694444444</v>
      </c>
      <c r="D1955" s="17" t="s">
        <v>4015</v>
      </c>
      <c r="E1955" s="19" t="s">
        <v>29</v>
      </c>
      <c r="F1955" s="19" t="s">
        <v>30</v>
      </c>
      <c r="G1955" s="20" t="s">
        <v>17</v>
      </c>
      <c r="H1955" s="20" t="s">
        <v>18</v>
      </c>
      <c r="I1955" s="19" t="str">
        <f>IMAGE("https://upload.wikimedia.org/wikipedia/commons/e/e7/R%C3%ADo_Magdalena_paisaje_5.jpg")</f>
        <v/>
      </c>
    </row>
    <row r="1956" ht="36.0" customHeight="1">
      <c r="A1956" s="10" t="str">
        <f>HYPERLINK("https://commons.wikimedia.org/wiki/User:" &amp; ENCODEURL("Juanrapave"), "Juanrapave")</f>
        <v>Juanrapave</v>
      </c>
      <c r="B1956" s="11" t="s">
        <v>4018</v>
      </c>
      <c r="C1956" s="12">
        <v>46166.313252314816</v>
      </c>
      <c r="D1956" s="11" t="s">
        <v>4019</v>
      </c>
      <c r="E1956" s="14" t="s">
        <v>4020</v>
      </c>
      <c r="F1956" s="15" t="s">
        <v>16</v>
      </c>
      <c r="G1956" s="15" t="s">
        <v>17</v>
      </c>
      <c r="H1956" s="15" t="s">
        <v>18</v>
      </c>
      <c r="I1956" s="14" t="str">
        <f>IMAGE("https://upload.wikimedia.org/wikipedia/commons/f/fa/R%C3%ADo_Palomino.jpg")</f>
        <v/>
      </c>
    </row>
    <row r="1957" ht="36.0" customHeight="1">
      <c r="A1957" s="16" t="str">
        <f>HYPERLINK("https://commons.wikimedia.org/wiki/User:" &amp; ENCODEURL("Maracome"), "Maracome")</f>
        <v>Maracome</v>
      </c>
      <c r="B1957" s="17" t="s">
        <v>4021</v>
      </c>
      <c r="C1957" s="18">
        <v>46149.952893518515</v>
      </c>
      <c r="D1957" s="17" t="s">
        <v>4022</v>
      </c>
      <c r="E1957" s="19" t="s">
        <v>29</v>
      </c>
      <c r="F1957" s="19" t="s">
        <v>30</v>
      </c>
      <c r="G1957" s="20" t="s">
        <v>17</v>
      </c>
      <c r="H1957" s="20" t="s">
        <v>18</v>
      </c>
      <c r="I1957" s="19" t="str">
        <f>IMAGE("https://upload.wikimedia.org/wikipedia/commons/7/7e/R%C3%ADo_Sin%C3%BA_al_atardecer.jpg")</f>
        <v/>
      </c>
    </row>
    <row r="1958" ht="36.0" customHeight="1">
      <c r="A1958" s="10" t="str">
        <f>HYPERLINK("https://commons.wikimedia.org/wiki/User:" &amp; ENCODEURL("Eli 1967"), "Eli 1967")</f>
        <v>Eli 1967</v>
      </c>
      <c r="B1958" s="11" t="s">
        <v>4023</v>
      </c>
      <c r="C1958" s="12">
        <v>46163.514918981484</v>
      </c>
      <c r="D1958" s="11" t="s">
        <v>4024</v>
      </c>
      <c r="E1958" s="14" t="s">
        <v>29</v>
      </c>
      <c r="F1958" s="14" t="s">
        <v>30</v>
      </c>
      <c r="G1958" s="15" t="s">
        <v>17</v>
      </c>
      <c r="H1958" s="15" t="s">
        <v>18</v>
      </c>
      <c r="I1958" s="14" t="str">
        <f>IMAGE("https://upload.wikimedia.org/wikipedia/commons/3/37/R%C3%ADo_Sumapaz.jpg")</f>
        <v/>
      </c>
    </row>
    <row r="1959" ht="36.0" customHeight="1">
      <c r="A1959" s="16" t="str">
        <f t="shared" ref="A1959:A1960" si="244">HYPERLINK("https://commons.wikimedia.org/wiki/User:" &amp; ENCODEURL("Maracome"), "Maracome")</f>
        <v>Maracome</v>
      </c>
      <c r="B1959" s="17" t="s">
        <v>4025</v>
      </c>
      <c r="C1959" s="18">
        <v>46149.95302083333</v>
      </c>
      <c r="D1959" s="17" t="s">
        <v>4026</v>
      </c>
      <c r="E1959" s="19" t="s">
        <v>29</v>
      </c>
      <c r="F1959" s="19" t="s">
        <v>30</v>
      </c>
      <c r="G1959" s="20" t="s">
        <v>17</v>
      </c>
      <c r="H1959" s="20" t="s">
        <v>18</v>
      </c>
      <c r="I1959" s="19" t="str">
        <f>IMAGE("https://upload.wikimedia.org/wikipedia/commons/e/e6/Sabana_inundada%2C_C%C3%B3rdoba.jpg")</f>
        <v/>
      </c>
    </row>
    <row r="1960" ht="36.0" customHeight="1">
      <c r="A1960" s="10" t="str">
        <f t="shared" si="244"/>
        <v>Maracome</v>
      </c>
      <c r="B1960" s="11" t="s">
        <v>4027</v>
      </c>
      <c r="C1960" s="12">
        <v>46149.95298611111</v>
      </c>
      <c r="D1960" s="11" t="s">
        <v>4028</v>
      </c>
      <c r="E1960" s="14" t="s">
        <v>29</v>
      </c>
      <c r="F1960" s="14" t="s">
        <v>30</v>
      </c>
      <c r="G1960" s="15" t="s">
        <v>17</v>
      </c>
      <c r="H1960" s="15" t="s">
        <v>18</v>
      </c>
      <c r="I1960" s="14" t="str">
        <f>IMAGE("https://upload.wikimedia.org/wikipedia/commons/4/48/Sabanas_cordobesas_y_sinuanas.jpg")</f>
        <v/>
      </c>
    </row>
    <row r="1961" ht="36.0" customHeight="1">
      <c r="A1961" s="16" t="str">
        <f>HYPERLINK("https://commons.wikimedia.org/wiki/User:" &amp; ENCODEURL("Supertita"), "Supertita")</f>
        <v>Supertita</v>
      </c>
      <c r="B1961" s="17" t="s">
        <v>4029</v>
      </c>
      <c r="C1961" s="18">
        <v>46192.65461805555</v>
      </c>
      <c r="D1961" s="17" t="s">
        <v>4030</v>
      </c>
      <c r="E1961" s="19" t="s">
        <v>249</v>
      </c>
      <c r="F1961" s="20" t="s">
        <v>16</v>
      </c>
      <c r="G1961" s="20" t="s">
        <v>17</v>
      </c>
      <c r="H1961" s="20" t="s">
        <v>18</v>
      </c>
      <c r="I1961" s="19" t="str">
        <f>IMAGE("https://upload.wikimedia.org/wikipedia/commons/6/69/Sago%2C_Palmera_sag%C3%BA%2C_Megaesporofilos.jpg")</f>
        <v/>
      </c>
    </row>
    <row r="1962" ht="36.0" customHeight="1">
      <c r="A1962" s="10" t="str">
        <f>HYPERLINK("https://commons.wikimedia.org/wiki/User:" &amp; ENCODEURL("Sebasgr05"), "Sebasgr05")</f>
        <v>Sebasgr05</v>
      </c>
      <c r="B1962" s="11" t="s">
        <v>4031</v>
      </c>
      <c r="C1962" s="12">
        <v>46178.42836805555</v>
      </c>
      <c r="D1962" s="11" t="s">
        <v>4032</v>
      </c>
      <c r="E1962" s="14" t="s">
        <v>4033</v>
      </c>
      <c r="F1962" s="15" t="s">
        <v>16</v>
      </c>
      <c r="G1962" s="15" t="s">
        <v>17</v>
      </c>
      <c r="H1962" s="15" t="s">
        <v>18</v>
      </c>
      <c r="I1962" s="14" t="str">
        <f>IMAGE("https://upload.wikimedia.org/wikipedia/commons/e/ef/Saimiri_albigena.jpg")</f>
        <v/>
      </c>
    </row>
    <row r="1963" ht="36.0" customHeight="1">
      <c r="A1963" s="16" t="str">
        <f>HYPERLINK("https://commons.wikimedia.org/wiki/User:" &amp; ENCODEURL("Eumastacidae"), "Eumastacidae")</f>
        <v>Eumastacidae</v>
      </c>
      <c r="B1963" s="17" t="s">
        <v>4034</v>
      </c>
      <c r="C1963" s="18">
        <v>46163.507893518516</v>
      </c>
      <c r="D1963" s="17" t="s">
        <v>4035</v>
      </c>
      <c r="E1963" s="19" t="s">
        <v>29</v>
      </c>
      <c r="F1963" s="19" t="s">
        <v>30</v>
      </c>
      <c r="G1963" s="20" t="s">
        <v>17</v>
      </c>
      <c r="H1963" s="20" t="s">
        <v>18</v>
      </c>
      <c r="I1963" s="19" t="str">
        <f>IMAGE("https://upload.wikimedia.org/wikipedia/commons/3/3f/Saltamonte_en_Bojac%C3%A1.jpg")</f>
        <v/>
      </c>
    </row>
    <row r="1964" ht="36.0" customHeight="1">
      <c r="A1964" s="10" t="str">
        <f>HYPERLINK("https://commons.wikimedia.org/wiki/User:" &amp; ENCODEURL("AmiGueko"), "AmiGueko")</f>
        <v>AmiGueko</v>
      </c>
      <c r="B1964" s="11" t="s">
        <v>4036</v>
      </c>
      <c r="C1964" s="12">
        <v>46165.92875</v>
      </c>
      <c r="D1964" s="11" t="s">
        <v>4037</v>
      </c>
      <c r="E1964" s="14" t="s">
        <v>4038</v>
      </c>
      <c r="F1964" s="15" t="s">
        <v>16</v>
      </c>
      <c r="G1964" s="15" t="s">
        <v>17</v>
      </c>
      <c r="H1964" s="15" t="s">
        <v>18</v>
      </c>
      <c r="I1964" s="14" t="str">
        <f>IMAGE("https://upload.wikimedia.org/wikipedia/commons/a/a1/Saltamontes.jpg")</f>
        <v/>
      </c>
    </row>
    <row r="1965" ht="36.0" customHeight="1">
      <c r="A1965" s="16" t="str">
        <f>HYPERLINK("https://commons.wikimedia.org/wiki/User:" &amp; ENCODEURL("Eumastacidae"), "Eumastacidae")</f>
        <v>Eumastacidae</v>
      </c>
      <c r="B1965" s="17" t="s">
        <v>4039</v>
      </c>
      <c r="C1965" s="18">
        <v>46163.502337962964</v>
      </c>
      <c r="D1965" s="17" t="s">
        <v>4040</v>
      </c>
      <c r="E1965" s="19" t="s">
        <v>29</v>
      </c>
      <c r="F1965" s="19" t="s">
        <v>30</v>
      </c>
      <c r="G1965" s="20" t="s">
        <v>17</v>
      </c>
      <c r="H1965" s="20" t="s">
        <v>18</v>
      </c>
      <c r="I1965" s="19" t="str">
        <f>IMAGE("https://upload.wikimedia.org/wikipedia/commons/d/de/Saltamontes_en_una_piedra.jpg")</f>
        <v/>
      </c>
    </row>
    <row r="1966" ht="36.0" customHeight="1">
      <c r="A1966" s="10" t="str">
        <f>HYPERLINK("https://commons.wikimedia.org/wiki/User:" &amp; ENCODEURL("Natlycu"), "Natlycu")</f>
        <v>Natlycu</v>
      </c>
      <c r="B1966" s="11" t="s">
        <v>4041</v>
      </c>
      <c r="C1966" s="12">
        <v>46203.00648148148</v>
      </c>
      <c r="D1966" s="11" t="s">
        <v>4042</v>
      </c>
      <c r="E1966" s="14" t="s">
        <v>2951</v>
      </c>
      <c r="F1966" s="15" t="s">
        <v>16</v>
      </c>
      <c r="G1966" s="15" t="s">
        <v>17</v>
      </c>
      <c r="H1966" s="15" t="s">
        <v>18</v>
      </c>
      <c r="I1966" s="14" t="str">
        <f>IMAGE("https://upload.wikimedia.org/wikipedia/commons/9/95/Saltapared_Com%C3%BAn_Sure%C3%B1o_%28Troglodytes_musculus%29_en_el_Jard%C3%ADn_Bot%C3%A1nico_de_Bogot%C3%A1.jpg")</f>
        <v/>
      </c>
    </row>
    <row r="1967" ht="36.0" customHeight="1">
      <c r="A1967" s="16" t="str">
        <f>HYPERLINK("https://commons.wikimedia.org/wiki/User:" &amp; ENCODEURL("Munigarro"), "Munigarro")</f>
        <v>Munigarro</v>
      </c>
      <c r="B1967" s="17" t="s">
        <v>4043</v>
      </c>
      <c r="C1967" s="18">
        <v>46202.65508101852</v>
      </c>
      <c r="D1967" s="17" t="s">
        <v>166</v>
      </c>
      <c r="E1967" s="19" t="s">
        <v>29</v>
      </c>
      <c r="F1967" s="19" t="s">
        <v>30</v>
      </c>
      <c r="G1967" s="20" t="s">
        <v>17</v>
      </c>
      <c r="H1967" s="20" t="s">
        <v>18</v>
      </c>
      <c r="I1967" s="19" t="str">
        <f>IMAGE("https://upload.wikimedia.org/wikipedia/commons/8/84/Saltarin_Barbiamarillo.jpg")</f>
        <v/>
      </c>
    </row>
    <row r="1968" ht="36.0" customHeight="1">
      <c r="A1968" s="10" t="str">
        <f>HYPERLINK("https://commons.wikimedia.org/wiki/User:" &amp; ENCODEURL("MemoOssa"), "MemoOssa")</f>
        <v>MemoOssa</v>
      </c>
      <c r="B1968" s="11" t="s">
        <v>4044</v>
      </c>
      <c r="C1968" s="12">
        <v>46176.77402777778</v>
      </c>
      <c r="D1968" s="11" t="s">
        <v>4045</v>
      </c>
      <c r="E1968" s="14" t="s">
        <v>29</v>
      </c>
      <c r="F1968" s="14" t="s">
        <v>30</v>
      </c>
      <c r="G1968" s="15" t="s">
        <v>17</v>
      </c>
      <c r="H1968" s="15" t="s">
        <v>18</v>
      </c>
      <c r="I1968" s="14" t="str">
        <f>IMAGE("https://upload.wikimedia.org/wikipedia/commons/2/27/Saltar%C3%ADn_barbiblanco_hembra_%28Manacus_manacus%29.jpg")</f>
        <v/>
      </c>
    </row>
    <row r="1969" ht="36.0" customHeight="1">
      <c r="A1969" s="16" t="str">
        <f>HYPERLINK("https://commons.wikimedia.org/wiki/User:" &amp; ENCODEURL("Camell32"), "Camell32")</f>
        <v>Camell32</v>
      </c>
      <c r="B1969" s="17" t="s">
        <v>4046</v>
      </c>
      <c r="C1969" s="18">
        <v>46163.54126157407</v>
      </c>
      <c r="D1969" s="17" t="s">
        <v>4047</v>
      </c>
      <c r="E1969" s="19" t="s">
        <v>29</v>
      </c>
      <c r="F1969" s="19" t="s">
        <v>30</v>
      </c>
      <c r="G1969" s="20" t="s">
        <v>17</v>
      </c>
      <c r="H1969" s="20" t="s">
        <v>18</v>
      </c>
      <c r="I1969" s="19" t="str">
        <f>IMAGE("https://upload.wikimedia.org/wikipedia/commons/a/a0/Salto_del_Tequendama_27_de_agosto.jpg")</f>
        <v/>
      </c>
    </row>
    <row r="1970" ht="36.0" customHeight="1">
      <c r="A1970" s="10" t="str">
        <f>HYPERLINK("https://commons.wikimedia.org/wiki/User:" &amp; ENCODEURL("Peperomia11"), "Peperomia11")</f>
        <v>Peperomia11</v>
      </c>
      <c r="B1970" s="11" t="s">
        <v>4048</v>
      </c>
      <c r="C1970" s="12">
        <v>46202.56010416667</v>
      </c>
      <c r="D1970" s="11" t="s">
        <v>4049</v>
      </c>
      <c r="E1970" s="14" t="s">
        <v>29</v>
      </c>
      <c r="F1970" s="14" t="s">
        <v>30</v>
      </c>
      <c r="G1970" s="15" t="s">
        <v>17</v>
      </c>
      <c r="H1970" s="15" t="s">
        <v>18</v>
      </c>
      <c r="I1970" s="14" t="str">
        <f>IMAGE("https://upload.wikimedia.org/wikipedia/commons/a/a5/Salvia_20260529_091831.jpg")</f>
        <v/>
      </c>
    </row>
    <row r="1971" ht="36.0" customHeight="1">
      <c r="A1971" s="16" t="str">
        <f>HYPERLINK("https://commons.wikimedia.org/wiki/User:" &amp; ENCODEURL("Atomini"), "Atomini")</f>
        <v>Atomini</v>
      </c>
      <c r="B1971" s="17" t="s">
        <v>4050</v>
      </c>
      <c r="C1971" s="18">
        <v>46203.445069444446</v>
      </c>
      <c r="D1971" s="17" t="s">
        <v>3044</v>
      </c>
      <c r="E1971" s="19" t="s">
        <v>29</v>
      </c>
      <c r="F1971" s="19" t="s">
        <v>30</v>
      </c>
      <c r="G1971" s="20" t="s">
        <v>17</v>
      </c>
      <c r="H1971" s="20" t="s">
        <v>18</v>
      </c>
      <c r="I1971" s="19" t="str">
        <f>IMAGE("https://upload.wikimedia.org/wikipedia/commons/b/b6/Salvinia_sp._and_Myriophyllum_aquaticum.jpg")</f>
        <v/>
      </c>
    </row>
    <row r="1972" ht="36.0" customHeight="1">
      <c r="A1972" s="10" t="str">
        <f>HYPERLINK("https://commons.wikimedia.org/wiki/User:" &amp; ENCODEURL("Willandre1194"), "Willandre1194")</f>
        <v>Willandre1194</v>
      </c>
      <c r="B1972" s="11" t="s">
        <v>4051</v>
      </c>
      <c r="C1972" s="12">
        <v>46155.66082175926</v>
      </c>
      <c r="D1972" s="11" t="s">
        <v>4052</v>
      </c>
      <c r="E1972" s="14" t="s">
        <v>29</v>
      </c>
      <c r="F1972" s="14" t="s">
        <v>30</v>
      </c>
      <c r="G1972" s="15" t="s">
        <v>17</v>
      </c>
      <c r="H1972" s="15" t="s">
        <v>18</v>
      </c>
      <c r="I1972" s="14" t="str">
        <f>IMAGE("https://upload.wikimedia.org/wikipedia/commons/8/80/San_Andres_Isla.jpg")</f>
        <v/>
      </c>
    </row>
    <row r="1973" ht="36.0" customHeight="1">
      <c r="A1973" s="16" t="str">
        <f>HYPERLINK("https://commons.wikimedia.org/wiki/User:" &amp; ENCODEURL("Allysami2215"), "Allysami2215")</f>
        <v>Allysami2215</v>
      </c>
      <c r="B1973" s="17" t="s">
        <v>4053</v>
      </c>
      <c r="C1973" s="18">
        <v>46147.85189814815</v>
      </c>
      <c r="D1973" s="17" t="s">
        <v>4054</v>
      </c>
      <c r="E1973" s="19" t="s">
        <v>29</v>
      </c>
      <c r="F1973" s="19" t="s">
        <v>30</v>
      </c>
      <c r="G1973" s="20" t="s">
        <v>17</v>
      </c>
      <c r="H1973" s="20" t="s">
        <v>18</v>
      </c>
      <c r="I1973" s="19" t="str">
        <f>IMAGE("https://upload.wikimedia.org/wikipedia/commons/5/5d/San_Andres_islas.jpg")</f>
        <v/>
      </c>
    </row>
    <row r="1974" ht="36.0" customHeight="1">
      <c r="A1974" s="10" t="str">
        <f t="shared" ref="A1974:A1975" si="245">HYPERLINK("https://commons.wikimedia.org/wiki/User:" &amp; ENCODEURL("Oscarvelascomora"), "Oscarvelascomora")</f>
        <v>Oscarvelascomora</v>
      </c>
      <c r="B1974" s="11" t="s">
        <v>4055</v>
      </c>
      <c r="C1974" s="12">
        <v>46151.68300925926</v>
      </c>
      <c r="D1974" s="11" t="s">
        <v>4056</v>
      </c>
      <c r="E1974" s="14" t="s">
        <v>29</v>
      </c>
      <c r="F1974" s="14" t="s">
        <v>30</v>
      </c>
      <c r="G1974" s="15" t="s">
        <v>17</v>
      </c>
      <c r="H1974" s="15" t="s">
        <v>18</v>
      </c>
      <c r="I1974" s="14" t="str">
        <f>IMAGE("https://upload.wikimedia.org/wikipedia/commons/c/ce/San_Cipriano_%285%29.jpg")</f>
        <v/>
      </c>
    </row>
    <row r="1975" ht="36.0" customHeight="1">
      <c r="A1975" s="16" t="str">
        <f t="shared" si="245"/>
        <v>Oscarvelascomora</v>
      </c>
      <c r="B1975" s="17" t="s">
        <v>4057</v>
      </c>
      <c r="C1975" s="18">
        <v>46151.68305555556</v>
      </c>
      <c r="D1975" s="17" t="s">
        <v>4058</v>
      </c>
      <c r="E1975" s="19" t="s">
        <v>29</v>
      </c>
      <c r="F1975" s="19" t="s">
        <v>30</v>
      </c>
      <c r="G1975" s="20" t="s">
        <v>17</v>
      </c>
      <c r="H1975" s="20" t="s">
        <v>18</v>
      </c>
      <c r="I1975" s="19" t="str">
        <f>IMAGE("https://upload.wikimedia.org/wikipedia/commons/9/9b/San_Cipriano_pozo_cristalino.jpg")</f>
        <v/>
      </c>
    </row>
    <row r="1976" ht="36.0" customHeight="1">
      <c r="A1976" s="10" t="str">
        <f t="shared" ref="A1976:A1980" si="246">HYPERLINK("https://commons.wikimedia.org/wiki/User:" &amp; ENCODEURL("AmiGueko"), "AmiGueko")</f>
        <v>AmiGueko</v>
      </c>
      <c r="B1976" s="11" t="s">
        <v>4059</v>
      </c>
      <c r="C1976" s="12">
        <v>46166.55712962963</v>
      </c>
      <c r="D1976" s="11" t="s">
        <v>4060</v>
      </c>
      <c r="E1976" s="14" t="s">
        <v>4061</v>
      </c>
      <c r="F1976" s="15" t="s">
        <v>16</v>
      </c>
      <c r="G1976" s="15" t="s">
        <v>17</v>
      </c>
      <c r="H1976" s="15" t="s">
        <v>18</v>
      </c>
      <c r="I1976" s="14" t="str">
        <f>IMAGE("https://upload.wikimedia.org/wikipedia/commons/1/18/San_Francisco%2C_Cundinamarca.jpg")</f>
        <v/>
      </c>
    </row>
    <row r="1977" ht="36.0" customHeight="1">
      <c r="A1977" s="16" t="str">
        <f t="shared" si="246"/>
        <v>AmiGueko</v>
      </c>
      <c r="B1977" s="17" t="s">
        <v>4062</v>
      </c>
      <c r="C1977" s="18">
        <v>46166.55883101852</v>
      </c>
      <c r="D1977" s="17" t="s">
        <v>4060</v>
      </c>
      <c r="E1977" s="19" t="s">
        <v>4063</v>
      </c>
      <c r="F1977" s="20" t="s">
        <v>16</v>
      </c>
      <c r="G1977" s="20" t="s">
        <v>17</v>
      </c>
      <c r="H1977" s="20" t="s">
        <v>18</v>
      </c>
      <c r="I1977" s="19" t="str">
        <f>IMAGE("https://upload.wikimedia.org/wikipedia/commons/4/41/San_Francisco%2C_Cundinamarca_%2814634%29.jpg")</f>
        <v/>
      </c>
    </row>
    <row r="1978" ht="36.0" customHeight="1">
      <c r="A1978" s="10" t="str">
        <f t="shared" si="246"/>
        <v>AmiGueko</v>
      </c>
      <c r="B1978" s="11" t="s">
        <v>4064</v>
      </c>
      <c r="C1978" s="12">
        <v>46166.55806712963</v>
      </c>
      <c r="D1978" s="11" t="s">
        <v>4060</v>
      </c>
      <c r="E1978" s="14" t="s">
        <v>4065</v>
      </c>
      <c r="F1978" s="15" t="s">
        <v>16</v>
      </c>
      <c r="G1978" s="15" t="s">
        <v>17</v>
      </c>
      <c r="H1978" s="15" t="s">
        <v>18</v>
      </c>
      <c r="I1978" s="14" t="str">
        <f>IMAGE("https://upload.wikimedia.org/wikipedia/commons/5/54/San_Francisco%2C_Cundinamarca_%2817922%29.jpg")</f>
        <v/>
      </c>
    </row>
    <row r="1979" ht="36.0" customHeight="1">
      <c r="A1979" s="16" t="str">
        <f t="shared" si="246"/>
        <v>AmiGueko</v>
      </c>
      <c r="B1979" s="17" t="s">
        <v>4066</v>
      </c>
      <c r="C1979" s="18">
        <v>46166.558587962965</v>
      </c>
      <c r="D1979" s="17" t="s">
        <v>4060</v>
      </c>
      <c r="E1979" s="19" t="s">
        <v>4067</v>
      </c>
      <c r="F1979" s="20" t="s">
        <v>16</v>
      </c>
      <c r="G1979" s="20" t="s">
        <v>17</v>
      </c>
      <c r="H1979" s="20" t="s">
        <v>18</v>
      </c>
      <c r="I1979" s="19" t="str">
        <f>IMAGE("https://upload.wikimedia.org/wikipedia/commons/0/0c/San_Francisco%2C_Cundinamarca_%2859573%29.jpg")</f>
        <v/>
      </c>
    </row>
    <row r="1980" ht="36.0" customHeight="1">
      <c r="A1980" s="10" t="str">
        <f t="shared" si="246"/>
        <v>AmiGueko</v>
      </c>
      <c r="B1980" s="11" t="s">
        <v>4068</v>
      </c>
      <c r="C1980" s="12">
        <v>46166.55761574074</v>
      </c>
      <c r="D1980" s="11" t="s">
        <v>4060</v>
      </c>
      <c r="E1980" s="14" t="s">
        <v>4069</v>
      </c>
      <c r="F1980" s="15" t="s">
        <v>16</v>
      </c>
      <c r="G1980" s="15" t="s">
        <v>17</v>
      </c>
      <c r="H1980" s="15" t="s">
        <v>18</v>
      </c>
      <c r="I1980" s="14" t="str">
        <f>IMAGE("https://upload.wikimedia.org/wikipedia/commons/9/91/San_Francisco%2C_Cundinamarca_%2865266%29.jpg")</f>
        <v/>
      </c>
    </row>
    <row r="1981" ht="36.0" customHeight="1">
      <c r="A1981" s="16" t="str">
        <f>HYPERLINK("https://commons.wikimedia.org/wiki/User:" &amp; ENCODEURL("Diferoch"), "Diferoch")</f>
        <v>Diferoch</v>
      </c>
      <c r="B1981" s="17" t="s">
        <v>4070</v>
      </c>
      <c r="C1981" s="18">
        <v>46195.95748842593</v>
      </c>
      <c r="D1981" s="17" t="s">
        <v>4071</v>
      </c>
      <c r="E1981" s="19" t="s">
        <v>4072</v>
      </c>
      <c r="F1981" s="20" t="s">
        <v>16</v>
      </c>
      <c r="G1981" s="20" t="s">
        <v>17</v>
      </c>
      <c r="H1981" s="20" t="s">
        <v>18</v>
      </c>
      <c r="I1981" s="19" t="str">
        <f>IMAGE("https://upload.wikimedia.org/wikipedia/commons/2/27/San_Juan_River_in_Cimitarra%2C_Santander%2C_Colombia_-_03_Oct_2025_-_Diferoch.jpg")</f>
        <v/>
      </c>
    </row>
    <row r="1982" ht="36.0" customHeight="1">
      <c r="A1982" s="10" t="str">
        <f>HYPERLINK("https://commons.wikimedia.org/wiki/User:" &amp; ENCODEURL("Anvar2420"), "Anvar2420")</f>
        <v>Anvar2420</v>
      </c>
      <c r="B1982" s="11" t="s">
        <v>4073</v>
      </c>
      <c r="C1982" s="12">
        <v>46163.55674768519</v>
      </c>
      <c r="D1982" s="11" t="s">
        <v>4074</v>
      </c>
      <c r="E1982" s="14" t="s">
        <v>29</v>
      </c>
      <c r="F1982" s="14" t="s">
        <v>30</v>
      </c>
      <c r="G1982" s="15" t="s">
        <v>17</v>
      </c>
      <c r="H1982" s="15" t="s">
        <v>18</v>
      </c>
      <c r="I1982" s="14" t="str">
        <f>IMAGE("https://upload.wikimedia.org/wikipedia/commons/4/45/San_Luis_de_palenque.jpg")</f>
        <v/>
      </c>
    </row>
    <row r="1983" ht="36.0" customHeight="1">
      <c r="A1983" s="16" t="str">
        <f>HYPERLINK("https://commons.wikimedia.org/wiki/User:" &amp; ENCODEURL("Aparizap"), "Aparizap")</f>
        <v>Aparizap</v>
      </c>
      <c r="B1983" s="17" t="s">
        <v>4075</v>
      </c>
      <c r="C1983" s="18">
        <v>46199.71703703704</v>
      </c>
      <c r="D1983" s="17" t="s">
        <v>4076</v>
      </c>
      <c r="E1983" s="19" t="s">
        <v>29</v>
      </c>
      <c r="F1983" s="19" t="s">
        <v>30</v>
      </c>
      <c r="G1983" s="20" t="s">
        <v>17</v>
      </c>
      <c r="H1983" s="20" t="s">
        <v>18</v>
      </c>
      <c r="I1983" s="19" t="str">
        <f>IMAGE("https://upload.wikimedia.org/wikipedia/commons/e/e9/San_Pablin.jpg")</f>
        <v/>
      </c>
    </row>
    <row r="1984" ht="36.0" customHeight="1">
      <c r="A1984" s="10" t="str">
        <f>HYPERLINK("https://commons.wikimedia.org/wiki/User:" &amp; ENCODEURL("Maracome"), "Maracome")</f>
        <v>Maracome</v>
      </c>
      <c r="B1984" s="11" t="s">
        <v>4077</v>
      </c>
      <c r="C1984" s="12">
        <v>46149.95297453704</v>
      </c>
      <c r="D1984" s="11" t="s">
        <v>4078</v>
      </c>
      <c r="E1984" s="14" t="s">
        <v>29</v>
      </c>
      <c r="F1984" s="14" t="s">
        <v>30</v>
      </c>
      <c r="G1984" s="15" t="s">
        <v>17</v>
      </c>
      <c r="H1984" s="15" t="s">
        <v>18</v>
      </c>
      <c r="I1984" s="14" t="str">
        <f>IMAGE("https://upload.wikimedia.org/wikipedia/commons/a/aa/San_Pedro_de_los_Milagros.jpg")</f>
        <v/>
      </c>
    </row>
    <row r="1985" ht="36.0" customHeight="1">
      <c r="A1985" s="16" t="str">
        <f>HYPERLINK("https://commons.wikimedia.org/wiki/User:" &amp; ENCODEURL("AmiGueko"), "AmiGueko")</f>
        <v>AmiGueko</v>
      </c>
      <c r="B1985" s="17" t="s">
        <v>4079</v>
      </c>
      <c r="C1985" s="18">
        <v>46166.58974537037</v>
      </c>
      <c r="D1985" s="17" t="s">
        <v>4080</v>
      </c>
      <c r="E1985" s="19" t="s">
        <v>4081</v>
      </c>
      <c r="F1985" s="20" t="s">
        <v>16</v>
      </c>
      <c r="G1985" s="20" t="s">
        <v>17</v>
      </c>
      <c r="H1985" s="20" t="s">
        <v>18</v>
      </c>
      <c r="I1985" s="19" t="str">
        <f>IMAGE("https://upload.wikimedia.org/wikipedia/commons/c/c7/Sangregado.jpg")</f>
        <v/>
      </c>
    </row>
    <row r="1986" ht="36.0" customHeight="1">
      <c r="A1986" s="10" t="str">
        <f>HYPERLINK("https://commons.wikimedia.org/wiki/User:" &amp; ENCODEURL("Camell32"), "Camell32")</f>
        <v>Camell32</v>
      </c>
      <c r="B1986" s="11" t="s">
        <v>4082</v>
      </c>
      <c r="C1986" s="12">
        <v>46163.52798611111</v>
      </c>
      <c r="D1986" s="11" t="s">
        <v>4083</v>
      </c>
      <c r="E1986" s="14" t="s">
        <v>29</v>
      </c>
      <c r="F1986" s="14" t="s">
        <v>30</v>
      </c>
      <c r="G1986" s="15" t="s">
        <v>17</v>
      </c>
      <c r="H1986" s="15" t="s">
        <v>18</v>
      </c>
      <c r="I1986" s="14" t="str">
        <f>IMAGE("https://upload.wikimedia.org/wikipedia/commons/2/25/Santa_Marta_3_de_febrero_de_2023.jpg")</f>
        <v/>
      </c>
    </row>
    <row r="1987" ht="36.0" customHeight="1">
      <c r="A1987" s="16" t="str">
        <f>HYPERLINK("https://commons.wikimedia.org/wiki/User:" &amp; ENCODEURL("Joseeem"), "Joseeem")</f>
        <v>Joseeem</v>
      </c>
      <c r="B1987" s="17" t="s">
        <v>4084</v>
      </c>
      <c r="C1987" s="18">
        <v>46156.944872685184</v>
      </c>
      <c r="D1987" s="17" t="s">
        <v>4085</v>
      </c>
      <c r="E1987" s="19" t="s">
        <v>29</v>
      </c>
      <c r="F1987" s="19" t="s">
        <v>30</v>
      </c>
      <c r="G1987" s="20" t="s">
        <v>17</v>
      </c>
      <c r="H1987" s="20" t="s">
        <v>18</v>
      </c>
      <c r="I1987" s="19" t="str">
        <f>IMAGE("https://upload.wikimedia.org/wikipedia/commons/9/90/Santa_marta_Colombia.jpg")</f>
        <v/>
      </c>
    </row>
    <row r="1988" ht="36.0" customHeight="1">
      <c r="A1988" s="10" t="str">
        <f>HYPERLINK("https://commons.wikimedia.org/wiki/User:" &amp; ENCODEURL("Laupedrazaa"), "Laupedrazaa")</f>
        <v>Laupedrazaa</v>
      </c>
      <c r="B1988" s="11" t="s">
        <v>4086</v>
      </c>
      <c r="C1988" s="12">
        <v>46167.87079861111</v>
      </c>
      <c r="D1988" s="11" t="s">
        <v>4087</v>
      </c>
      <c r="E1988" s="14" t="s">
        <v>29</v>
      </c>
      <c r="F1988" s="14" t="s">
        <v>30</v>
      </c>
      <c r="G1988" s="15" t="s">
        <v>17</v>
      </c>
      <c r="H1988" s="15" t="s">
        <v>18</v>
      </c>
      <c r="I1988" s="14" t="str">
        <f>IMAGE("https://upload.wikimedia.org/wikipedia/commons/7/74/Santander_en_contraste.jpg")</f>
        <v/>
      </c>
    </row>
    <row r="1989" ht="36.0" customHeight="1">
      <c r="A1989" s="16" t="str">
        <f>HYPERLINK("https://commons.wikimedia.org/wiki/User:" &amp; ENCODEURL("MelyC43"), "MelyC43")</f>
        <v>MelyC43</v>
      </c>
      <c r="B1989" s="17" t="s">
        <v>4088</v>
      </c>
      <c r="C1989" s="18">
        <v>46168.00833333333</v>
      </c>
      <c r="D1989" s="17" t="s">
        <v>1595</v>
      </c>
      <c r="E1989" s="19" t="s">
        <v>29</v>
      </c>
      <c r="F1989" s="19" t="s">
        <v>30</v>
      </c>
      <c r="G1989" s="20" t="s">
        <v>17</v>
      </c>
      <c r="H1989" s="20" t="s">
        <v>18</v>
      </c>
      <c r="I1989" s="19" t="str">
        <f>IMAGE("https://upload.wikimedia.org/wikipedia/commons/9/9e/Santuario_de_las_Garzas.jpg")</f>
        <v/>
      </c>
    </row>
    <row r="1990" ht="36.0" customHeight="1">
      <c r="A1990" s="10" t="str">
        <f t="shared" ref="A1990:A1991" si="247">HYPERLINK("https://commons.wikimedia.org/wiki/User:" &amp; ENCODEURL("Juli 2000 her"), "Juli 2000 her")</f>
        <v>Juli 2000 her</v>
      </c>
      <c r="B1990" s="11" t="s">
        <v>4089</v>
      </c>
      <c r="C1990" s="12">
        <v>46189.05453703704</v>
      </c>
      <c r="D1990" s="11" t="s">
        <v>4090</v>
      </c>
      <c r="E1990" s="14" t="s">
        <v>29</v>
      </c>
      <c r="F1990" s="14" t="s">
        <v>30</v>
      </c>
      <c r="G1990" s="15" t="s">
        <v>17</v>
      </c>
      <c r="H1990" s="15" t="s">
        <v>18</v>
      </c>
      <c r="I1990" s="14" t="str">
        <f>IMAGE("https://upload.wikimedia.org/wikipedia/commons/8/84/Sapo_gigante_%28Rhinella_marina%29_en_Santander%2C_Colombia.jpg")</f>
        <v/>
      </c>
    </row>
    <row r="1991" ht="36.0" customHeight="1">
      <c r="A1991" s="16" t="str">
        <f t="shared" si="247"/>
        <v>Juli 2000 her</v>
      </c>
      <c r="B1991" s="17" t="s">
        <v>4091</v>
      </c>
      <c r="C1991" s="18">
        <v>46189.054560185185</v>
      </c>
      <c r="D1991" s="17" t="s">
        <v>4092</v>
      </c>
      <c r="E1991" s="19" t="s">
        <v>29</v>
      </c>
      <c r="F1991" s="19" t="s">
        <v>30</v>
      </c>
      <c r="G1991" s="20" t="s">
        <v>17</v>
      </c>
      <c r="H1991" s="20" t="s">
        <v>18</v>
      </c>
      <c r="I1991" s="19" t="str">
        <f>IMAGE("https://upload.wikimedia.org/wikipedia/commons/c/c0/Sapo_gigante_%28Rhinella_marina%29_en_un_arroyo_de_Santander%2C_Colombia.jpg")</f>
        <v/>
      </c>
    </row>
    <row r="1992" ht="36.0" customHeight="1">
      <c r="A1992" s="10" t="str">
        <f>HYPERLINK("https://commons.wikimedia.org/wiki/User:" &amp; ENCODEURL("NMontoya (WMCO)"), "NMontoya (WMCO)")</f>
        <v>NMontoya (WMCO)</v>
      </c>
      <c r="B1992" s="11" t="s">
        <v>4093</v>
      </c>
      <c r="C1992" s="12">
        <v>46191.80784722222</v>
      </c>
      <c r="D1992" s="11" t="s">
        <v>4094</v>
      </c>
      <c r="E1992" s="14" t="s">
        <v>683</v>
      </c>
      <c r="F1992" s="15" t="s">
        <v>16</v>
      </c>
      <c r="G1992" s="15" t="s">
        <v>17</v>
      </c>
      <c r="H1992" s="15" t="s">
        <v>18</v>
      </c>
      <c r="I1992" s="14" t="str">
        <f>IMAGE("https://upload.wikimedia.org/wikipedia/commons/a/aa/Sauce_guajiro_%28Parkinsonia_aculeata%29.jpg")</f>
        <v/>
      </c>
    </row>
    <row r="1993" ht="36.0" customHeight="1">
      <c r="A1993" s="16" t="str">
        <f t="shared" ref="A1993:A1995" si="248">HYPERLINK("https://commons.wikimedia.org/wiki/User:" &amp; ENCODEURL("Federico2599"), "Federico2599")</f>
        <v>Federico2599</v>
      </c>
      <c r="B1993" s="17" t="s">
        <v>4095</v>
      </c>
      <c r="C1993" s="18">
        <v>46163.878541666665</v>
      </c>
      <c r="D1993" s="17" t="s">
        <v>4096</v>
      </c>
      <c r="E1993" s="19" t="s">
        <v>29</v>
      </c>
      <c r="F1993" s="19" t="s">
        <v>30</v>
      </c>
      <c r="G1993" s="20" t="s">
        <v>17</v>
      </c>
      <c r="H1993" s="20" t="s">
        <v>18</v>
      </c>
      <c r="I1993" s="19" t="str">
        <f>IMAGE("https://upload.wikimedia.org/wikipedia/commons/4/42/Scaphosepalum_lima_%28Orqu%C3%ADdea_de_ped%C3%BAnculos_%C3%A1speros%29_01.jpg")</f>
        <v/>
      </c>
    </row>
    <row r="1994" ht="36.0" customHeight="1">
      <c r="A1994" s="10" t="str">
        <f t="shared" si="248"/>
        <v>Federico2599</v>
      </c>
      <c r="B1994" s="11" t="s">
        <v>4097</v>
      </c>
      <c r="C1994" s="12">
        <v>46163.878541666665</v>
      </c>
      <c r="D1994" s="11" t="s">
        <v>4096</v>
      </c>
      <c r="E1994" s="14" t="s">
        <v>29</v>
      </c>
      <c r="F1994" s="14" t="s">
        <v>30</v>
      </c>
      <c r="G1994" s="15" t="s">
        <v>17</v>
      </c>
      <c r="H1994" s="15" t="s">
        <v>18</v>
      </c>
      <c r="I1994" s="14" t="str">
        <f>IMAGE("https://upload.wikimedia.org/wikipedia/commons/f/f3/Scaphosepalum_lima_%28Orqu%C3%ADdea_de_ped%C3%BAnculos_%C3%A1speros%29_02.jpg")</f>
        <v/>
      </c>
    </row>
    <row r="1995" ht="36.0" customHeight="1">
      <c r="A1995" s="16" t="str">
        <f t="shared" si="248"/>
        <v>Federico2599</v>
      </c>
      <c r="B1995" s="17" t="s">
        <v>4098</v>
      </c>
      <c r="C1995" s="18">
        <v>46163.878541666665</v>
      </c>
      <c r="D1995" s="17" t="s">
        <v>4096</v>
      </c>
      <c r="E1995" s="19" t="s">
        <v>29</v>
      </c>
      <c r="F1995" s="19" t="s">
        <v>30</v>
      </c>
      <c r="G1995" s="20" t="s">
        <v>17</v>
      </c>
      <c r="H1995" s="20" t="s">
        <v>18</v>
      </c>
      <c r="I1995" s="19" t="str">
        <f>IMAGE("https://upload.wikimedia.org/wikipedia/commons/8/86/Scaphosepalum_lima_%28Orqu%C3%ADdea_de_ped%C3%BAnculos_%C3%A1speros%29_03.jpg")</f>
        <v/>
      </c>
    </row>
    <row r="1996" ht="36.0" customHeight="1">
      <c r="A1996" s="10" t="str">
        <f>HYPERLINK("https://commons.wikimedia.org/wiki/User:" &amp; ENCODEURL("Mottenpriesterin"), "Mottenpriesterin")</f>
        <v>Mottenpriesterin</v>
      </c>
      <c r="B1996" s="11" t="s">
        <v>4099</v>
      </c>
      <c r="C1996" s="12">
        <v>46202.919965277775</v>
      </c>
      <c r="D1996" s="11" t="s">
        <v>4100</v>
      </c>
      <c r="E1996" s="14" t="s">
        <v>29</v>
      </c>
      <c r="F1996" s="14" t="s">
        <v>30</v>
      </c>
      <c r="G1996" s="15" t="s">
        <v>17</v>
      </c>
      <c r="H1996" s="15" t="s">
        <v>18</v>
      </c>
      <c r="I1996" s="14" t="str">
        <f>IMAGE("https://upload.wikimedia.org/wikipedia/commons/5/51/Scarlet_Milkweed_%28Asclepias_curassavica%29.jpg")</f>
        <v/>
      </c>
    </row>
    <row r="1997" ht="36.0" customHeight="1">
      <c r="A1997" s="16" t="str">
        <f>HYPERLINK("https://commons.wikimedia.org/wiki/User:" &amp; ENCODEURL("Joseeem"), "Joseeem")</f>
        <v>Joseeem</v>
      </c>
      <c r="B1997" s="17" t="s">
        <v>4101</v>
      </c>
      <c r="C1997" s="18">
        <v>46156.94509259259</v>
      </c>
      <c r="D1997" s="17" t="s">
        <v>1182</v>
      </c>
      <c r="E1997" s="19" t="s">
        <v>29</v>
      </c>
      <c r="F1997" s="19" t="s">
        <v>30</v>
      </c>
      <c r="G1997" s="20" t="s">
        <v>17</v>
      </c>
      <c r="H1997" s="20" t="s">
        <v>18</v>
      </c>
      <c r="I1997" s="19" t="str">
        <f>IMAGE("https://upload.wikimedia.org/wikipedia/commons/6/62/Sea_in_Guajira.jpg")</f>
        <v/>
      </c>
    </row>
    <row r="1998" ht="36.0" customHeight="1">
      <c r="A1998" s="10" t="str">
        <f>HYPERLINK("https://commons.wikimedia.org/wiki/User:" &amp; ENCODEURL("Gojan222"), "Gojan222")</f>
        <v>Gojan222</v>
      </c>
      <c r="B1998" s="11" t="s">
        <v>4102</v>
      </c>
      <c r="C1998" s="12">
        <v>46166.42670138889</v>
      </c>
      <c r="D1998" s="11" t="s">
        <v>4103</v>
      </c>
      <c r="E1998" s="14" t="s">
        <v>29</v>
      </c>
      <c r="F1998" s="14" t="s">
        <v>30</v>
      </c>
      <c r="G1998" s="15" t="s">
        <v>17</v>
      </c>
      <c r="H1998" s="15" t="s">
        <v>18</v>
      </c>
      <c r="I1998" s="14" t="str">
        <f>IMAGE("https://upload.wikimedia.org/wikipedia/commons/9/9f/Secado_de_cafe2.jpg")</f>
        <v/>
      </c>
    </row>
    <row r="1999" ht="36.0" customHeight="1">
      <c r="A1999" s="16" t="str">
        <f>HYPERLINK("https://commons.wikimedia.org/wiki/User:" &amp; ENCODEURL("Nathaly 1106"), "Nathaly 1106")</f>
        <v>Nathaly 1106</v>
      </c>
      <c r="B1999" s="17" t="s">
        <v>4104</v>
      </c>
      <c r="C1999" s="18">
        <v>46148.619097222225</v>
      </c>
      <c r="D1999" s="17" t="s">
        <v>4105</v>
      </c>
      <c r="E1999" s="19" t="s">
        <v>29</v>
      </c>
      <c r="F1999" s="19" t="s">
        <v>30</v>
      </c>
      <c r="G1999" s="20" t="s">
        <v>17</v>
      </c>
      <c r="H1999" s="20" t="s">
        <v>18</v>
      </c>
      <c r="I1999" s="19" t="str">
        <f>IMAGE("https://upload.wikimedia.org/wikipedia/commons/e/ec/Secuoya_%28Sequoia_sempervirens%29.jpg")</f>
        <v/>
      </c>
    </row>
    <row r="2000" ht="36.0" customHeight="1">
      <c r="A2000" s="10" t="str">
        <f t="shared" ref="A2000:A2001" si="249">HYPERLINK("https://commons.wikimedia.org/wiki/User:" &amp; ENCODEURL("AmiGueko"), "AmiGueko")</f>
        <v>AmiGueko</v>
      </c>
      <c r="B2000" s="11" t="s">
        <v>4106</v>
      </c>
      <c r="C2000" s="12">
        <v>46177.8984837963</v>
      </c>
      <c r="D2000" s="11" t="s">
        <v>4107</v>
      </c>
      <c r="E2000" s="14" t="s">
        <v>29</v>
      </c>
      <c r="F2000" s="14" t="s">
        <v>30</v>
      </c>
      <c r="G2000" s="15" t="s">
        <v>17</v>
      </c>
      <c r="H2000" s="15" t="s">
        <v>18</v>
      </c>
      <c r="I2000" s="14" t="str">
        <f>IMAGE("https://upload.wikimedia.org/wikipedia/commons/b/bc/Selva_humeda_tropical.jpg")</f>
        <v/>
      </c>
    </row>
    <row r="2001" ht="36.0" customHeight="1">
      <c r="A2001" s="16" t="str">
        <f t="shared" si="249"/>
        <v>AmiGueko</v>
      </c>
      <c r="B2001" s="17" t="s">
        <v>4108</v>
      </c>
      <c r="C2001" s="18">
        <v>46177.89853009259</v>
      </c>
      <c r="D2001" s="17" t="s">
        <v>4107</v>
      </c>
      <c r="E2001" s="19" t="s">
        <v>29</v>
      </c>
      <c r="F2001" s="19" t="s">
        <v>30</v>
      </c>
      <c r="G2001" s="20" t="s">
        <v>17</v>
      </c>
      <c r="H2001" s="20" t="s">
        <v>18</v>
      </c>
      <c r="I2001" s="19" t="str">
        <f>IMAGE("https://upload.wikimedia.org/wikipedia/commons/5/50/Selva_humeda_tropical4.jpg")</f>
        <v/>
      </c>
    </row>
    <row r="2002" ht="36.0" customHeight="1">
      <c r="A2002" s="10" t="str">
        <f>HYPERLINK("https://commons.wikimedia.org/wiki/User:" &amp; ENCODEURL("Jeiver.alejo"), "Jeiver.alejo")</f>
        <v>Jeiver.alejo</v>
      </c>
      <c r="B2002" s="11" t="s">
        <v>4109</v>
      </c>
      <c r="C2002" s="12">
        <v>46150.64732638889</v>
      </c>
      <c r="D2002" s="11" t="s">
        <v>4110</v>
      </c>
      <c r="E2002" s="14" t="s">
        <v>29</v>
      </c>
      <c r="F2002" s="14" t="s">
        <v>30</v>
      </c>
      <c r="G2002" s="15" t="s">
        <v>17</v>
      </c>
      <c r="H2002" s="15" t="s">
        <v>18</v>
      </c>
      <c r="I2002" s="14" t="str">
        <f>IMAGE("https://upload.wikimedia.org/wikipedia/commons/1/14/Selva_tropical_en_piedemonte_casanare.jpg")</f>
        <v/>
      </c>
    </row>
    <row r="2003" ht="36.0" customHeight="1">
      <c r="A2003" s="16" t="str">
        <f t="shared" ref="A2003:A2004" si="250">HYPERLINK("https://commons.wikimedia.org/wiki/User:" &amp; ENCODEURL("AmiGueko"), "AmiGueko")</f>
        <v>AmiGueko</v>
      </c>
      <c r="B2003" s="17" t="s">
        <v>4111</v>
      </c>
      <c r="C2003" s="18">
        <v>46177.898506944446</v>
      </c>
      <c r="D2003" s="17" t="s">
        <v>4107</v>
      </c>
      <c r="E2003" s="19" t="s">
        <v>29</v>
      </c>
      <c r="F2003" s="19" t="s">
        <v>30</v>
      </c>
      <c r="G2003" s="20" t="s">
        <v>17</v>
      </c>
      <c r="H2003" s="20" t="s">
        <v>18</v>
      </c>
      <c r="I2003" s="19" t="str">
        <f>IMAGE("https://upload.wikimedia.org/wikipedia/commons/4/43/Selva_tropical_humeda2.jpg")</f>
        <v/>
      </c>
    </row>
    <row r="2004" ht="36.0" customHeight="1">
      <c r="A2004" s="10" t="str">
        <f t="shared" si="250"/>
        <v>AmiGueko</v>
      </c>
      <c r="B2004" s="11" t="s">
        <v>4112</v>
      </c>
      <c r="C2004" s="12">
        <v>46177.89853009259</v>
      </c>
      <c r="D2004" s="11" t="s">
        <v>4107</v>
      </c>
      <c r="E2004" s="14" t="s">
        <v>29</v>
      </c>
      <c r="F2004" s="14" t="s">
        <v>30</v>
      </c>
      <c r="G2004" s="15" t="s">
        <v>17</v>
      </c>
      <c r="H2004" s="15" t="s">
        <v>18</v>
      </c>
      <c r="I2004" s="14" t="str">
        <f>IMAGE("https://upload.wikimedia.org/wikipedia/commons/6/61/Selva_tropical_humeda3.jpg")</f>
        <v/>
      </c>
    </row>
    <row r="2005" ht="36.0" customHeight="1">
      <c r="A2005" s="16" t="str">
        <f>HYPERLINK("https://commons.wikimedia.org/wiki/User:" &amp; ENCODEURL("Mottenpriesterin"), "Mottenpriesterin")</f>
        <v>Mottenpriesterin</v>
      </c>
      <c r="B2005" s="17" t="s">
        <v>4113</v>
      </c>
      <c r="C2005" s="18">
        <v>46202.92</v>
      </c>
      <c r="D2005" s="17" t="s">
        <v>4114</v>
      </c>
      <c r="E2005" s="19" t="s">
        <v>29</v>
      </c>
      <c r="F2005" s="19" t="s">
        <v>30</v>
      </c>
      <c r="G2005" s="20" t="s">
        <v>17</v>
      </c>
      <c r="H2005" s="20" t="s">
        <v>18</v>
      </c>
      <c r="I2005" s="19" t="str">
        <f>IMAGE("https://upload.wikimedia.org/wikipedia/commons/9/90/Semi-arid_canyon_landscape_with_stratified_rock_formations_near_Villa_de_Leyva%2C_Colombia.jpg")</f>
        <v/>
      </c>
    </row>
    <row r="2006" ht="36.0" customHeight="1">
      <c r="A2006" s="10" t="str">
        <f>HYPERLINK("https://commons.wikimedia.org/wiki/User:" &amp; ENCODEURL("ZulayMR"), "ZulayMR")</f>
        <v>ZulayMR</v>
      </c>
      <c r="B2006" s="11" t="s">
        <v>4115</v>
      </c>
      <c r="C2006" s="12">
        <v>46201.70376157408</v>
      </c>
      <c r="D2006" s="11" t="s">
        <v>4116</v>
      </c>
      <c r="E2006" s="14" t="s">
        <v>4117</v>
      </c>
      <c r="F2006" s="15" t="s">
        <v>16</v>
      </c>
      <c r="G2006" s="15" t="s">
        <v>17</v>
      </c>
      <c r="H2006" s="15" t="s">
        <v>18</v>
      </c>
      <c r="I2006" s="14" t="str">
        <f>IMAGE("https://upload.wikimedia.org/wikipedia/commons/6/6b/Semilla_de_esperanza.jpg")</f>
        <v/>
      </c>
    </row>
    <row r="2007" ht="36.0" customHeight="1">
      <c r="A2007" s="16" t="str">
        <f t="shared" ref="A2007:A2009" si="251">HYPERLINK("https://commons.wikimedia.org/wiki/User:" &amp; ENCODEURL("Nathaly 1106"), "Nathaly 1106")</f>
        <v>Nathaly 1106</v>
      </c>
      <c r="B2007" s="17" t="s">
        <v>4118</v>
      </c>
      <c r="C2007" s="18">
        <v>46148.95731481481</v>
      </c>
      <c r="D2007" s="17" t="s">
        <v>4119</v>
      </c>
      <c r="E2007" s="19" t="s">
        <v>29</v>
      </c>
      <c r="F2007" s="19" t="s">
        <v>30</v>
      </c>
      <c r="G2007" s="20" t="s">
        <v>17</v>
      </c>
      <c r="H2007" s="20" t="s">
        <v>18</v>
      </c>
      <c r="I2007" s="19" t="str">
        <f>IMAGE("https://upload.wikimedia.org/wikipedia/commons/7/7c/Sendero_Hacienda_N%C3%A1poles.jpg")</f>
        <v/>
      </c>
    </row>
    <row r="2008" ht="36.0" customHeight="1">
      <c r="A2008" s="10" t="str">
        <f t="shared" si="251"/>
        <v>Nathaly 1106</v>
      </c>
      <c r="B2008" s="11" t="s">
        <v>4120</v>
      </c>
      <c r="C2008" s="12">
        <v>46148.619155092594</v>
      </c>
      <c r="D2008" s="11" t="s">
        <v>4121</v>
      </c>
      <c r="E2008" s="14" t="s">
        <v>29</v>
      </c>
      <c r="F2008" s="14" t="s">
        <v>30</v>
      </c>
      <c r="G2008" s="15" t="s">
        <v>17</v>
      </c>
      <c r="H2008" s="15" t="s">
        <v>18</v>
      </c>
      <c r="I2008" s="14" t="str">
        <f>IMAGE("https://upload.wikimedia.org/wikipedia/commons/5/53/Sendero_arborizado_Jard%C3%ADn_Bot%C3%A1nico_de_Bogot%C3%A1.jpg")</f>
        <v/>
      </c>
    </row>
    <row r="2009" ht="36.0" customHeight="1">
      <c r="A2009" s="16" t="str">
        <f t="shared" si="251"/>
        <v>Nathaly 1106</v>
      </c>
      <c r="B2009" s="17" t="s">
        <v>4122</v>
      </c>
      <c r="C2009" s="18">
        <v>46148.619155092594</v>
      </c>
      <c r="D2009" s="17" t="s">
        <v>4121</v>
      </c>
      <c r="E2009" s="19" t="s">
        <v>29</v>
      </c>
      <c r="F2009" s="19" t="s">
        <v>30</v>
      </c>
      <c r="G2009" s="20" t="s">
        <v>17</v>
      </c>
      <c r="H2009" s="20" t="s">
        <v>18</v>
      </c>
      <c r="I2009" s="19" t="str">
        <f>IMAGE("https://upload.wikimedia.org/wikipedia/commons/e/ec/Sendero_arborizado_Jard%C3%ADn_Bot%C3%A1nico_de_Bogot%C3%A1_1.jpg")</f>
        <v/>
      </c>
    </row>
    <row r="2010" ht="36.0" customHeight="1">
      <c r="A2010" s="10" t="str">
        <f>HYPERLINK("https://commons.wikimedia.org/wiki/User:" &amp; ENCODEURL("Crisrueda99"), "Crisrueda99")</f>
        <v>Crisrueda99</v>
      </c>
      <c r="B2010" s="11" t="s">
        <v>4123</v>
      </c>
      <c r="C2010" s="12">
        <v>46173.84685185185</v>
      </c>
      <c r="D2010" s="11" t="s">
        <v>4124</v>
      </c>
      <c r="E2010" s="14" t="s">
        <v>29</v>
      </c>
      <c r="F2010" s="14" t="s">
        <v>30</v>
      </c>
      <c r="G2010" s="15" t="s">
        <v>17</v>
      </c>
      <c r="H2010" s="15" t="s">
        <v>18</v>
      </c>
      <c r="I2010" s="14" t="str">
        <f>IMAGE("https://upload.wikimedia.org/wikipedia/commons/d/d8/Sendero_peatonal_laguna_del_amor.jpg")</f>
        <v/>
      </c>
    </row>
    <row r="2011" ht="36.0" customHeight="1">
      <c r="A2011" s="16" t="str">
        <f>HYPERLINK("https://commons.wikimedia.org/wiki/User:" &amp; ENCODEURL("Supertita"), "Supertita")</f>
        <v>Supertita</v>
      </c>
      <c r="B2011" s="17" t="s">
        <v>4125</v>
      </c>
      <c r="C2011" s="18">
        <v>46192.70746527778</v>
      </c>
      <c r="D2011" s="17" t="s">
        <v>4126</v>
      </c>
      <c r="E2011" s="19" t="s">
        <v>21</v>
      </c>
      <c r="F2011" s="20" t="s">
        <v>16</v>
      </c>
      <c r="G2011" s="20" t="s">
        <v>17</v>
      </c>
      <c r="H2011" s="20" t="s">
        <v>18</v>
      </c>
      <c r="I2011" s="19" t="str">
        <f>IMAGE("https://upload.wikimedia.org/wikipedia/commons/f/f9/Senecio_niveoaureus-%C3%81rnica_blanca.jpg")</f>
        <v/>
      </c>
    </row>
    <row r="2012" ht="36.0" customHeight="1">
      <c r="A2012" s="10" t="str">
        <f>HYPERLINK("https://commons.wikimedia.org/wiki/User:" &amp; ENCODEURL("Nbareschu"), "Nbareschu")</f>
        <v>Nbareschu</v>
      </c>
      <c r="B2012" s="11" t="s">
        <v>4127</v>
      </c>
      <c r="C2012" s="12">
        <v>46149.42115740741</v>
      </c>
      <c r="D2012" s="11" t="s">
        <v>4128</v>
      </c>
      <c r="E2012" s="14" t="s">
        <v>4129</v>
      </c>
      <c r="F2012" s="15" t="s">
        <v>16</v>
      </c>
      <c r="G2012" s="15" t="s">
        <v>17</v>
      </c>
      <c r="H2012" s="15" t="s">
        <v>18</v>
      </c>
      <c r="I2012" s="14" t="str">
        <f>IMAGE("https://upload.wikimedia.org/wikipedia/commons/2/29/Senna_en_R%C3%ADo_cedro.jpg")</f>
        <v/>
      </c>
    </row>
    <row r="2013" ht="36.0" customHeight="1">
      <c r="A2013" s="16" t="str">
        <f>HYPERLINK("https://commons.wikimedia.org/wiki/User:" &amp; ENCODEURL("Ciri.macro"), "Ciri.macro")</f>
        <v>Ciri.macro</v>
      </c>
      <c r="B2013" s="17" t="s">
        <v>4130</v>
      </c>
      <c r="C2013" s="18">
        <v>46202.34800925926</v>
      </c>
      <c r="D2013" s="17" t="s">
        <v>4131</v>
      </c>
      <c r="E2013" s="19" t="s">
        <v>29</v>
      </c>
      <c r="F2013" s="19" t="s">
        <v>30</v>
      </c>
      <c r="G2013" s="20" t="s">
        <v>17</v>
      </c>
      <c r="H2013" s="20" t="s">
        <v>18</v>
      </c>
      <c r="I2013" s="19" t="str">
        <f>IMAGE("https://upload.wikimedia.org/wikipedia/commons/d/d8/Serpiente_caracolera_Sna_cipriano.jpg")</f>
        <v/>
      </c>
    </row>
    <row r="2014" ht="36.0" customHeight="1">
      <c r="A2014" s="10" t="str">
        <f>HYPERLINK("https://commons.wikimedia.org/wiki/User:" &amp; ENCODEURL("Sonianatural"), "Sonianatural")</f>
        <v>Sonianatural</v>
      </c>
      <c r="B2014" s="11" t="s">
        <v>4132</v>
      </c>
      <c r="C2014" s="12">
        <v>46178.45033564815</v>
      </c>
      <c r="D2014" s="11" t="s">
        <v>4133</v>
      </c>
      <c r="E2014" s="14" t="s">
        <v>29</v>
      </c>
      <c r="F2014" s="14" t="s">
        <v>30</v>
      </c>
      <c r="G2014" s="15" t="s">
        <v>17</v>
      </c>
      <c r="H2014" s="15" t="s">
        <v>18</v>
      </c>
      <c r="I2014" s="14" t="str">
        <f>IMAGE("https://upload.wikimedia.org/wikipedia/commons/1/1f/Serran%C3%ADa_la_Lindosa.jpg")</f>
        <v/>
      </c>
    </row>
    <row r="2015" ht="36.0" customHeight="1">
      <c r="A2015" s="16" t="str">
        <f>HYPERLINK("https://commons.wikimedia.org/wiki/User:" &amp; ENCODEURL("Mottenpriesterin"), "Mottenpriesterin")</f>
        <v>Mottenpriesterin</v>
      </c>
      <c r="B2015" s="17" t="s">
        <v>4134</v>
      </c>
      <c r="C2015" s="18">
        <v>46202.91982638889</v>
      </c>
      <c r="D2015" s="17" t="s">
        <v>4135</v>
      </c>
      <c r="E2015" s="19" t="s">
        <v>29</v>
      </c>
      <c r="F2015" s="19" t="s">
        <v>30</v>
      </c>
      <c r="G2015" s="20" t="s">
        <v>17</v>
      </c>
      <c r="H2015" s="20" t="s">
        <v>18</v>
      </c>
      <c r="I2015" s="19" t="str">
        <f>IMAGE("https://upload.wikimedia.org/wikipedia/commons/3/31/Shield_Lichen_of_the_Sierra_%28Parmotrema%29%2C_near_Minca_cloud_forest%2C_2025.jpg")</f>
        <v/>
      </c>
    </row>
    <row r="2016" ht="36.0" customHeight="1">
      <c r="A2016" s="10" t="str">
        <f>HYPERLINK("https://commons.wikimedia.org/wiki/User:" &amp; ENCODEURL("Joseeem"), "Joseeem")</f>
        <v>Joseeem</v>
      </c>
      <c r="B2016" s="11" t="s">
        <v>4136</v>
      </c>
      <c r="C2016" s="12">
        <v>46156.945081018515</v>
      </c>
      <c r="D2016" s="11" t="s">
        <v>4137</v>
      </c>
      <c r="E2016" s="14" t="s">
        <v>29</v>
      </c>
      <c r="F2016" s="14" t="s">
        <v>30</v>
      </c>
      <c r="G2016" s="15" t="s">
        <v>17</v>
      </c>
      <c r="H2016" s="15" t="s">
        <v>18</v>
      </c>
      <c r="I2016" s="14" t="str">
        <f>IMAGE("https://upload.wikimedia.org/wikipedia/commons/b/b6/Sierra_Nevada_De_Santa_Marta.jpg")</f>
        <v/>
      </c>
    </row>
    <row r="2017" ht="36.0" customHeight="1">
      <c r="A2017" s="16" t="str">
        <f>HYPERLINK("https://commons.wikimedia.org/wiki/User:" &amp; ENCODEURL("Adrianava.yviene"), "Adrianava.yviene")</f>
        <v>Adrianava.yviene</v>
      </c>
      <c r="B2017" s="17" t="s">
        <v>4138</v>
      </c>
      <c r="C2017" s="18">
        <v>46198.5580787037</v>
      </c>
      <c r="D2017" s="17" t="s">
        <v>4139</v>
      </c>
      <c r="E2017" s="19" t="s">
        <v>29</v>
      </c>
      <c r="F2017" s="19" t="s">
        <v>30</v>
      </c>
      <c r="G2017" s="20" t="s">
        <v>17</v>
      </c>
      <c r="H2017" s="20" t="s">
        <v>18</v>
      </c>
      <c r="I2017" s="19" t="str">
        <f>IMAGE("https://upload.wikimedia.org/wikipedia/commons/a/a7/Sierra_de_La_Macarena.jpg")</f>
        <v/>
      </c>
    </row>
    <row r="2018" ht="36.0" customHeight="1">
      <c r="A2018" s="10" t="str">
        <f>HYPERLINK("https://commons.wikimedia.org/wiki/User:" &amp; ENCODEURL("Natalia gferia"), "Natalia gferia")</f>
        <v>Natalia gferia</v>
      </c>
      <c r="B2018" s="11" t="s">
        <v>4140</v>
      </c>
      <c r="C2018" s="12">
        <v>46202.5903125</v>
      </c>
      <c r="D2018" s="11" t="s">
        <v>4141</v>
      </c>
      <c r="E2018" s="14" t="s">
        <v>29</v>
      </c>
      <c r="F2018" s="14" t="s">
        <v>30</v>
      </c>
      <c r="G2018" s="15" t="s">
        <v>17</v>
      </c>
      <c r="H2018" s="15" t="s">
        <v>18</v>
      </c>
      <c r="I2018" s="14" t="str">
        <f>IMAGE("https://upload.wikimedia.org/wikipedia/commons/2/2d/Sierra_de_la_macarena.jpg")</f>
        <v/>
      </c>
    </row>
    <row r="2019" ht="36.0" customHeight="1">
      <c r="A2019" s="16" t="str">
        <f>HYPERLINK("https://commons.wikimedia.org/wiki/User:" &amp; ENCODEURL("Mottenpriesterin"), "Mottenpriesterin")</f>
        <v>Mottenpriesterin</v>
      </c>
      <c r="B2019" s="17" t="s">
        <v>4142</v>
      </c>
      <c r="C2019" s="18">
        <v>46202.91987268518</v>
      </c>
      <c r="D2019" s="17" t="s">
        <v>4143</v>
      </c>
      <c r="E2019" s="19" t="s">
        <v>29</v>
      </c>
      <c r="F2019" s="19" t="s">
        <v>30</v>
      </c>
      <c r="G2019" s="20" t="s">
        <v>17</v>
      </c>
      <c r="H2019" s="20" t="s">
        <v>18</v>
      </c>
      <c r="I2019" s="19" t="str">
        <f>IMAGE("https://upload.wikimedia.org/wikipedia/commons/4/4c/Siete_Cueros_%28Meriania_nobilis%29_in_the_mountains_of_Medell%C3%ADn%2C_2025.jpg")</f>
        <v/>
      </c>
    </row>
    <row r="2020" ht="36.0" customHeight="1">
      <c r="A2020" s="10" t="str">
        <f>HYPERLINK("https://commons.wikimedia.org/wiki/User:" &amp; ENCODEURL("AmiGueko"), "AmiGueko")</f>
        <v>AmiGueko</v>
      </c>
      <c r="B2020" s="11" t="s">
        <v>4144</v>
      </c>
      <c r="C2020" s="12">
        <v>46153.30131944444</v>
      </c>
      <c r="D2020" s="11" t="s">
        <v>4145</v>
      </c>
      <c r="E2020" s="14" t="s">
        <v>4146</v>
      </c>
      <c r="F2020" s="15" t="s">
        <v>16</v>
      </c>
      <c r="G2020" s="15" t="s">
        <v>17</v>
      </c>
      <c r="H2020" s="15" t="s">
        <v>18</v>
      </c>
      <c r="I2020" s="14" t="str">
        <f>IMAGE("https://upload.wikimedia.org/wikipedia/commons/d/d3/Siete_cueros_%28Andesanthus_lepidotus%29.jpg")</f>
        <v/>
      </c>
    </row>
    <row r="2021" ht="36.0" customHeight="1">
      <c r="A2021" s="16" t="str">
        <f>HYPERLINK("https://commons.wikimedia.org/wiki/User:" &amp; ENCODEURL("Nathaly 1106"), "Nathaly 1106")</f>
        <v>Nathaly 1106</v>
      </c>
      <c r="B2021" s="17" t="s">
        <v>4147</v>
      </c>
      <c r="C2021" s="18">
        <v>46148.61938657407</v>
      </c>
      <c r="D2021" s="17" t="s">
        <v>4148</v>
      </c>
      <c r="E2021" s="19" t="s">
        <v>29</v>
      </c>
      <c r="F2021" s="19" t="s">
        <v>30</v>
      </c>
      <c r="G2021" s="20" t="s">
        <v>17</v>
      </c>
      <c r="H2021" s="20" t="s">
        <v>18</v>
      </c>
      <c r="I2021" s="19" t="str">
        <f>IMAGE("https://upload.wikimedia.org/wikipedia/commons/4/47/Siete_cueros_%28Melastomataceae%29.jpg")</f>
        <v/>
      </c>
    </row>
    <row r="2022" ht="36.0" customHeight="1">
      <c r="A2022" s="10" t="str">
        <f>HYPERLINK("https://commons.wikimedia.org/wiki/User:" &amp; ENCODEURL("VirginiaClavijo"), "VirginiaClavijo")</f>
        <v>VirginiaClavijo</v>
      </c>
      <c r="B2022" s="11" t="s">
        <v>4149</v>
      </c>
      <c r="C2022" s="12">
        <v>46167.6640162037</v>
      </c>
      <c r="D2022" s="11" t="s">
        <v>4150</v>
      </c>
      <c r="E2022" s="14" t="s">
        <v>29</v>
      </c>
      <c r="F2022" s="14" t="s">
        <v>30</v>
      </c>
      <c r="G2022" s="15" t="s">
        <v>17</v>
      </c>
      <c r="H2022" s="15" t="s">
        <v>18</v>
      </c>
      <c r="I2022" s="14" t="str">
        <f>IMAGE("https://upload.wikimedia.org/wikipedia/commons/1/17/SIRIRI.jpg")</f>
        <v/>
      </c>
    </row>
    <row r="2023" ht="36.0" customHeight="1">
      <c r="A2023" s="16" t="str">
        <f>HYPERLINK("https://commons.wikimedia.org/wiki/User:" &amp; ENCODEURL("Nathaly 1106"), "Nathaly 1106")</f>
        <v>Nathaly 1106</v>
      </c>
      <c r="B2023" s="17" t="s">
        <v>4151</v>
      </c>
      <c r="C2023" s="18">
        <v>46147.67103009259</v>
      </c>
      <c r="D2023" s="17" t="s">
        <v>4152</v>
      </c>
      <c r="E2023" s="19" t="s">
        <v>29</v>
      </c>
      <c r="F2023" s="19" t="s">
        <v>30</v>
      </c>
      <c r="G2023" s="20" t="s">
        <v>17</v>
      </c>
      <c r="H2023" s="20" t="s">
        <v>18</v>
      </c>
      <c r="I2023" s="19" t="str">
        <f>IMAGE("https://upload.wikimedia.org/wikipedia/commons/4/41/Siete_cueros_rastrero_-_Spanish_Shawl_%28Heterocentron_elegans%29.jpg")</f>
        <v/>
      </c>
    </row>
    <row r="2024" ht="36.0" customHeight="1">
      <c r="A2024" s="10" t="str">
        <f>HYPERLINK("https://commons.wikimedia.org/wiki/User:" &amp; ENCODEURL("Munigarro"), "Munigarro")</f>
        <v>Munigarro</v>
      </c>
      <c r="B2024" s="11" t="s">
        <v>4153</v>
      </c>
      <c r="C2024" s="12">
        <v>46202.65508101852</v>
      </c>
      <c r="D2024" s="11" t="s">
        <v>4154</v>
      </c>
      <c r="E2024" s="14" t="s">
        <v>29</v>
      </c>
      <c r="F2024" s="14" t="s">
        <v>30</v>
      </c>
      <c r="G2024" s="15" t="s">
        <v>17</v>
      </c>
      <c r="H2024" s="15" t="s">
        <v>18</v>
      </c>
      <c r="I2024" s="14" t="str">
        <f>IMAGE("https://upload.wikimedia.org/wikipedia/commons/8/89/Silfo_Coliverde.jpg")</f>
        <v/>
      </c>
    </row>
    <row r="2025" ht="36.0" customHeight="1">
      <c r="A2025" s="16" t="str">
        <f>HYPERLINK("https://commons.wikimedia.org/wiki/User:" &amp; ENCODEURL("NicolleTorresG"), "NicolleTorresG")</f>
        <v>NicolleTorresG</v>
      </c>
      <c r="B2025" s="17" t="s">
        <v>4155</v>
      </c>
      <c r="C2025" s="18">
        <v>46199.93898148148</v>
      </c>
      <c r="D2025" s="17" t="s">
        <v>4156</v>
      </c>
      <c r="E2025" s="19" t="s">
        <v>848</v>
      </c>
      <c r="F2025" s="20" t="s">
        <v>16</v>
      </c>
      <c r="G2025" s="20" t="s">
        <v>17</v>
      </c>
      <c r="H2025" s="20" t="s">
        <v>18</v>
      </c>
      <c r="I2025" s="19" t="str">
        <f>IMAGE("https://upload.wikimedia.org/wikipedia/commons/c/ce/Silfo_Coliverde_-_Aglaiocercus_kingii.jpg")</f>
        <v/>
      </c>
    </row>
    <row r="2026" ht="36.0" customHeight="1">
      <c r="A2026" s="10" t="str">
        <f>HYPERLINK("https://commons.wikimedia.org/wiki/User:" &amp; ENCODEURL("MemoOssa"), "MemoOssa")</f>
        <v>MemoOssa</v>
      </c>
      <c r="B2026" s="11" t="s">
        <v>4157</v>
      </c>
      <c r="C2026" s="12">
        <v>46176.77391203704</v>
      </c>
      <c r="D2026" s="11" t="s">
        <v>4158</v>
      </c>
      <c r="E2026" s="14" t="s">
        <v>29</v>
      </c>
      <c r="F2026" s="14" t="s">
        <v>30</v>
      </c>
      <c r="G2026" s="15" t="s">
        <v>17</v>
      </c>
      <c r="H2026" s="15" t="s">
        <v>18</v>
      </c>
      <c r="I2026" s="14" t="str">
        <f>IMAGE("https://upload.wikimedia.org/wikipedia/commons/d/d9/Silfo_coliverde_%28Aglaiocercus_Kingii%29.jpg")</f>
        <v/>
      </c>
    </row>
    <row r="2027" ht="36.0" customHeight="1">
      <c r="A2027" s="16" t="str">
        <f>HYPERLINK("https://commons.wikimedia.org/wiki/User:" &amp; ENCODEURL("TeaBonsai"), "TeaBonsai")</f>
        <v>TeaBonsai</v>
      </c>
      <c r="B2027" s="17" t="s">
        <v>4159</v>
      </c>
      <c r="C2027" s="18">
        <v>46193.38960648148</v>
      </c>
      <c r="D2027" s="17" t="s">
        <v>4160</v>
      </c>
      <c r="E2027" s="19" t="s">
        <v>4161</v>
      </c>
      <c r="F2027" s="20" t="s">
        <v>16</v>
      </c>
      <c r="G2027" s="20" t="s">
        <v>17</v>
      </c>
      <c r="H2027" s="20" t="s">
        <v>18</v>
      </c>
      <c r="I2027" s="19" t="str">
        <f>IMAGE("https://upload.wikimedia.org/wikipedia/commons/8/88/Silueta_de_ni%C3%B1os_en_la_playa._Junio_de_2026.jpg")</f>
        <v/>
      </c>
    </row>
    <row r="2028" ht="36.0" customHeight="1">
      <c r="A2028" s="10" t="str">
        <f t="shared" ref="A2028:A2031" si="252">HYPERLINK("https://commons.wikimedia.org/wiki/User:" &amp; ENCODEURL("Juanrapave"), "Juanrapave")</f>
        <v>Juanrapave</v>
      </c>
      <c r="B2028" s="11" t="s">
        <v>4162</v>
      </c>
      <c r="C2028" s="12">
        <v>46200.48081018519</v>
      </c>
      <c r="D2028" s="11" t="s">
        <v>4163</v>
      </c>
      <c r="E2028" s="14" t="s">
        <v>29</v>
      </c>
      <c r="F2028" s="14" t="s">
        <v>30</v>
      </c>
      <c r="G2028" s="15" t="s">
        <v>17</v>
      </c>
      <c r="H2028" s="15" t="s">
        <v>18</v>
      </c>
      <c r="I2028" s="14" t="str">
        <f>IMAGE("https://upload.wikimedia.org/wikipedia/commons/b/b4/Simbiosis_01.jpg")</f>
        <v/>
      </c>
    </row>
    <row r="2029" ht="36.0" customHeight="1">
      <c r="A2029" s="16" t="str">
        <f t="shared" si="252"/>
        <v>Juanrapave</v>
      </c>
      <c r="B2029" s="17" t="s">
        <v>4164</v>
      </c>
      <c r="C2029" s="18">
        <v>46200.48081018519</v>
      </c>
      <c r="D2029" s="17" t="s">
        <v>4163</v>
      </c>
      <c r="E2029" s="19" t="s">
        <v>29</v>
      </c>
      <c r="F2029" s="19" t="s">
        <v>30</v>
      </c>
      <c r="G2029" s="20" t="s">
        <v>17</v>
      </c>
      <c r="H2029" s="20" t="s">
        <v>18</v>
      </c>
      <c r="I2029" s="19" t="str">
        <f>IMAGE("https://upload.wikimedia.org/wikipedia/commons/8/85/Simbiosis_02.jpg")</f>
        <v/>
      </c>
    </row>
    <row r="2030" ht="36.0" customHeight="1">
      <c r="A2030" s="10" t="str">
        <f t="shared" si="252"/>
        <v>Juanrapave</v>
      </c>
      <c r="B2030" s="11" t="s">
        <v>4165</v>
      </c>
      <c r="C2030" s="12">
        <v>46200.48081018519</v>
      </c>
      <c r="D2030" s="11" t="s">
        <v>4163</v>
      </c>
      <c r="E2030" s="14" t="s">
        <v>29</v>
      </c>
      <c r="F2030" s="14" t="s">
        <v>30</v>
      </c>
      <c r="G2030" s="15" t="s">
        <v>17</v>
      </c>
      <c r="H2030" s="15" t="s">
        <v>18</v>
      </c>
      <c r="I2030" s="14" t="str">
        <f>IMAGE("https://upload.wikimedia.org/wikipedia/commons/a/a8/Simbiosis_03.jpg")</f>
        <v/>
      </c>
    </row>
    <row r="2031" ht="36.0" customHeight="1">
      <c r="A2031" s="16" t="str">
        <f t="shared" si="252"/>
        <v>Juanrapave</v>
      </c>
      <c r="B2031" s="17" t="s">
        <v>4166</v>
      </c>
      <c r="C2031" s="18">
        <v>46200.480844907404</v>
      </c>
      <c r="D2031" s="17" t="s">
        <v>4163</v>
      </c>
      <c r="E2031" s="19" t="s">
        <v>29</v>
      </c>
      <c r="F2031" s="19" t="s">
        <v>30</v>
      </c>
      <c r="G2031" s="20" t="s">
        <v>17</v>
      </c>
      <c r="H2031" s="20" t="s">
        <v>18</v>
      </c>
      <c r="I2031" s="19" t="str">
        <f>IMAGE("https://upload.wikimedia.org/wikipedia/commons/8/86/Simbiosis_04.jpg")</f>
        <v/>
      </c>
    </row>
    <row r="2032" ht="36.0" customHeight="1">
      <c r="A2032" s="10" t="str">
        <f>HYPERLINK("https://commons.wikimedia.org/wiki/User:" &amp; ENCODEURL("AmiGueko"), "AmiGueko")</f>
        <v>AmiGueko</v>
      </c>
      <c r="B2032" s="11" t="s">
        <v>4167</v>
      </c>
      <c r="C2032" s="12">
        <v>46178.39591435185</v>
      </c>
      <c r="D2032" s="11" t="s">
        <v>4168</v>
      </c>
      <c r="E2032" s="14" t="s">
        <v>103</v>
      </c>
      <c r="F2032" s="15" t="s">
        <v>16</v>
      </c>
      <c r="G2032" s="15" t="s">
        <v>17</v>
      </c>
      <c r="H2032" s="15" t="s">
        <v>18</v>
      </c>
      <c r="I2032" s="14" t="str">
        <f>IMAGE("https://upload.wikimedia.org/wikipedia/commons/8/89/Simulaci%C3%B3n_de_superp%C3%A1ramo_en_Jard%C3%ADn_Bot%C3%A1nico_de_Bogot%C3%A1.jpg")</f>
        <v/>
      </c>
    </row>
    <row r="2033" ht="36.0" customHeight="1">
      <c r="A2033" s="16" t="str">
        <f>HYPERLINK("https://commons.wikimedia.org/wiki/User:" &amp; ENCODEURL("Johan Andrés Toro"), "Johan Andrés Toro")</f>
        <v>Johan Andrés Toro</v>
      </c>
      <c r="B2033" s="17" t="s">
        <v>4169</v>
      </c>
      <c r="C2033" s="18">
        <v>46171.87681712963</v>
      </c>
      <c r="D2033" s="17" t="s">
        <v>4170</v>
      </c>
      <c r="E2033" s="19" t="s">
        <v>29</v>
      </c>
      <c r="F2033" s="19" t="s">
        <v>30</v>
      </c>
      <c r="G2033" s="20" t="s">
        <v>17</v>
      </c>
      <c r="H2033" s="20" t="s">
        <v>18</v>
      </c>
      <c r="I2033" s="19" t="str">
        <f>IMAGE("https://upload.wikimedia.org/wikipedia/commons/b/bf/Sinfon%C3%ADa_verde_y_bruma_densa_en_las_laderas_de_Sumapaz.jpg")</f>
        <v/>
      </c>
    </row>
    <row r="2034" ht="36.0" customHeight="1">
      <c r="A2034" s="10" t="str">
        <f>HYPERLINK("https://commons.wikimedia.org/wiki/User:" &amp; ENCODEURL("JuànMì41"), "JuànMì41")</f>
        <v>JuànMì41</v>
      </c>
      <c r="B2034" s="11" t="s">
        <v>4171</v>
      </c>
      <c r="C2034" s="12">
        <v>46201.77556712963</v>
      </c>
      <c r="D2034" s="11" t="s">
        <v>4172</v>
      </c>
      <c r="E2034" s="14" t="s">
        <v>4173</v>
      </c>
      <c r="F2034" s="15" t="s">
        <v>16</v>
      </c>
      <c r="G2034" s="15" t="s">
        <v>17</v>
      </c>
      <c r="H2034" s="15" t="s">
        <v>18</v>
      </c>
      <c r="I2034" s="14" t="str">
        <f>IMAGE("https://upload.wikimedia.org/wikipedia/commons/6/68/Sinsonte_tropical_%28Mimus_gilvus%29_alimentandoce_en_Quipile_Cundimamarca.jpg")</f>
        <v/>
      </c>
    </row>
    <row r="2035" ht="36.0" customHeight="1">
      <c r="A2035" s="16" t="str">
        <f>HYPERLINK("https://commons.wikimedia.org/wiki/User:" &amp; ENCODEURL("Rodrigomacrophoto"), "Rodrigomacrophoto")</f>
        <v>Rodrigomacrophoto</v>
      </c>
      <c r="B2035" s="17" t="s">
        <v>4174</v>
      </c>
      <c r="C2035" s="18">
        <v>46201.75136574074</v>
      </c>
      <c r="D2035" s="17" t="s">
        <v>4175</v>
      </c>
      <c r="E2035" s="19" t="s">
        <v>61</v>
      </c>
      <c r="F2035" s="20" t="s">
        <v>16</v>
      </c>
      <c r="G2035" s="20" t="s">
        <v>17</v>
      </c>
      <c r="H2035" s="20" t="s">
        <v>18</v>
      </c>
      <c r="I2035" s="19" t="str">
        <f>IMAGE("https://upload.wikimedia.org/wikipedia/commons/3/37/Sirfido_cubierto_de_polen.jpg")</f>
        <v/>
      </c>
    </row>
    <row r="2036" ht="36.0" customHeight="1">
      <c r="A2036" s="10" t="str">
        <f>HYPERLINK("https://commons.wikimedia.org/wiki/User:" &amp; ENCODEURL("Pperafan"), "Pperafan")</f>
        <v>Pperafan</v>
      </c>
      <c r="B2036" s="11" t="s">
        <v>4176</v>
      </c>
      <c r="C2036" s="12">
        <v>46201.93568287037</v>
      </c>
      <c r="D2036" s="11" t="s">
        <v>4177</v>
      </c>
      <c r="E2036" s="14" t="s">
        <v>29</v>
      </c>
      <c r="F2036" s="14" t="s">
        <v>30</v>
      </c>
      <c r="G2036" s="15" t="s">
        <v>17</v>
      </c>
      <c r="H2036" s="15" t="s">
        <v>18</v>
      </c>
      <c r="I2036" s="14" t="str">
        <f>IMAGE("https://upload.wikimedia.org/wikipedia/commons/6/6d/Siriri_en_su_nido.jpg")</f>
        <v/>
      </c>
    </row>
    <row r="2037" ht="36.0" customHeight="1">
      <c r="A2037" s="16" t="str">
        <f>HYPERLINK("https://commons.wikimedia.org/wiki/User:" &amp; ENCODEURL("Nathaly 1106"), "Nathaly 1106")</f>
        <v>Nathaly 1106</v>
      </c>
      <c r="B2037" s="17" t="s">
        <v>4178</v>
      </c>
      <c r="C2037" s="18">
        <v>46147.67136574074</v>
      </c>
      <c r="D2037" s="17" t="s">
        <v>4179</v>
      </c>
      <c r="E2037" s="19" t="s">
        <v>29</v>
      </c>
      <c r="F2037" s="19" t="s">
        <v>30</v>
      </c>
      <c r="G2037" s="20" t="s">
        <v>17</v>
      </c>
      <c r="H2037" s="20" t="s">
        <v>18</v>
      </c>
      <c r="I2037" s="19" t="str">
        <f>IMAGE("https://upload.wikimedia.org/wikipedia/commons/8/81/Sisal_blanco_%28Asparagaceae%29.jpg")</f>
        <v/>
      </c>
    </row>
    <row r="2038" ht="36.0" customHeight="1">
      <c r="A2038" s="10" t="str">
        <f>HYPERLINK("https://commons.wikimedia.org/wiki/User:" &amp; ENCODEURL("JinM143"), "JinM143")</f>
        <v>JinM143</v>
      </c>
      <c r="B2038" s="11" t="s">
        <v>4180</v>
      </c>
      <c r="C2038" s="12">
        <v>46163.506944444445</v>
      </c>
      <c r="D2038" s="11" t="s">
        <v>4181</v>
      </c>
      <c r="E2038" s="14" t="s">
        <v>29</v>
      </c>
      <c r="F2038" s="14" t="s">
        <v>30</v>
      </c>
      <c r="G2038" s="15" t="s">
        <v>17</v>
      </c>
      <c r="H2038" s="15" t="s">
        <v>18</v>
      </c>
      <c r="I2038" s="14" t="str">
        <f>IMAGE("https://upload.wikimedia.org/wikipedia/commons/7/73/Sisyrinchium_sp-Sara_Amado.jpg")</f>
        <v/>
      </c>
    </row>
    <row r="2039" ht="36.0" customHeight="1">
      <c r="A2039" s="16" t="str">
        <f>HYPERLINK("https://commons.wikimedia.org/wiki/User:" &amp; ENCODEURL("Charlesjsharp"), "Charlesjsharp")</f>
        <v>Charlesjsharp</v>
      </c>
      <c r="B2039" s="17" t="s">
        <v>4182</v>
      </c>
      <c r="C2039" s="18">
        <v>46171.61693287037</v>
      </c>
      <c r="D2039" s="17" t="s">
        <v>4183</v>
      </c>
      <c r="E2039" s="19" t="s">
        <v>554</v>
      </c>
      <c r="F2039" s="20" t="s">
        <v>16</v>
      </c>
      <c r="G2039" s="20" t="s">
        <v>17</v>
      </c>
      <c r="H2039" s="20" t="s">
        <v>18</v>
      </c>
      <c r="I2039" s="19" t="str">
        <f>IMAGE("https://upload.wikimedia.org/wikipedia/commons/9/9c/Slaty-crowned_antpitta_%28Grallaricula_nana_occidentalis%29_Caldas_3.jpg")</f>
        <v/>
      </c>
    </row>
    <row r="2040" ht="36.0" customHeight="1">
      <c r="A2040" s="10" t="str">
        <f>HYPERLINK("https://commons.wikimedia.org/wiki/User:" &amp; ENCODEURL("Mottenpriesterin"), "Mottenpriesterin")</f>
        <v>Mottenpriesterin</v>
      </c>
      <c r="B2040" s="11" t="s">
        <v>4184</v>
      </c>
      <c r="C2040" s="12">
        <v>46202.920127314814</v>
      </c>
      <c r="D2040" s="11" t="s">
        <v>4185</v>
      </c>
      <c r="E2040" s="14" t="s">
        <v>29</v>
      </c>
      <c r="F2040" s="14" t="s">
        <v>30</v>
      </c>
      <c r="G2040" s="15" t="s">
        <v>17</v>
      </c>
      <c r="H2040" s="15" t="s">
        <v>18</v>
      </c>
      <c r="I2040" s="14" t="str">
        <f>IMAGE("https://upload.wikimedia.org/wikipedia/commons/1/14/Small_yellow_wildflower_%28Asteraceae%29_growing_on_sandy_soil_near_Villa_de_Leyva%2C_2026.jpg")</f>
        <v/>
      </c>
    </row>
    <row r="2041" ht="36.0" customHeight="1">
      <c r="A2041" s="16" t="str">
        <f>HYPERLINK("https://commons.wikimedia.org/wiki/User:" &amp; ENCODEURL("Gojan222"), "Gojan222")</f>
        <v>Gojan222</v>
      </c>
      <c r="B2041" s="17" t="s">
        <v>4186</v>
      </c>
      <c r="C2041" s="18">
        <v>46166.443402777775</v>
      </c>
      <c r="D2041" s="17" t="s">
        <v>4187</v>
      </c>
      <c r="E2041" s="19" t="s">
        <v>29</v>
      </c>
      <c r="F2041" s="19" t="s">
        <v>30</v>
      </c>
      <c r="G2041" s="20" t="s">
        <v>17</v>
      </c>
      <c r="H2041" s="20" t="s">
        <v>18</v>
      </c>
      <c r="I2041" s="19" t="str">
        <f>IMAGE("https://upload.wikimedia.org/wikipedia/commons/e/e5/Snake_colombian.jpg")</f>
        <v/>
      </c>
    </row>
    <row r="2042" ht="36.0" customHeight="1">
      <c r="A2042" s="10" t="str">
        <f t="shared" ref="A2042:A2043" si="253">HYPERLINK("https://commons.wikimedia.org/wiki/User:" &amp; ENCODEURL("Reduvida3"), "Reduvida3")</f>
        <v>Reduvida3</v>
      </c>
      <c r="B2042" s="11" t="s">
        <v>4188</v>
      </c>
      <c r="C2042" s="12">
        <v>46182.654027777775</v>
      </c>
      <c r="D2042" s="11" t="s">
        <v>4189</v>
      </c>
      <c r="E2042" s="14" t="s">
        <v>29</v>
      </c>
      <c r="F2042" s="14" t="s">
        <v>30</v>
      </c>
      <c r="G2042" s="15" t="s">
        <v>17</v>
      </c>
      <c r="H2042" s="15" t="s">
        <v>18</v>
      </c>
      <c r="I2042" s="14" t="str">
        <f>IMAGE("https://upload.wikimedia.org/wikipedia/commons/c/c2/Snow-capped_peaks_of_the_Sierra_Nevada_de_Santa_Marta_viewed_from_Cuchilla_de_San_Lorenzo.jpg")</f>
        <v/>
      </c>
    </row>
    <row r="2043" ht="36.0" customHeight="1">
      <c r="A2043" s="16" t="str">
        <f t="shared" si="253"/>
        <v>Reduvida3</v>
      </c>
      <c r="B2043" s="17" t="s">
        <v>4190</v>
      </c>
      <c r="C2043" s="18">
        <v>46182.655185185184</v>
      </c>
      <c r="D2043" s="17" t="s">
        <v>4191</v>
      </c>
      <c r="E2043" s="19" t="s">
        <v>29</v>
      </c>
      <c r="F2043" s="19" t="s">
        <v>30</v>
      </c>
      <c r="G2043" s="20" t="s">
        <v>17</v>
      </c>
      <c r="H2043" s="20" t="s">
        <v>18</v>
      </c>
      <c r="I2043" s="19" t="str">
        <f>IMAGE("https://upload.wikimedia.org/wikipedia/commons/9/9e/Snowy_Egret_%28Egretta_thula%29_feeding_on_a_lobster_in_Lago_Sochagota%2C_Paipa%2C_Boyac%C3%A1%2C_Colombia.jpg")</f>
        <v/>
      </c>
    </row>
    <row r="2044" ht="36.0" customHeight="1">
      <c r="A2044" s="10" t="str">
        <f t="shared" ref="A2044:A2045" si="254">HYPERLINK("https://commons.wikimedia.org/wiki/User:" &amp; ENCODEURL("Lualollipop"), "Lualollipop")</f>
        <v>Lualollipop</v>
      </c>
      <c r="B2044" s="11" t="s">
        <v>4192</v>
      </c>
      <c r="C2044" s="12">
        <v>46200.608668981484</v>
      </c>
      <c r="D2044" s="11" t="s">
        <v>4193</v>
      </c>
      <c r="E2044" s="14" t="s">
        <v>29</v>
      </c>
      <c r="F2044" s="14" t="s">
        <v>30</v>
      </c>
      <c r="G2044" s="15" t="s">
        <v>17</v>
      </c>
      <c r="H2044" s="15" t="s">
        <v>18</v>
      </c>
      <c r="I2044" s="14" t="str">
        <f>IMAGE("https://upload.wikimedia.org/wikipedia/commons/4/4a/Sogamoso%2C_2026.jpg")</f>
        <v/>
      </c>
    </row>
    <row r="2045" ht="36.0" customHeight="1">
      <c r="A2045" s="16" t="str">
        <f t="shared" si="254"/>
        <v>Lualollipop</v>
      </c>
      <c r="B2045" s="17" t="s">
        <v>4194</v>
      </c>
      <c r="C2045" s="18">
        <v>46200.60857638889</v>
      </c>
      <c r="D2045" s="17" t="s">
        <v>4195</v>
      </c>
      <c r="E2045" s="19" t="s">
        <v>29</v>
      </c>
      <c r="F2045" s="19" t="s">
        <v>30</v>
      </c>
      <c r="G2045" s="20" t="s">
        <v>17</v>
      </c>
      <c r="H2045" s="20" t="s">
        <v>18</v>
      </c>
      <c r="I2045" s="19" t="str">
        <f>IMAGE("https://upload.wikimedia.org/wikipedia/commons/7/70/Sogamoso%2C_Boyac%C3%A1%2C_2026.jpg")</f>
        <v/>
      </c>
    </row>
    <row r="2046" ht="36.0" customHeight="1">
      <c r="A2046" s="10" t="str">
        <f>HYPERLINK("https://commons.wikimedia.org/wiki/User:" &amp; ENCODEURL("Mottenpriesterin"), "Mottenpriesterin")</f>
        <v>Mottenpriesterin</v>
      </c>
      <c r="B2046" s="11" t="s">
        <v>4196</v>
      </c>
      <c r="C2046" s="12">
        <v>46202.920069444444</v>
      </c>
      <c r="D2046" s="11" t="s">
        <v>4197</v>
      </c>
      <c r="E2046" s="14" t="s">
        <v>29</v>
      </c>
      <c r="F2046" s="14" t="s">
        <v>30</v>
      </c>
      <c r="G2046" s="15" t="s">
        <v>17</v>
      </c>
      <c r="H2046" s="15" t="s">
        <v>18</v>
      </c>
      <c r="I2046" s="14" t="str">
        <f>IMAGE("https://upload.wikimedia.org/wikipedia/commons/0/0e/Soil_erosion_and_clay_layers_in_a_semi-arid_landscape_near_Villa_de_Leyva%2C_2026.jpg")</f>
        <v/>
      </c>
    </row>
    <row r="2047" ht="36.0" customHeight="1">
      <c r="A2047" s="16" t="str">
        <f t="shared" ref="A2047:A2048" si="255">HYPERLINK("https://commons.wikimedia.org/wiki/User:" &amp; ENCODEURL("JJCL09"), "JJCL09")</f>
        <v>JJCL09</v>
      </c>
      <c r="B2047" s="17" t="s">
        <v>4198</v>
      </c>
      <c r="C2047" s="18">
        <v>46147.88143518518</v>
      </c>
      <c r="D2047" s="17" t="s">
        <v>4199</v>
      </c>
      <c r="E2047" s="19" t="s">
        <v>4200</v>
      </c>
      <c r="F2047" s="20" t="s">
        <v>16</v>
      </c>
      <c r="G2047" s="20" t="s">
        <v>17</v>
      </c>
      <c r="H2047" s="20" t="s">
        <v>18</v>
      </c>
      <c r="I2047" s="19" t="str">
        <f>IMAGE("https://upload.wikimedia.org/wikipedia/commons/1/1b/Sol_del_Caldas.jpg")</f>
        <v/>
      </c>
    </row>
    <row r="2048" ht="36.0" customHeight="1">
      <c r="A2048" s="10" t="str">
        <f t="shared" si="255"/>
        <v>JJCL09</v>
      </c>
      <c r="B2048" s="11" t="s">
        <v>4201</v>
      </c>
      <c r="C2048" s="12">
        <v>46147.88150462963</v>
      </c>
      <c r="D2048" s="11" t="s">
        <v>4202</v>
      </c>
      <c r="E2048" s="14" t="s">
        <v>4203</v>
      </c>
      <c r="F2048" s="15" t="s">
        <v>16</v>
      </c>
      <c r="G2048" s="15" t="s">
        <v>17</v>
      </c>
      <c r="H2048" s="15" t="s">
        <v>18</v>
      </c>
      <c r="I2048" s="14" t="str">
        <f>IMAGE("https://upload.wikimedia.org/wikipedia/commons/f/f9/Sol_sobre_Nubes.jpg")</f>
        <v/>
      </c>
    </row>
    <row r="2049" ht="36.0" customHeight="1">
      <c r="A2049" s="16" t="str">
        <f>HYPERLINK("https://commons.wikimedia.org/wiki/User:" &amp; ENCODEURL("Supertita"), "Supertita")</f>
        <v>Supertita</v>
      </c>
      <c r="B2049" s="17" t="s">
        <v>4204</v>
      </c>
      <c r="C2049" s="18">
        <v>46192.60923611111</v>
      </c>
      <c r="D2049" s="17" t="s">
        <v>4205</v>
      </c>
      <c r="E2049" s="19" t="s">
        <v>4206</v>
      </c>
      <c r="F2049" s="20" t="s">
        <v>16</v>
      </c>
      <c r="G2049" s="20" t="s">
        <v>17</v>
      </c>
      <c r="H2049" s="20" t="s">
        <v>18</v>
      </c>
      <c r="I2049" s="19" t="str">
        <f>IMAGE("https://upload.wikimedia.org/wikipedia/commons/e/e9/Solanum_quitoense_-_flor_de_lulo_o_naranjilla.jpg")</f>
        <v/>
      </c>
    </row>
    <row r="2050" ht="36.0" customHeight="1">
      <c r="A2050" s="10" t="str">
        <f>HYPERLINK("https://commons.wikimedia.org/wiki/User:" &amp; ENCODEURL("JuanitoCISF"), "JuanitoCISF")</f>
        <v>JuanitoCISF</v>
      </c>
      <c r="B2050" s="11" t="s">
        <v>4207</v>
      </c>
      <c r="C2050" s="12">
        <v>46170.43740740741</v>
      </c>
      <c r="D2050" s="11" t="s">
        <v>4208</v>
      </c>
      <c r="E2050" s="14" t="s">
        <v>29</v>
      </c>
      <c r="F2050" s="14" t="s">
        <v>30</v>
      </c>
      <c r="G2050" s="15" t="s">
        <v>17</v>
      </c>
      <c r="H2050" s="15" t="s">
        <v>18</v>
      </c>
      <c r="I2050" s="14" t="str">
        <f>IMAGE("https://upload.wikimedia.org/wikipedia/commons/7/78/Sons%C3%B3n_con_una_35mm.jpg")</f>
        <v/>
      </c>
    </row>
    <row r="2051" ht="36.0" customHeight="1">
      <c r="A2051" s="16" t="str">
        <f>HYPERLINK("https://commons.wikimedia.org/wiki/User:" &amp; ENCODEURL("Eumastacidae"), "Eumastacidae")</f>
        <v>Eumastacidae</v>
      </c>
      <c r="B2051" s="17" t="s">
        <v>4209</v>
      </c>
      <c r="C2051" s="18">
        <v>46163.55457175926</v>
      </c>
      <c r="D2051" s="17" t="s">
        <v>4210</v>
      </c>
      <c r="E2051" s="19" t="s">
        <v>29</v>
      </c>
      <c r="F2051" s="19" t="s">
        <v>30</v>
      </c>
      <c r="G2051" s="20" t="s">
        <v>17</v>
      </c>
      <c r="H2051" s="20" t="s">
        <v>18</v>
      </c>
      <c r="I2051" s="19" t="str">
        <f>IMAGE("https://upload.wikimedia.org/wikipedia/commons/8/85/Soros_polypodiaceae_JBB.jpg")</f>
        <v/>
      </c>
    </row>
    <row r="2052" ht="36.0" customHeight="1">
      <c r="A2052" s="10" t="str">
        <f>HYPERLINK("https://commons.wikimedia.org/wiki/User:" &amp; ENCODEURL("Ciri.macro"), "Ciri.macro")</f>
        <v>Ciri.macro</v>
      </c>
      <c r="B2052" s="11" t="s">
        <v>4211</v>
      </c>
      <c r="C2052" s="12">
        <v>46202.34800925926</v>
      </c>
      <c r="D2052" s="11" t="s">
        <v>4212</v>
      </c>
      <c r="E2052" s="14" t="s">
        <v>29</v>
      </c>
      <c r="F2052" s="14" t="s">
        <v>30</v>
      </c>
      <c r="G2052" s="15" t="s">
        <v>17</v>
      </c>
      <c r="H2052" s="15" t="s">
        <v>18</v>
      </c>
      <c r="I2052" s="14" t="str">
        <f>IMAGE("https://upload.wikimedia.org/wikipedia/commons/0/02/Soy_la_rana_de_cristal-_marzo_2026.jpg")</f>
        <v/>
      </c>
    </row>
    <row r="2053" ht="36.0" customHeight="1">
      <c r="A2053" s="16" t="str">
        <f>HYPERLINK("https://commons.wikimedia.org/wiki/User:" &amp; ENCODEURL("AmiGueko"), "AmiGueko")</f>
        <v>AmiGueko</v>
      </c>
      <c r="B2053" s="17" t="s">
        <v>4213</v>
      </c>
      <c r="C2053" s="18">
        <v>46177.89854166667</v>
      </c>
      <c r="D2053" s="17" t="s">
        <v>3180</v>
      </c>
      <c r="E2053" s="19" t="s">
        <v>29</v>
      </c>
      <c r="F2053" s="19" t="s">
        <v>30</v>
      </c>
      <c r="G2053" s="20" t="s">
        <v>17</v>
      </c>
      <c r="H2053" s="20" t="s">
        <v>18</v>
      </c>
      <c r="I2053" s="19" t="str">
        <f>IMAGE("https://upload.wikimedia.org/wikipedia/commons/9/9c/Spathoglottis_mayo_de_2026.jpg")</f>
        <v/>
      </c>
    </row>
    <row r="2054" ht="36.0" customHeight="1">
      <c r="A2054" s="10" t="str">
        <f>HYPERLINK("https://commons.wikimedia.org/wiki/User:" &amp; ENCODEURL("SergiXCX"), "SergiXCX")</f>
        <v>SergiXCX</v>
      </c>
      <c r="B2054" s="11" t="s">
        <v>4214</v>
      </c>
      <c r="C2054" s="12">
        <v>46203.980833333335</v>
      </c>
      <c r="D2054" s="11" t="s">
        <v>4215</v>
      </c>
      <c r="E2054" s="14" t="s">
        <v>29</v>
      </c>
      <c r="F2054" s="14" t="s">
        <v>30</v>
      </c>
      <c r="G2054" s="15" t="s">
        <v>17</v>
      </c>
      <c r="H2054" s="15" t="s">
        <v>18</v>
      </c>
      <c r="I2054" s="14" t="str">
        <f>IMAGE("https://upload.wikimedia.org/wikipedia/commons/e/ec/Spider_in_the_Tayrona_National_park_%28Ara%C3%B1a_en_el_Parque_Nacional_Natural_Tayrona%29.jpg")</f>
        <v/>
      </c>
    </row>
    <row r="2055" ht="36.0" customHeight="1">
      <c r="A2055" s="16" t="str">
        <f>HYPERLINK("https://commons.wikimedia.org/wiki/User:" &amp; ENCODEURL("Mottenpriesterin"), "Mottenpriesterin")</f>
        <v>Mottenpriesterin</v>
      </c>
      <c r="B2055" s="17" t="s">
        <v>4216</v>
      </c>
      <c r="C2055" s="18">
        <v>46202.920219907406</v>
      </c>
      <c r="D2055" s="17" t="s">
        <v>4217</v>
      </c>
      <c r="E2055" s="19" t="s">
        <v>29</v>
      </c>
      <c r="F2055" s="19" t="s">
        <v>30</v>
      </c>
      <c r="G2055" s="20" t="s">
        <v>17</v>
      </c>
      <c r="H2055" s="20" t="s">
        <v>18</v>
      </c>
      <c r="I2055" s="19" t="str">
        <f>IMAGE("https://upload.wikimedia.org/wikipedia/commons/d/da/Squirrel_monkey_%28Saimiri_cassiquiarensis%29_in_a_forest_canopy_near_Puerto_L%C3%B3pez%2C_2025.jpg")</f>
        <v/>
      </c>
    </row>
    <row r="2056" ht="36.0" customHeight="1">
      <c r="A2056" s="10" t="str">
        <f t="shared" ref="A2056:A2058" si="256">HYPERLINK("https://commons.wikimedia.org/wiki/User:" &amp; ENCODEURL("AmiGueko"), "AmiGueko")</f>
        <v>AmiGueko</v>
      </c>
      <c r="B2056" s="11" t="s">
        <v>4218</v>
      </c>
      <c r="C2056" s="12">
        <v>46177.898564814815</v>
      </c>
      <c r="D2056" s="11" t="s">
        <v>4219</v>
      </c>
      <c r="E2056" s="14" t="s">
        <v>29</v>
      </c>
      <c r="F2056" s="14" t="s">
        <v>30</v>
      </c>
      <c r="G2056" s="15" t="s">
        <v>17</v>
      </c>
      <c r="H2056" s="15" t="s">
        <v>18</v>
      </c>
      <c r="I2056" s="14" t="str">
        <f>IMAGE("https://upload.wikimedia.org/wikipedia/commons/3/3c/Stachytarfeta_cayennensis.jpg")</f>
        <v/>
      </c>
    </row>
    <row r="2057" ht="36.0" customHeight="1">
      <c r="A2057" s="16" t="str">
        <f t="shared" si="256"/>
        <v>AmiGueko</v>
      </c>
      <c r="B2057" s="17" t="s">
        <v>4220</v>
      </c>
      <c r="C2057" s="18">
        <v>46177.89857638889</v>
      </c>
      <c r="D2057" s="17" t="s">
        <v>4219</v>
      </c>
      <c r="E2057" s="19" t="s">
        <v>29</v>
      </c>
      <c r="F2057" s="19" t="s">
        <v>30</v>
      </c>
      <c r="G2057" s="20" t="s">
        <v>17</v>
      </c>
      <c r="H2057" s="20" t="s">
        <v>18</v>
      </c>
      <c r="I2057" s="19" t="str">
        <f>IMAGE("https://upload.wikimedia.org/wikipedia/commons/e/e5/Stachytarfeta_cayennensis2.jpg")</f>
        <v/>
      </c>
    </row>
    <row r="2058" ht="36.0" customHeight="1">
      <c r="A2058" s="10" t="str">
        <f t="shared" si="256"/>
        <v>AmiGueko</v>
      </c>
      <c r="B2058" s="11" t="s">
        <v>4221</v>
      </c>
      <c r="C2058" s="12">
        <v>46177.89857638889</v>
      </c>
      <c r="D2058" s="11" t="s">
        <v>4219</v>
      </c>
      <c r="E2058" s="14" t="s">
        <v>29</v>
      </c>
      <c r="F2058" s="14" t="s">
        <v>30</v>
      </c>
      <c r="G2058" s="15" t="s">
        <v>17</v>
      </c>
      <c r="H2058" s="15" t="s">
        <v>18</v>
      </c>
      <c r="I2058" s="14" t="str">
        <f>IMAGE("https://upload.wikimedia.org/wikipedia/commons/a/ac/Stachytarfeta_cayennensis3.jpg")</f>
        <v/>
      </c>
    </row>
    <row r="2059" ht="36.0" customHeight="1">
      <c r="A2059" s="16" t="str">
        <f>HYPERLINK("https://commons.wikimedia.org/wiki/User:" &amp; ENCODEURL("Johan Andrés Toro"), "Johan Andrés Toro")</f>
        <v>Johan Andrés Toro</v>
      </c>
      <c r="B2059" s="17" t="s">
        <v>4222</v>
      </c>
      <c r="C2059" s="18">
        <v>46176.94569444445</v>
      </c>
      <c r="D2059" s="17" t="s">
        <v>4223</v>
      </c>
      <c r="E2059" s="19" t="s">
        <v>29</v>
      </c>
      <c r="F2059" s="19" t="s">
        <v>30</v>
      </c>
      <c r="G2059" s="20" t="s">
        <v>17</v>
      </c>
      <c r="H2059" s="20" t="s">
        <v>18</v>
      </c>
      <c r="I2059" s="19" t="str">
        <f>IMAGE("https://upload.wikimedia.org/wikipedia/commons/9/92/Star_trails_sobre_el_firmamento_de_la_Tatacoa.jpg")</f>
        <v/>
      </c>
    </row>
    <row r="2060" ht="36.0" customHeight="1">
      <c r="A2060" s="10" t="str">
        <f>HYPERLINK("https://commons.wikimedia.org/wiki/User:" &amp; ENCODEURL("Supertita"), "Supertita")</f>
        <v>Supertita</v>
      </c>
      <c r="B2060" s="11" t="s">
        <v>4224</v>
      </c>
      <c r="C2060" s="12">
        <v>46192.70748842593</v>
      </c>
      <c r="D2060" s="11" t="s">
        <v>4225</v>
      </c>
      <c r="E2060" s="14" t="s">
        <v>21</v>
      </c>
      <c r="F2060" s="15" t="s">
        <v>16</v>
      </c>
      <c r="G2060" s="15" t="s">
        <v>17</v>
      </c>
      <c r="H2060" s="15" t="s">
        <v>18</v>
      </c>
      <c r="I2060" s="14" t="str">
        <f>IMAGE("https://upload.wikimedia.org/wikipedia/commons/5/5f/Stelis_pulchella-Orchidaceae.jpg")</f>
        <v/>
      </c>
    </row>
    <row r="2061" ht="36.0" customHeight="1">
      <c r="A2061" s="16" t="str">
        <f>HYPERLINK("https://commons.wikimedia.org/wiki/User:" &amp; ENCODEURL("Reduvida3"), "Reduvida3")</f>
        <v>Reduvida3</v>
      </c>
      <c r="B2061" s="17" t="s">
        <v>4226</v>
      </c>
      <c r="C2061" s="18">
        <v>46182.654016203705</v>
      </c>
      <c r="D2061" s="17" t="s">
        <v>4227</v>
      </c>
      <c r="E2061" s="19" t="s">
        <v>29</v>
      </c>
      <c r="F2061" s="19" t="s">
        <v>30</v>
      </c>
      <c r="G2061" s="20" t="s">
        <v>17</v>
      </c>
      <c r="H2061" s="20" t="s">
        <v>18</v>
      </c>
      <c r="I2061" s="19" t="str">
        <f>IMAGE("https://upload.wikimedia.org/wikipedia/commons/5/5e/Stenocercus_erythrogaster_without_its_tail.jpg")</f>
        <v/>
      </c>
    </row>
    <row r="2062" ht="36.0" customHeight="1">
      <c r="A2062" s="10" t="str">
        <f>HYPERLINK("https://commons.wikimedia.org/wiki/User:" &amp; ENCODEURL("Supertita"), "Supertita")</f>
        <v>Supertita</v>
      </c>
      <c r="B2062" s="11" t="s">
        <v>4228</v>
      </c>
      <c r="C2062" s="12">
        <v>46192.70751157407</v>
      </c>
      <c r="D2062" s="11" t="s">
        <v>4229</v>
      </c>
      <c r="E2062" s="14" t="s">
        <v>21</v>
      </c>
      <c r="F2062" s="15" t="s">
        <v>16</v>
      </c>
      <c r="G2062" s="15" t="s">
        <v>17</v>
      </c>
      <c r="H2062" s="15" t="s">
        <v>18</v>
      </c>
      <c r="I2062" s="14" t="str">
        <f>IMAGE("https://upload.wikimedia.org/wikipedia/commons/f/f8/Stratified_rock_layers_Chingaza.jpg")</f>
        <v/>
      </c>
    </row>
    <row r="2063" ht="36.0" customHeight="1">
      <c r="A2063" s="16" t="str">
        <f t="shared" ref="A2063:A2064" si="257">HYPERLINK("https://commons.wikimedia.org/wiki/User:" &amp; ENCODEURL("Diferoch"), "Diferoch")</f>
        <v>Diferoch</v>
      </c>
      <c r="B2063" s="17" t="s">
        <v>4230</v>
      </c>
      <c r="C2063" s="18">
        <v>46197.988275462965</v>
      </c>
      <c r="D2063" s="17" t="s">
        <v>4231</v>
      </c>
      <c r="E2063" s="19" t="s">
        <v>4232</v>
      </c>
      <c r="F2063" s="20" t="s">
        <v>16</v>
      </c>
      <c r="G2063" s="20" t="s">
        <v>17</v>
      </c>
      <c r="H2063" s="20" t="s">
        <v>18</v>
      </c>
      <c r="I2063" s="19" t="str">
        <f>IMAGE("https://upload.wikimedia.org/wikipedia/commons/9/97/Stream_in_Nuqu%C3%AD%2C_Choc%C3%B3%2C_Colombia_-_22_Oct_2025_-_Diferoch_-_1.jpg")</f>
        <v/>
      </c>
    </row>
    <row r="2064" ht="36.0" customHeight="1">
      <c r="A2064" s="10" t="str">
        <f t="shared" si="257"/>
        <v>Diferoch</v>
      </c>
      <c r="B2064" s="11" t="s">
        <v>4233</v>
      </c>
      <c r="C2064" s="12">
        <v>46197.98831018519</v>
      </c>
      <c r="D2064" s="11" t="s">
        <v>4231</v>
      </c>
      <c r="E2064" s="14" t="s">
        <v>4234</v>
      </c>
      <c r="F2064" s="15" t="s">
        <v>16</v>
      </c>
      <c r="G2064" s="15" t="s">
        <v>17</v>
      </c>
      <c r="H2064" s="15" t="s">
        <v>18</v>
      </c>
      <c r="I2064" s="14" t="str">
        <f>IMAGE("https://upload.wikimedia.org/wikipedia/commons/2/29/Stream_in_Nuqu%C3%AD%2C_Choc%C3%B3%2C_Colombia_-_22_Oct_2025_-_Diferoch_-_2.jpg")</f>
        <v/>
      </c>
    </row>
    <row r="2065" ht="36.0" customHeight="1">
      <c r="A2065" s="16" t="str">
        <f>HYPERLINK("https://commons.wikimedia.org/wiki/User:" &amp; ENCODEURL("AmiGueko"), "AmiGueko")</f>
        <v>AmiGueko</v>
      </c>
      <c r="B2065" s="17" t="s">
        <v>4235</v>
      </c>
      <c r="C2065" s="18">
        <v>46178.3959837963</v>
      </c>
      <c r="D2065" s="17" t="s">
        <v>4236</v>
      </c>
      <c r="E2065" s="19" t="s">
        <v>103</v>
      </c>
      <c r="F2065" s="20" t="s">
        <v>16</v>
      </c>
      <c r="G2065" s="20" t="s">
        <v>17</v>
      </c>
      <c r="H2065" s="20" t="s">
        <v>18</v>
      </c>
      <c r="I2065" s="19" t="str">
        <f>IMAGE("https://upload.wikimedia.org/wikipedia/commons/3/36/Stromanthe_thalia.jpg")</f>
        <v/>
      </c>
    </row>
    <row r="2066" ht="36.0" customHeight="1">
      <c r="A2066" s="10" t="str">
        <f>HYPERLINK("https://commons.wikimedia.org/wiki/User:" &amp; ENCODEURL("Joseeem"), "Joseeem")</f>
        <v>Joseeem</v>
      </c>
      <c r="B2066" s="11" t="s">
        <v>4237</v>
      </c>
      <c r="C2066" s="12">
        <v>46156.9447337963</v>
      </c>
      <c r="D2066" s="11" t="s">
        <v>4238</v>
      </c>
      <c r="E2066" s="14" t="s">
        <v>29</v>
      </c>
      <c r="F2066" s="14" t="s">
        <v>30</v>
      </c>
      <c r="G2066" s="15" t="s">
        <v>17</v>
      </c>
      <c r="H2066" s="15" t="s">
        <v>18</v>
      </c>
      <c r="I2066" s="14" t="str">
        <f>IMAGE("https://upload.wikimedia.org/wikipedia/commons/3/3e/Stunning_beaches_in_Santa_Marta.jpg")</f>
        <v/>
      </c>
    </row>
    <row r="2067" ht="36.0" customHeight="1">
      <c r="A2067" s="16" t="str">
        <f>HYPERLINK("https://commons.wikimedia.org/wiki/User:" &amp; ENCODEURL("Diferoch"), "Diferoch")</f>
        <v>Diferoch</v>
      </c>
      <c r="B2067" s="17" t="s">
        <v>4239</v>
      </c>
      <c r="C2067" s="18">
        <v>46170.91491898148</v>
      </c>
      <c r="D2067" s="17" t="s">
        <v>4240</v>
      </c>
      <c r="E2067" s="19" t="s">
        <v>4241</v>
      </c>
      <c r="F2067" s="20" t="s">
        <v>16</v>
      </c>
      <c r="G2067" s="20" t="s">
        <v>17</v>
      </c>
      <c r="H2067" s="20" t="s">
        <v>18</v>
      </c>
      <c r="I2067" s="19" t="str">
        <f>IMAGE("https://upload.wikimedia.org/wikipedia/commons/e/e5/Sturnella_magna_-_Piedecuesta%2C_Santander%2C_Colombia_-_7_Jun_2026_-_Diferoch.jpg")</f>
        <v/>
      </c>
    </row>
    <row r="2068" ht="36.0" customHeight="1">
      <c r="A2068" s="10" t="str">
        <f>HYPERLINK("https://commons.wikimedia.org/wiki/User:" &amp; ENCODEURL("Camell32"), "Camell32")</f>
        <v>Camell32</v>
      </c>
      <c r="B2068" s="11" t="s">
        <v>4242</v>
      </c>
      <c r="C2068" s="12">
        <v>46163.533229166664</v>
      </c>
      <c r="D2068" s="11" t="s">
        <v>4243</v>
      </c>
      <c r="E2068" s="14" t="s">
        <v>29</v>
      </c>
      <c r="F2068" s="14" t="s">
        <v>30</v>
      </c>
      <c r="G2068" s="15" t="s">
        <v>17</v>
      </c>
      <c r="H2068" s="15" t="s">
        <v>18</v>
      </c>
      <c r="I2068" s="14" t="str">
        <f>IMAGE("https://upload.wikimedia.org/wikipedia/commons/e/ea/Suculenta_Aeonium.jpg")</f>
        <v/>
      </c>
    </row>
    <row r="2069" ht="36.0" customHeight="1">
      <c r="A2069" s="16" t="str">
        <f>HYPERLINK("https://commons.wikimedia.org/wiki/User:" &amp; ENCODEURL("AmiGueko"), "AmiGueko")</f>
        <v>AmiGueko</v>
      </c>
      <c r="B2069" s="17" t="s">
        <v>4244</v>
      </c>
      <c r="C2069" s="18">
        <v>46178.39603009259</v>
      </c>
      <c r="D2069" s="17" t="s">
        <v>4245</v>
      </c>
      <c r="E2069" s="19" t="s">
        <v>103</v>
      </c>
      <c r="F2069" s="20" t="s">
        <v>16</v>
      </c>
      <c r="G2069" s="20" t="s">
        <v>17</v>
      </c>
      <c r="H2069" s="20" t="s">
        <v>18</v>
      </c>
      <c r="I2069" s="19" t="str">
        <f>IMAGE("https://upload.wikimedia.org/wikipedia/commons/a/ac/Suculentas_mayo_2026.jpg")</f>
        <v/>
      </c>
    </row>
    <row r="2070" ht="36.0" customHeight="1">
      <c r="A2070" s="10" t="str">
        <f>HYPERLINK("https://commons.wikimedia.org/wiki/User:" &amp; ENCODEURL("PauMU86"), "PauMU86")</f>
        <v>PauMU86</v>
      </c>
      <c r="B2070" s="11" t="s">
        <v>4246</v>
      </c>
      <c r="C2070" s="12">
        <v>46171.69048611111</v>
      </c>
      <c r="D2070" s="11" t="s">
        <v>4247</v>
      </c>
      <c r="E2070" s="14" t="s">
        <v>29</v>
      </c>
      <c r="F2070" s="14" t="s">
        <v>30</v>
      </c>
      <c r="G2070" s="15" t="s">
        <v>17</v>
      </c>
      <c r="H2070" s="15" t="s">
        <v>18</v>
      </c>
      <c r="I2070" s="14" t="str">
        <f>IMAGE("https://upload.wikimedia.org/wikipedia/commons/e/ef/SumapazTinto.jpg")</f>
        <v/>
      </c>
    </row>
    <row r="2071" ht="36.0" customHeight="1">
      <c r="A2071" s="16" t="str">
        <f>HYPERLINK("https://commons.wikimedia.org/wiki/User:" &amp; ENCODEURL("Oscarvelascomora"), "Oscarvelascomora")</f>
        <v>Oscarvelascomora</v>
      </c>
      <c r="B2071" s="17" t="s">
        <v>4248</v>
      </c>
      <c r="C2071" s="18">
        <v>46151.68309027778</v>
      </c>
      <c r="D2071" s="17" t="s">
        <v>4249</v>
      </c>
      <c r="E2071" s="19" t="s">
        <v>29</v>
      </c>
      <c r="F2071" s="19" t="s">
        <v>30</v>
      </c>
      <c r="G2071" s="20" t="s">
        <v>17</v>
      </c>
      <c r="H2071" s="20" t="s">
        <v>18</v>
      </c>
      <c r="I2071" s="19" t="str">
        <f>IMAGE("https://upload.wikimedia.org/wikipedia/commons/6/63/Sumapaz_Bogot%C3%A1.jpg")</f>
        <v/>
      </c>
    </row>
    <row r="2072" ht="36.0" customHeight="1">
      <c r="A2072" s="10" t="str">
        <f>HYPERLINK("https://commons.wikimedia.org/wiki/User:" &amp; ENCODEURL("JJCL09"), "JJCL09")</f>
        <v>JJCL09</v>
      </c>
      <c r="B2072" s="11" t="s">
        <v>4250</v>
      </c>
      <c r="C2072" s="12">
        <v>46147.88146990741</v>
      </c>
      <c r="D2072" s="11" t="s">
        <v>4251</v>
      </c>
      <c r="E2072" s="14" t="s">
        <v>4252</v>
      </c>
      <c r="F2072" s="15" t="s">
        <v>16</v>
      </c>
      <c r="G2072" s="15" t="s">
        <v>17</v>
      </c>
      <c r="H2072" s="15" t="s">
        <v>18</v>
      </c>
      <c r="I2072" s="14" t="str">
        <f>IMAGE("https://upload.wikimedia.org/wikipedia/commons/6/65/Sun_of_Caldas.jpg")</f>
        <v/>
      </c>
    </row>
    <row r="2073" ht="36.0" customHeight="1">
      <c r="A2073" s="16" t="str">
        <f t="shared" ref="A2073:A2074" si="258">HYPERLINK("https://commons.wikimedia.org/wiki/User:" &amp; ENCODEURL("Reduvida3"), "Reduvida3")</f>
        <v>Reduvida3</v>
      </c>
      <c r="B2073" s="17" t="s">
        <v>4253</v>
      </c>
      <c r="C2073" s="18">
        <v>46182.65454861111</v>
      </c>
      <c r="D2073" s="17" t="s">
        <v>4254</v>
      </c>
      <c r="E2073" s="19" t="s">
        <v>29</v>
      </c>
      <c r="F2073" s="19" t="s">
        <v>30</v>
      </c>
      <c r="G2073" s="20" t="s">
        <v>17</v>
      </c>
      <c r="H2073" s="20" t="s">
        <v>18</v>
      </c>
      <c r="I2073" s="19" t="str">
        <f>IMAGE("https://upload.wikimedia.org/wikipedia/commons/e/e0/Sunset_on_the_shore_of_Nuqu%C3%AD%2C_Choc%C3%B3%2CColombia%282%29.jpg")</f>
        <v/>
      </c>
    </row>
    <row r="2074" ht="36.0" customHeight="1">
      <c r="A2074" s="10" t="str">
        <f t="shared" si="258"/>
        <v>Reduvida3</v>
      </c>
      <c r="B2074" s="11" t="s">
        <v>4255</v>
      </c>
      <c r="C2074" s="12">
        <v>46182.6544212963</v>
      </c>
      <c r="D2074" s="11" t="s">
        <v>4256</v>
      </c>
      <c r="E2074" s="14" t="s">
        <v>29</v>
      </c>
      <c r="F2074" s="14" t="s">
        <v>30</v>
      </c>
      <c r="G2074" s="15" t="s">
        <v>17</v>
      </c>
      <c r="H2074" s="15" t="s">
        <v>18</v>
      </c>
      <c r="I2074" s="14" t="str">
        <f>IMAGE("https://upload.wikimedia.org/wikipedia/commons/0/08/Sunset_on_the_shore_of_Nuqu%C3%AD%2C_Choc%C3%B3%2C_Colombia.jpg")</f>
        <v/>
      </c>
    </row>
    <row r="2075" ht="36.0" customHeight="1">
      <c r="A2075" s="16" t="str">
        <f>HYPERLINK("https://commons.wikimedia.org/wiki/User:" &amp; ENCODEURL("Torres María"), "Torres María")</f>
        <v>Torres María</v>
      </c>
      <c r="B2075" s="17" t="s">
        <v>4257</v>
      </c>
      <c r="C2075" s="18">
        <v>46157.63990740741</v>
      </c>
      <c r="D2075" s="17" t="s">
        <v>4258</v>
      </c>
      <c r="E2075" s="19" t="s">
        <v>29</v>
      </c>
      <c r="F2075" s="19" t="s">
        <v>30</v>
      </c>
      <c r="G2075" s="20" t="s">
        <v>17</v>
      </c>
      <c r="H2075" s="20" t="s">
        <v>18</v>
      </c>
      <c r="I2075" s="19" t="str">
        <f>IMAGE("https://upload.wikimedia.org/wikipedia/commons/8/88/Sunset_with_dry_trees.jpg")</f>
        <v/>
      </c>
    </row>
    <row r="2076" ht="36.0" customHeight="1">
      <c r="A2076" s="10" t="str">
        <f>HYPERLINK("https://commons.wikimedia.org/wiki/User:" &amp; ENCODEURL("ANDRESMNDOZA"), "ANDRESMNDOZA")</f>
        <v>ANDRESMNDOZA</v>
      </c>
      <c r="B2076" s="11" t="s">
        <v>4259</v>
      </c>
      <c r="C2076" s="12">
        <v>46157.61447916667</v>
      </c>
      <c r="D2076" s="11" t="s">
        <v>4260</v>
      </c>
      <c r="E2076" s="14" t="s">
        <v>29</v>
      </c>
      <c r="F2076" s="14" t="s">
        <v>30</v>
      </c>
      <c r="G2076" s="15" t="s">
        <v>17</v>
      </c>
      <c r="H2076" s="15" t="s">
        <v>18</v>
      </c>
      <c r="I2076" s="14" t="str">
        <f>IMAGE("https://upload.wikimedia.org/wikipedia/commons/3/3f/Super_Luna%2C_Tecate%2C_Baja_California%2C_M%C3%A9xico.jpg")</f>
        <v/>
      </c>
    </row>
    <row r="2077" ht="36.0" customHeight="1">
      <c r="A2077" s="16" t="str">
        <f>HYPERLINK("https://commons.wikimedia.org/wiki/User:" &amp; ENCODEURL("ColombianFibonacci"), "ColombianFibonacci")</f>
        <v>ColombianFibonacci</v>
      </c>
      <c r="B2077" s="17" t="s">
        <v>4261</v>
      </c>
      <c r="C2077" s="18">
        <v>46162.707141203704</v>
      </c>
      <c r="D2077" s="17" t="s">
        <v>4262</v>
      </c>
      <c r="E2077" s="19" t="s">
        <v>29</v>
      </c>
      <c r="F2077" s="19" t="s">
        <v>30</v>
      </c>
      <c r="G2077" s="20" t="s">
        <v>17</v>
      </c>
      <c r="H2077" s="20" t="s">
        <v>18</v>
      </c>
      <c r="I2077" s="19" t="str">
        <f>IMAGE("https://upload.wikimedia.org/wikipedia/commons/a/ab/Surrounded_by_endless_green_at_Quebrada_Valencia.jpg")</f>
        <v/>
      </c>
    </row>
    <row r="2078" ht="36.0" customHeight="1">
      <c r="A2078" s="10" t="str">
        <f>HYPERLINK("https://commons.wikimedia.org/wiki/User:" &amp; ENCODEURL("Halleyuncometafotografo"), "Halleyuncometafotografo")</f>
        <v>Halleyuncometafotografo</v>
      </c>
      <c r="B2078" s="11" t="s">
        <v>4263</v>
      </c>
      <c r="C2078" s="12">
        <v>46203.89857638889</v>
      </c>
      <c r="D2078" s="11" t="s">
        <v>4264</v>
      </c>
      <c r="E2078" s="14" t="s">
        <v>29</v>
      </c>
      <c r="F2078" s="14" t="s">
        <v>30</v>
      </c>
      <c r="G2078" s="15" t="s">
        <v>17</v>
      </c>
      <c r="H2078" s="15" t="s">
        <v>18</v>
      </c>
      <c r="I2078" s="14" t="str">
        <f>IMAGE("https://upload.wikimedia.org/wikipedia/commons/8/80/Suspendido_en_el_aire.jpg")</f>
        <v/>
      </c>
    </row>
    <row r="2079" ht="36.0" customHeight="1">
      <c r="A2079" s="16" t="str">
        <f t="shared" ref="A2079:A2081" si="259">HYPERLINK("https://commons.wikimedia.org/wiki/User:" &amp; ENCODEURL("JuanPabloAndres1"), "JuanPabloAndres1")</f>
        <v>JuanPabloAndres1</v>
      </c>
      <c r="B2079" s="17" t="s">
        <v>4265</v>
      </c>
      <c r="C2079" s="18">
        <v>46195.984768518516</v>
      </c>
      <c r="D2079" s="17" t="s">
        <v>4266</v>
      </c>
      <c r="E2079" s="19" t="s">
        <v>4267</v>
      </c>
      <c r="F2079" s="20" t="s">
        <v>16</v>
      </c>
      <c r="G2079" s="20" t="s">
        <v>17</v>
      </c>
      <c r="H2079" s="20" t="s">
        <v>18</v>
      </c>
      <c r="I2079" s="19" t="str">
        <f>IMAGE("https://upload.wikimedia.org/wikipedia/commons/5/5c/Sutatausa_Landscape_1.jpg")</f>
        <v/>
      </c>
    </row>
    <row r="2080" ht="36.0" customHeight="1">
      <c r="A2080" s="10" t="str">
        <f t="shared" si="259"/>
        <v>JuanPabloAndres1</v>
      </c>
      <c r="B2080" s="11" t="s">
        <v>4268</v>
      </c>
      <c r="C2080" s="12">
        <v>46195.98473379629</v>
      </c>
      <c r="D2080" s="11" t="s">
        <v>4266</v>
      </c>
      <c r="E2080" s="14" t="s">
        <v>4269</v>
      </c>
      <c r="F2080" s="15" t="s">
        <v>16</v>
      </c>
      <c r="G2080" s="15" t="s">
        <v>17</v>
      </c>
      <c r="H2080" s="15" t="s">
        <v>18</v>
      </c>
      <c r="I2080" s="14" t="str">
        <f>IMAGE("https://upload.wikimedia.org/wikipedia/commons/e/ed/Sutatausa_Landscape_2.jpg")</f>
        <v/>
      </c>
    </row>
    <row r="2081" ht="36.0" customHeight="1">
      <c r="A2081" s="16" t="str">
        <f t="shared" si="259"/>
        <v>JuanPabloAndres1</v>
      </c>
      <c r="B2081" s="17" t="s">
        <v>4270</v>
      </c>
      <c r="C2081" s="18">
        <v>46195.984768518516</v>
      </c>
      <c r="D2081" s="17" t="s">
        <v>4266</v>
      </c>
      <c r="E2081" s="19" t="s">
        <v>4271</v>
      </c>
      <c r="F2081" s="20" t="s">
        <v>16</v>
      </c>
      <c r="G2081" s="20" t="s">
        <v>17</v>
      </c>
      <c r="H2081" s="20" t="s">
        <v>18</v>
      </c>
      <c r="I2081" s="19" t="str">
        <f>IMAGE("https://upload.wikimedia.org/wikipedia/commons/1/1b/Sutatausa_Landscape_3.jpg")</f>
        <v/>
      </c>
    </row>
    <row r="2082" ht="36.0" customHeight="1">
      <c r="A2082" s="10" t="str">
        <f>HYPERLINK("https://commons.wikimedia.org/wiki/User:" &amp; ENCODEURL("Charlesjsharp"), "Charlesjsharp")</f>
        <v>Charlesjsharp</v>
      </c>
      <c r="B2082" s="11" t="s">
        <v>4272</v>
      </c>
      <c r="C2082" s="12">
        <v>46171.64212962963</v>
      </c>
      <c r="D2082" s="11" t="s">
        <v>4273</v>
      </c>
      <c r="E2082" s="14" t="s">
        <v>2090</v>
      </c>
      <c r="F2082" s="15" t="s">
        <v>16</v>
      </c>
      <c r="G2082" s="15" t="s">
        <v>17</v>
      </c>
      <c r="H2082" s="15" t="s">
        <v>18</v>
      </c>
      <c r="I2082" s="14" t="str">
        <f>IMAGE("https://upload.wikimedia.org/wikipedia/commons/7/74/Sword-billed_hummingbird_%28Ensifera_ensifera%29_Caldas_2.jpg")</f>
        <v/>
      </c>
    </row>
    <row r="2083" ht="36.0" customHeight="1">
      <c r="A2083" s="16" t="str">
        <f>HYPERLINK("https://commons.wikimedia.org/wiki/User:" &amp; ENCODEURL("Nbareschu"), "Nbareschu")</f>
        <v>Nbareschu</v>
      </c>
      <c r="B2083" s="17" t="s">
        <v>4274</v>
      </c>
      <c r="C2083" s="18">
        <v>46149.42134259259</v>
      </c>
      <c r="D2083" s="17" t="s">
        <v>4275</v>
      </c>
      <c r="E2083" s="19" t="s">
        <v>4276</v>
      </c>
      <c r="F2083" s="20" t="s">
        <v>16</v>
      </c>
      <c r="G2083" s="20" t="s">
        <v>17</v>
      </c>
      <c r="H2083" s="20" t="s">
        <v>18</v>
      </c>
      <c r="I2083" s="19" t="str">
        <f>IMAGE("https://upload.wikimedia.org/wikipedia/commons/f/f3/Symplocos.jpg")</f>
        <v/>
      </c>
    </row>
    <row r="2084" ht="36.0" customHeight="1">
      <c r="A2084" s="10" t="str">
        <f t="shared" ref="A2084:A2085" si="260">HYPERLINK("https://commons.wikimedia.org/wiki/User:" &amp; ENCODEURL("Diferoch"), "Diferoch")</f>
        <v>Diferoch</v>
      </c>
      <c r="B2084" s="11" t="s">
        <v>4277</v>
      </c>
      <c r="C2084" s="12">
        <v>46170.91125</v>
      </c>
      <c r="D2084" s="11" t="s">
        <v>4278</v>
      </c>
      <c r="E2084" s="14" t="s">
        <v>4279</v>
      </c>
      <c r="F2084" s="15" t="s">
        <v>16</v>
      </c>
      <c r="G2084" s="15" t="s">
        <v>17</v>
      </c>
      <c r="H2084" s="15" t="s">
        <v>18</v>
      </c>
      <c r="I2084" s="14" t="str">
        <f>IMAGE("https://upload.wikimedia.org/wikipedia/commons/c/c5/Syrigma_sibilatrix_fostersmithi_-_Piedecuesta%2C_Santander%2C_Colombia_-_7_Jun_2026_-_Diferoch.jpg")</f>
        <v/>
      </c>
    </row>
    <row r="2085" ht="36.0" customHeight="1">
      <c r="A2085" s="16" t="str">
        <f t="shared" si="260"/>
        <v>Diferoch</v>
      </c>
      <c r="B2085" s="17" t="s">
        <v>4280</v>
      </c>
      <c r="C2085" s="18">
        <v>46189.8155787037</v>
      </c>
      <c r="D2085" s="17" t="s">
        <v>4281</v>
      </c>
      <c r="E2085" s="19" t="s">
        <v>4282</v>
      </c>
      <c r="F2085" s="20" t="s">
        <v>16</v>
      </c>
      <c r="G2085" s="20" t="s">
        <v>17</v>
      </c>
      <c r="H2085" s="20" t="s">
        <v>18</v>
      </c>
      <c r="I2085" s="19" t="str">
        <f>IMAGE("https://upload.wikimedia.org/wikipedia/commons/4/45/Syrphini_-_Bogot%C3%A1_D._C.%2C_Colombia_-_23_Aug_2025_-_Diferoch.jpg")</f>
        <v/>
      </c>
    </row>
    <row r="2086" ht="36.0" customHeight="1">
      <c r="A2086" s="10" t="str">
        <f>HYPERLINK("https://commons.wikimedia.org/wiki/User:" &amp; ENCODEURL("Romauribe"), "Romauribe")</f>
        <v>Romauribe</v>
      </c>
      <c r="B2086" s="11" t="s">
        <v>4283</v>
      </c>
      <c r="C2086" s="12">
        <v>46179.530497685184</v>
      </c>
      <c r="D2086" s="11" t="s">
        <v>4284</v>
      </c>
      <c r="E2086" s="14" t="s">
        <v>4285</v>
      </c>
      <c r="F2086" s="15" t="s">
        <v>16</v>
      </c>
      <c r="G2086" s="15" t="s">
        <v>17</v>
      </c>
      <c r="H2086" s="15" t="s">
        <v>18</v>
      </c>
      <c r="I2086" s="14" t="str">
        <f>IMAGE("https://upload.wikimedia.org/wikipedia/commons/d/d7/S%C3%BAper_cola_de_burro.jpg")</f>
        <v/>
      </c>
    </row>
    <row r="2087" ht="36.0" customHeight="1">
      <c r="A2087" s="16" t="str">
        <f>HYPERLINK("https://commons.wikimedia.org/wiki/User:" &amp; ENCODEURL("Diferoch"), "Diferoch")</f>
        <v>Diferoch</v>
      </c>
      <c r="B2087" s="17" t="s">
        <v>4286</v>
      </c>
      <c r="C2087" s="18">
        <v>46170.91128472222</v>
      </c>
      <c r="D2087" s="17" t="s">
        <v>4287</v>
      </c>
      <c r="E2087" s="19" t="s">
        <v>4288</v>
      </c>
      <c r="F2087" s="20" t="s">
        <v>16</v>
      </c>
      <c r="G2087" s="20" t="s">
        <v>17</v>
      </c>
      <c r="H2087" s="20" t="s">
        <v>18</v>
      </c>
      <c r="I2087" s="19" t="str">
        <f>IMAGE("https://upload.wikimedia.org/wikipedia/commons/a/ac/Tachybaptus_dominicus_brachyrhynchus_-_Piedecuesta%2C_Santander%2C_Colombia_-_7_Jun_2026_-_Diferoch.jpg")</f>
        <v/>
      </c>
    </row>
    <row r="2088" ht="36.0" customHeight="1">
      <c r="A2088" s="10" t="str">
        <f>HYPERLINK("https://commons.wikimedia.org/wiki/User:" &amp; ENCODEURL("Mottenpriesterin"), "Mottenpriesterin")</f>
        <v>Mottenpriesterin</v>
      </c>
      <c r="B2088" s="11" t="s">
        <v>4289</v>
      </c>
      <c r="C2088" s="12">
        <v>46202.92017361111</v>
      </c>
      <c r="D2088" s="11" t="s">
        <v>4290</v>
      </c>
      <c r="E2088" s="14" t="s">
        <v>29</v>
      </c>
      <c r="F2088" s="14" t="s">
        <v>30</v>
      </c>
      <c r="G2088" s="15" t="s">
        <v>17</v>
      </c>
      <c r="H2088" s="15" t="s">
        <v>18</v>
      </c>
      <c r="I2088" s="14" t="str">
        <f>IMAGE("https://upload.wikimedia.org/wikipedia/commons/d/d3/Tall_inflorescence_of_an_Agave_plant_near_Villa_de_Leyva%2C_2026.jpg")</f>
        <v/>
      </c>
    </row>
    <row r="2089" ht="36.0" customHeight="1">
      <c r="A2089" s="16" t="str">
        <f>HYPERLINK("https://commons.wikimedia.org/wiki/User:" &amp; ENCODEURL("Natlycu"), "Natlycu")</f>
        <v>Natlycu</v>
      </c>
      <c r="B2089" s="17" t="s">
        <v>4291</v>
      </c>
      <c r="C2089" s="18">
        <v>46203.00645833334</v>
      </c>
      <c r="D2089" s="17" t="s">
        <v>4292</v>
      </c>
      <c r="E2089" s="19" t="s">
        <v>1158</v>
      </c>
      <c r="F2089" s="20" t="s">
        <v>16</v>
      </c>
      <c r="G2089" s="20" t="s">
        <v>17</v>
      </c>
      <c r="H2089" s="20" t="s">
        <v>18</v>
      </c>
      <c r="I2089" s="19" t="str">
        <f>IMAGE("https://upload.wikimedia.org/wikipedia/commons/a/a8/Tanga_carafuego_%28Tangara_parzudakii%29_en_Paque_Verde_Y_Agua%2C_Fusagasug%C3%A1%2C_%28Cundinamarca%29.jpg")</f>
        <v/>
      </c>
    </row>
    <row r="2090" ht="36.0" customHeight="1">
      <c r="A2090" s="10" t="str">
        <f>HYPERLINK("https://commons.wikimedia.org/wiki/User:" &amp; ENCODEURL("Peperomia11"), "Peperomia11")</f>
        <v>Peperomia11</v>
      </c>
      <c r="B2090" s="11" t="s">
        <v>4293</v>
      </c>
      <c r="C2090" s="12">
        <v>46202.56002314815</v>
      </c>
      <c r="D2090" s="11" t="s">
        <v>4294</v>
      </c>
      <c r="E2090" s="14" t="s">
        <v>29</v>
      </c>
      <c r="F2090" s="14" t="s">
        <v>30</v>
      </c>
      <c r="G2090" s="15" t="s">
        <v>17</v>
      </c>
      <c r="H2090" s="15" t="s">
        <v>18</v>
      </c>
      <c r="I2090" s="14" t="str">
        <f>IMAGE("https://upload.wikimedia.org/wikipedia/commons/5/5d/Tangara_2026-05-28.jpg")</f>
        <v/>
      </c>
    </row>
    <row r="2091" ht="36.0" customHeight="1">
      <c r="A2091" s="16" t="str">
        <f t="shared" ref="A2091:A2094" si="261">HYPERLINK("https://commons.wikimedia.org/wiki/User:" &amp; ENCODEURL("NicolleTorresG"), "NicolleTorresG")</f>
        <v>NicolleTorresG</v>
      </c>
      <c r="B2091" s="17" t="s">
        <v>4295</v>
      </c>
      <c r="C2091" s="18">
        <v>46199.939050925925</v>
      </c>
      <c r="D2091" s="17" t="s">
        <v>4296</v>
      </c>
      <c r="E2091" s="19" t="s">
        <v>848</v>
      </c>
      <c r="F2091" s="20" t="s">
        <v>16</v>
      </c>
      <c r="G2091" s="20" t="s">
        <v>17</v>
      </c>
      <c r="H2091" s="20" t="s">
        <v>18</v>
      </c>
      <c r="I2091" s="19" t="str">
        <f>IMAGE("https://upload.wikimedia.org/wikipedia/commons/9/93/Tangara_Aliazul_-_Anisognathus_somptuosus.jpg")</f>
        <v/>
      </c>
    </row>
    <row r="2092" ht="36.0" customHeight="1">
      <c r="A2092" s="10" t="str">
        <f t="shared" si="261"/>
        <v>NicolleTorresG</v>
      </c>
      <c r="B2092" s="11" t="s">
        <v>4297</v>
      </c>
      <c r="C2092" s="12">
        <v>46199.9390162037</v>
      </c>
      <c r="D2092" s="11" t="s">
        <v>4298</v>
      </c>
      <c r="E2092" s="14" t="s">
        <v>848</v>
      </c>
      <c r="F2092" s="15" t="s">
        <v>16</v>
      </c>
      <c r="G2092" s="15" t="s">
        <v>17</v>
      </c>
      <c r="H2092" s="15" t="s">
        <v>18</v>
      </c>
      <c r="I2092" s="14" t="str">
        <f>IMAGE("https://upload.wikimedia.org/wikipedia/commons/2/2a/Tangara_Coronigualda_-_Tangara_xanthocephala.jpg")</f>
        <v/>
      </c>
    </row>
    <row r="2093" ht="36.0" customHeight="1">
      <c r="A2093" s="16" t="str">
        <f t="shared" si="261"/>
        <v>NicolleTorresG</v>
      </c>
      <c r="B2093" s="17" t="s">
        <v>4299</v>
      </c>
      <c r="C2093" s="18">
        <v>46199.93902777778</v>
      </c>
      <c r="D2093" s="17" t="s">
        <v>4300</v>
      </c>
      <c r="E2093" s="19" t="s">
        <v>848</v>
      </c>
      <c r="F2093" s="20" t="s">
        <v>16</v>
      </c>
      <c r="G2093" s="20" t="s">
        <v>17</v>
      </c>
      <c r="H2093" s="20" t="s">
        <v>18</v>
      </c>
      <c r="I2093" s="19" t="str">
        <f>IMAGE("https://upload.wikimedia.org/wikipedia/commons/f/f2/Tangara_Multicolor_-_Chlorochrysa_nitidissima.jpg")</f>
        <v/>
      </c>
    </row>
    <row r="2094" ht="36.0" customHeight="1">
      <c r="A2094" s="10" t="str">
        <f t="shared" si="261"/>
        <v>NicolleTorresG</v>
      </c>
      <c r="B2094" s="11" t="s">
        <v>4301</v>
      </c>
      <c r="C2094" s="12">
        <v>46199.939050925925</v>
      </c>
      <c r="D2094" s="11" t="s">
        <v>4302</v>
      </c>
      <c r="E2094" s="14" t="s">
        <v>848</v>
      </c>
      <c r="F2094" s="15" t="s">
        <v>16</v>
      </c>
      <c r="G2094" s="15" t="s">
        <v>17</v>
      </c>
      <c r="H2094" s="15" t="s">
        <v>18</v>
      </c>
      <c r="I2094" s="14" t="str">
        <f>IMAGE("https://upload.wikimedia.org/wikipedia/commons/7/7e/Tangara_Nuquidorada_-_Chalcothraupis_ruficervix.jpg")</f>
        <v/>
      </c>
    </row>
    <row r="2095" ht="36.0" customHeight="1">
      <c r="A2095" s="16" t="str">
        <f>HYPERLINK("https://commons.wikimedia.org/wiki/User:" &amp; ENCODEURL("Munigarro"), "Munigarro")</f>
        <v>Munigarro</v>
      </c>
      <c r="B2095" s="17" t="s">
        <v>4303</v>
      </c>
      <c r="C2095" s="18">
        <v>46202.65511574074</v>
      </c>
      <c r="D2095" s="17" t="s">
        <v>4304</v>
      </c>
      <c r="E2095" s="19" t="s">
        <v>29</v>
      </c>
      <c r="F2095" s="19" t="s">
        <v>30</v>
      </c>
      <c r="G2095" s="20" t="s">
        <v>17</v>
      </c>
      <c r="H2095" s="20" t="s">
        <v>18</v>
      </c>
      <c r="I2095" s="19" t="str">
        <f>IMAGE("https://upload.wikimedia.org/wikipedia/commons/4/46/Tangara_Rastrojera.jpg")</f>
        <v/>
      </c>
    </row>
    <row r="2096" ht="36.0" customHeight="1">
      <c r="A2096" s="10" t="str">
        <f t="shared" ref="A2096:A2097" si="262">HYPERLINK("https://commons.wikimedia.org/wiki/User:" &amp; ENCODEURL("Supertita"), "Supertita")</f>
        <v>Supertita</v>
      </c>
      <c r="B2096" s="11" t="s">
        <v>4305</v>
      </c>
      <c r="C2096" s="12">
        <v>46192.75502314815</v>
      </c>
      <c r="D2096" s="11" t="s">
        <v>4306</v>
      </c>
      <c r="E2096" s="14" t="s">
        <v>446</v>
      </c>
      <c r="F2096" s="15" t="s">
        <v>16</v>
      </c>
      <c r="G2096" s="15" t="s">
        <v>17</v>
      </c>
      <c r="H2096" s="15" t="s">
        <v>18</v>
      </c>
      <c r="I2096" s="14" t="str">
        <f>IMAGE("https://upload.wikimedia.org/wikipedia/commons/c/cc/Tangara_azuleja.jpg")</f>
        <v/>
      </c>
    </row>
    <row r="2097" ht="36.0" customHeight="1">
      <c r="A2097" s="16" t="str">
        <f t="shared" si="262"/>
        <v>Supertita</v>
      </c>
      <c r="B2097" s="17" t="s">
        <v>4307</v>
      </c>
      <c r="C2097" s="18">
        <v>46192.75497685185</v>
      </c>
      <c r="D2097" s="17" t="s">
        <v>4308</v>
      </c>
      <c r="E2097" s="19" t="s">
        <v>446</v>
      </c>
      <c r="F2097" s="20" t="s">
        <v>16</v>
      </c>
      <c r="G2097" s="20" t="s">
        <v>17</v>
      </c>
      <c r="H2097" s="20" t="s">
        <v>18</v>
      </c>
      <c r="I2097" s="19" t="str">
        <f>IMAGE("https://upload.wikimedia.org/wikipedia/commons/d/d7/Tangara_dorsirroja_hembra_%28Ramphocelus_dimidiatus%29.jpg")</f>
        <v/>
      </c>
    </row>
    <row r="2098" ht="36.0" customHeight="1">
      <c r="A2098" s="10" t="str">
        <f>HYPERLINK("https://commons.wikimedia.org/wiki/User:" &amp; ENCODEURL("Avargasc1"), "Avargasc1")</f>
        <v>Avargasc1</v>
      </c>
      <c r="B2098" s="11" t="s">
        <v>4309</v>
      </c>
      <c r="C2098" s="12">
        <v>46171.3699537037</v>
      </c>
      <c r="D2098" s="11" t="s">
        <v>4310</v>
      </c>
      <c r="E2098" s="14" t="s">
        <v>29</v>
      </c>
      <c r="F2098" s="14" t="s">
        <v>30</v>
      </c>
      <c r="G2098" s="15" t="s">
        <v>17</v>
      </c>
      <c r="H2098" s="15" t="s">
        <v>18</v>
      </c>
      <c r="I2098" s="14" t="str">
        <f>IMAGE("https://upload.wikimedia.org/wikipedia/commons/f/f9/Tangar%C3%A1_Pecosa.jpg")</f>
        <v/>
      </c>
    </row>
    <row r="2099" ht="36.0" customHeight="1">
      <c r="A2099" s="16" t="str">
        <f>HYPERLINK("https://commons.wikimedia.org/wiki/User:" &amp; ENCODEURL("Mathias David P"), "Mathias David P")</f>
        <v>Mathias David P</v>
      </c>
      <c r="B2099" s="17" t="s">
        <v>4311</v>
      </c>
      <c r="C2099" s="18">
        <v>46201.74659722222</v>
      </c>
      <c r="D2099" s="17" t="s">
        <v>4312</v>
      </c>
      <c r="E2099" s="19" t="s">
        <v>29</v>
      </c>
      <c r="F2099" s="19" t="s">
        <v>30</v>
      </c>
      <c r="G2099" s="20" t="s">
        <v>17</v>
      </c>
      <c r="H2099" s="20" t="s">
        <v>18</v>
      </c>
      <c r="I2099" s="19" t="str">
        <f>IMAGE("https://upload.wikimedia.org/wikipedia/commons/0/02/Tarantula_de_mi_patio.jpg")</f>
        <v/>
      </c>
    </row>
    <row r="2100" ht="36.0" customHeight="1">
      <c r="A2100" s="10" t="str">
        <f>HYPERLINK("https://commons.wikimedia.org/wiki/User:" &amp; ENCODEURL("XimmoY"), "XimmoY")</f>
        <v>XimmoY</v>
      </c>
      <c r="B2100" s="11" t="s">
        <v>4313</v>
      </c>
      <c r="C2100" s="12">
        <v>46203.91204861111</v>
      </c>
      <c r="D2100" s="11" t="s">
        <v>4314</v>
      </c>
      <c r="E2100" s="14" t="s">
        <v>4315</v>
      </c>
      <c r="F2100" s="15" t="s">
        <v>16</v>
      </c>
      <c r="G2100" s="15" t="s">
        <v>17</v>
      </c>
      <c r="H2100" s="15" t="s">
        <v>18</v>
      </c>
      <c r="I2100" s="14" t="str">
        <f>IMAGE("https://upload.wikimedia.org/wikipedia/commons/3/32/Tarantula_en_la_SNSM.jpg")</f>
        <v/>
      </c>
    </row>
    <row r="2101" ht="36.0" customHeight="1">
      <c r="A2101" s="16" t="str">
        <f t="shared" ref="A2101:A2102" si="263">HYPERLINK("https://commons.wikimedia.org/wiki/User:" &amp; ENCODEURL("Joseeem"), "Joseeem")</f>
        <v>Joseeem</v>
      </c>
      <c r="B2101" s="17" t="s">
        <v>4316</v>
      </c>
      <c r="C2101" s="18">
        <v>46156.94478009259</v>
      </c>
      <c r="D2101" s="17" t="s">
        <v>4317</v>
      </c>
      <c r="E2101" s="19" t="s">
        <v>29</v>
      </c>
      <c r="F2101" s="19" t="s">
        <v>30</v>
      </c>
      <c r="G2101" s="20" t="s">
        <v>17</v>
      </c>
      <c r="H2101" s="20" t="s">
        <v>18</v>
      </c>
      <c r="I2101" s="19" t="str">
        <f>IMAGE("https://upload.wikimedia.org/wikipedia/commons/c/c3/Tayrona_Beaches.jpg")</f>
        <v/>
      </c>
    </row>
    <row r="2102" ht="36.0" customHeight="1">
      <c r="A2102" s="10" t="str">
        <f t="shared" si="263"/>
        <v>Joseeem</v>
      </c>
      <c r="B2102" s="11" t="s">
        <v>4318</v>
      </c>
      <c r="C2102" s="12">
        <v>46156.94480324074</v>
      </c>
      <c r="D2102" s="11" t="s">
        <v>4319</v>
      </c>
      <c r="E2102" s="14" t="s">
        <v>29</v>
      </c>
      <c r="F2102" s="14" t="s">
        <v>30</v>
      </c>
      <c r="G2102" s="15" t="s">
        <v>17</v>
      </c>
      <c r="H2102" s="15" t="s">
        <v>18</v>
      </c>
      <c r="I2102" s="14" t="str">
        <f>IMAGE("https://upload.wikimedia.org/wikipedia/commons/6/61/Tayrona_National_Park.jpg")</f>
        <v/>
      </c>
    </row>
    <row r="2103" ht="36.0" customHeight="1">
      <c r="A2103" s="16" t="str">
        <f>HYPERLINK("https://commons.wikimedia.org/wiki/User:" &amp; ENCODEURL("Alvaro6291"), "Alvaro6291")</f>
        <v>Alvaro6291</v>
      </c>
      <c r="B2103" s="17" t="s">
        <v>4320</v>
      </c>
      <c r="C2103" s="18">
        <v>46144.83184027778</v>
      </c>
      <c r="D2103" s="17" t="s">
        <v>4321</v>
      </c>
      <c r="E2103" s="19" t="s">
        <v>29</v>
      </c>
      <c r="F2103" s="19" t="s">
        <v>30</v>
      </c>
      <c r="G2103" s="20" t="s">
        <v>17</v>
      </c>
      <c r="H2103" s="20" t="s">
        <v>18</v>
      </c>
      <c r="I2103" s="19" t="str">
        <f>IMAGE("https://upload.wikimedia.org/wikipedia/commons/1/11/Tepuy_serran%C3%ADa_del_Chiribiquete.jpg")</f>
        <v/>
      </c>
    </row>
    <row r="2104" ht="36.0" customHeight="1">
      <c r="A2104" s="10" t="str">
        <f>HYPERLINK("https://commons.wikimedia.org/wiki/User:" &amp; ENCODEURL("DeibyJk"), "DeibyJk")</f>
        <v>DeibyJk</v>
      </c>
      <c r="B2104" s="11" t="s">
        <v>4322</v>
      </c>
      <c r="C2104" s="12">
        <v>46166.94204861111</v>
      </c>
      <c r="D2104" s="11" t="s">
        <v>158</v>
      </c>
      <c r="E2104" s="14" t="s">
        <v>29</v>
      </c>
      <c r="F2104" s="14" t="s">
        <v>30</v>
      </c>
      <c r="G2104" s="15" t="s">
        <v>17</v>
      </c>
      <c r="H2104" s="15" t="s">
        <v>18</v>
      </c>
      <c r="I2104" s="14" t="str">
        <f>IMAGE("https://upload.wikimedia.org/wikipedia/commons/1/1a/Terciopelohuila_12.jpg")</f>
        <v/>
      </c>
    </row>
    <row r="2105" ht="36.0" customHeight="1">
      <c r="A2105" s="16" t="str">
        <f>HYPERLINK("https://commons.wikimedia.org/wiki/User:" &amp; ENCODEURL("Munigarro"), "Munigarro")</f>
        <v>Munigarro</v>
      </c>
      <c r="B2105" s="17" t="s">
        <v>4323</v>
      </c>
      <c r="C2105" s="18">
        <v>46202.65511574074</v>
      </c>
      <c r="D2105" s="17" t="s">
        <v>4154</v>
      </c>
      <c r="E2105" s="19" t="s">
        <v>29</v>
      </c>
      <c r="F2105" s="19" t="s">
        <v>30</v>
      </c>
      <c r="G2105" s="20" t="s">
        <v>17</v>
      </c>
      <c r="H2105" s="20" t="s">
        <v>18</v>
      </c>
      <c r="I2105" s="19" t="str">
        <f>IMAGE("https://upload.wikimedia.org/wikipedia/commons/b/b1/Terlaque_Pechiazul.jpg")</f>
        <v/>
      </c>
    </row>
    <row r="2106" ht="36.0" customHeight="1">
      <c r="A2106" s="10" t="str">
        <f>HYPERLINK("https://commons.wikimedia.org/wiki/User:" &amp; ENCODEURL("Allysami2215"), "Allysami2215")</f>
        <v>Allysami2215</v>
      </c>
      <c r="B2106" s="11" t="s">
        <v>4324</v>
      </c>
      <c r="C2106" s="12">
        <v>46147.85173611111</v>
      </c>
      <c r="D2106" s="11" t="s">
        <v>4325</v>
      </c>
      <c r="E2106" s="14" t="s">
        <v>29</v>
      </c>
      <c r="F2106" s="14" t="s">
        <v>30</v>
      </c>
      <c r="G2106" s="15" t="s">
        <v>17</v>
      </c>
      <c r="H2106" s="15" t="s">
        <v>18</v>
      </c>
      <c r="I2106" s="14" t="str">
        <f>IMAGE("https://upload.wikimedia.org/wikipedia/commons/0/03/Termales_santa_rosa_de_cabal.jpg")</f>
        <v/>
      </c>
    </row>
    <row r="2107" ht="36.0" customHeight="1">
      <c r="A2107" s="16" t="str">
        <f>HYPERLINK("https://commons.wikimedia.org/wiki/User:" &amp; ENCODEURL("Peperomia11"), "Peperomia11")</f>
        <v>Peperomia11</v>
      </c>
      <c r="B2107" s="17" t="s">
        <v>4326</v>
      </c>
      <c r="C2107" s="18">
        <v>46202.56017361111</v>
      </c>
      <c r="D2107" s="17" t="s">
        <v>4327</v>
      </c>
      <c r="E2107" s="19" t="s">
        <v>29</v>
      </c>
      <c r="F2107" s="19" t="s">
        <v>30</v>
      </c>
      <c r="G2107" s="20" t="s">
        <v>17</v>
      </c>
      <c r="H2107" s="20" t="s">
        <v>18</v>
      </c>
      <c r="I2107" s="19" t="str">
        <f>IMAGE("https://upload.wikimedia.org/wikipedia/commons/a/a2/Termas_20260529_090536.jpg")</f>
        <v/>
      </c>
    </row>
    <row r="2108" ht="36.0" customHeight="1">
      <c r="A2108" s="10" t="str">
        <f>HYPERLINK("https://commons.wikimedia.org/wiki/User:" &amp; ENCODEURL("Alzevi"), "Alzevi")</f>
        <v>Alzevi</v>
      </c>
      <c r="B2108" s="11" t="s">
        <v>4328</v>
      </c>
      <c r="C2108" s="12">
        <v>46149.55137731481</v>
      </c>
      <c r="D2108" s="11" t="s">
        <v>4329</v>
      </c>
      <c r="E2108" s="14" t="s">
        <v>29</v>
      </c>
      <c r="F2108" s="14" t="s">
        <v>30</v>
      </c>
      <c r="G2108" s="15" t="s">
        <v>17</v>
      </c>
      <c r="H2108" s="15" t="s">
        <v>18</v>
      </c>
      <c r="I2108" s="14" t="str">
        <f>IMAGE("https://upload.wikimedia.org/wikipedia/commons/f/f4/Tesoro_del_Sol.jpg")</f>
        <v/>
      </c>
    </row>
    <row r="2109" ht="36.0" customHeight="1">
      <c r="A2109" s="16" t="str">
        <f>HYPERLINK("https://commons.wikimedia.org/wiki/User:" &amp; ENCODEURL("Ciri.macro"), "Ciri.macro")</f>
        <v>Ciri.macro</v>
      </c>
      <c r="B2109" s="17" t="s">
        <v>4330</v>
      </c>
      <c r="C2109" s="18">
        <v>46202.347962962966</v>
      </c>
      <c r="D2109" s="17" t="s">
        <v>4331</v>
      </c>
      <c r="E2109" s="19" t="s">
        <v>29</v>
      </c>
      <c r="F2109" s="19" t="s">
        <v>30</v>
      </c>
      <c r="G2109" s="20" t="s">
        <v>17</v>
      </c>
      <c r="H2109" s="20" t="s">
        <v>18</v>
      </c>
      <c r="I2109" s="19" t="str">
        <f>IMAGE("https://upload.wikimedia.org/wikipedia/commons/a/a4/Textura_de_cristal.jpg")</f>
        <v/>
      </c>
    </row>
    <row r="2110" ht="36.0" customHeight="1">
      <c r="A2110" s="10" t="str">
        <f>HYPERLINK("https://commons.wikimedia.org/wiki/User:" &amp; ENCODEURL("Kithpro"), "Kithpro")</f>
        <v>Kithpro</v>
      </c>
      <c r="B2110" s="11" t="s">
        <v>4332</v>
      </c>
      <c r="C2110" s="12">
        <v>46159.738587962966</v>
      </c>
      <c r="D2110" s="11" t="s">
        <v>4333</v>
      </c>
      <c r="E2110" s="14" t="s">
        <v>4334</v>
      </c>
      <c r="F2110" s="15" t="s">
        <v>16</v>
      </c>
      <c r="G2110" s="15" t="s">
        <v>17</v>
      </c>
      <c r="H2110" s="15" t="s">
        <v>18</v>
      </c>
      <c r="I2110" s="14" t="str">
        <f>IMAGE("https://upload.wikimedia.org/wikipedia/commons/f/fe/Thaumetopoea_pityocampa_26-05-17.jpg")</f>
        <v/>
      </c>
    </row>
    <row r="2111" ht="36.0" customHeight="1">
      <c r="A2111" s="16" t="str">
        <f>HYPERLINK("https://commons.wikimedia.org/wiki/User:" &amp; ENCODEURL("Dsvctv"), "Dsvctv")</f>
        <v>Dsvctv</v>
      </c>
      <c r="B2111" s="17" t="s">
        <v>4335</v>
      </c>
      <c r="C2111" s="18">
        <v>46201.93855324074</v>
      </c>
      <c r="D2111" s="17" t="s">
        <v>4336</v>
      </c>
      <c r="E2111" s="19" t="s">
        <v>29</v>
      </c>
      <c r="F2111" s="19" t="s">
        <v>30</v>
      </c>
      <c r="G2111" s="20" t="s">
        <v>17</v>
      </c>
      <c r="H2111" s="20" t="s">
        <v>18</v>
      </c>
      <c r="I2111" s="19" t="str">
        <f>IMAGE("https://upload.wikimedia.org/wikipedia/commons/e/e0/The_Chicamocha_Canyon_seen_from_a_small_town.jpg")</f>
        <v/>
      </c>
    </row>
    <row r="2112" ht="36.0" customHeight="1">
      <c r="A2112" s="10" t="str">
        <f>HYPERLINK("https://commons.wikimedia.org/wiki/User:" &amp; ENCODEURL("Joseeem"), "Joseeem")</f>
        <v>Joseeem</v>
      </c>
      <c r="B2112" s="11" t="s">
        <v>4337</v>
      </c>
      <c r="C2112" s="12">
        <v>46156.944768518515</v>
      </c>
      <c r="D2112" s="11" t="s">
        <v>4338</v>
      </c>
      <c r="E2112" s="14" t="s">
        <v>29</v>
      </c>
      <c r="F2112" s="14" t="s">
        <v>30</v>
      </c>
      <c r="G2112" s="15" t="s">
        <v>17</v>
      </c>
      <c r="H2112" s="15" t="s">
        <v>18</v>
      </c>
      <c r="I2112" s="14" t="str">
        <f>IMAGE("https://upload.wikimedia.org/wikipedia/commons/8/8c/The_beautiful_Colombian_Coast.jpg")</f>
        <v/>
      </c>
    </row>
    <row r="2113" ht="36.0" customHeight="1">
      <c r="A2113" s="16" t="str">
        <f>HYPERLINK("https://commons.wikimedia.org/wiki/User:" &amp; ENCODEURL("Patolaya"), "Patolaya")</f>
        <v>Patolaya</v>
      </c>
      <c r="B2113" s="17" t="s">
        <v>4339</v>
      </c>
      <c r="C2113" s="18">
        <v>46158.58503472222</v>
      </c>
      <c r="D2113" s="17" t="s">
        <v>4340</v>
      </c>
      <c r="E2113" s="19" t="s">
        <v>29</v>
      </c>
      <c r="F2113" s="19" t="s">
        <v>30</v>
      </c>
      <c r="G2113" s="20" t="s">
        <v>17</v>
      </c>
      <c r="H2113" s="20" t="s">
        <v>18</v>
      </c>
      <c r="I2113" s="19" t="str">
        <f>IMAGE("https://upload.wikimedia.org/wikipedia/commons/9/97/Thraupis_episcopus_-_Sasaima_Cundinamarca.jpg")</f>
        <v/>
      </c>
    </row>
    <row r="2114" ht="36.0" customHeight="1">
      <c r="A2114" s="10" t="str">
        <f>HYPERLINK("https://commons.wikimedia.org/wiki/User:" &amp; ENCODEURL("Reduvida3"), "Reduvida3")</f>
        <v>Reduvida3</v>
      </c>
      <c r="B2114" s="11" t="s">
        <v>4341</v>
      </c>
      <c r="C2114" s="12">
        <v>46182.65420138889</v>
      </c>
      <c r="D2114" s="11" t="s">
        <v>4342</v>
      </c>
      <c r="E2114" s="14" t="s">
        <v>29</v>
      </c>
      <c r="F2114" s="14" t="s">
        <v>30</v>
      </c>
      <c r="G2114" s="15" t="s">
        <v>17</v>
      </c>
      <c r="H2114" s="15" t="s">
        <v>18</v>
      </c>
      <c r="I2114" s="14" t="str">
        <f>IMAGE("https://upload.wikimedia.org/wikipedia/commons/b/bb/Tiger_beetle_on_the_rocks_of_Villa_de_Leyva%2C_Boyac%C3%A1%2C_Colombia.jpg")</f>
        <v/>
      </c>
    </row>
    <row r="2115" ht="36.0" customHeight="1">
      <c r="A2115" s="16" t="str">
        <f t="shared" ref="A2115:A2116" si="264">HYPERLINK("https://commons.wikimedia.org/wiki/User:" &amp; ENCODEURL("Diferoch"), "Diferoch")</f>
        <v>Diferoch</v>
      </c>
      <c r="B2115" s="17" t="s">
        <v>4343</v>
      </c>
      <c r="C2115" s="18">
        <v>46173.76228009259</v>
      </c>
      <c r="D2115" s="17" t="s">
        <v>4344</v>
      </c>
      <c r="E2115" s="19" t="s">
        <v>4345</v>
      </c>
      <c r="F2115" s="20" t="s">
        <v>16</v>
      </c>
      <c r="G2115" s="20" t="s">
        <v>17</v>
      </c>
      <c r="H2115" s="20" t="s">
        <v>18</v>
      </c>
      <c r="I2115" s="19" t="str">
        <f>IMAGE("https://upload.wikimedia.org/wikipedia/commons/b/be/Tigrisoma_lineatum_lineatum_-_Barrancabermeja%2C_Santander%2C_Colombia_-_14_Jun_2026_-_Diferoch_-_1.jpg")</f>
        <v/>
      </c>
    </row>
    <row r="2116" ht="36.0" customHeight="1">
      <c r="A2116" s="10" t="str">
        <f t="shared" si="264"/>
        <v>Diferoch</v>
      </c>
      <c r="B2116" s="11" t="s">
        <v>4346</v>
      </c>
      <c r="C2116" s="12">
        <v>46173.76228009259</v>
      </c>
      <c r="D2116" s="11" t="s">
        <v>4347</v>
      </c>
      <c r="E2116" s="14" t="s">
        <v>4348</v>
      </c>
      <c r="F2116" s="15" t="s">
        <v>16</v>
      </c>
      <c r="G2116" s="15" t="s">
        <v>17</v>
      </c>
      <c r="H2116" s="15" t="s">
        <v>18</v>
      </c>
      <c r="I2116" s="14" t="str">
        <f>IMAGE("https://upload.wikimedia.org/wikipedia/commons/9/9b/Tigrisoma_lineatum_lineatum_-_Barrancabermeja%2C_Santander%2C_Colombia_-_14_Jun_2026_-_Diferoch_-_2.jpg")</f>
        <v/>
      </c>
    </row>
    <row r="2117" ht="36.0" customHeight="1">
      <c r="A2117" s="16" t="str">
        <f>HYPERLINK("https://commons.wikimedia.org/wiki/User:" &amp; ENCODEURL("PauMU86"), "PauMU86")</f>
        <v>PauMU86</v>
      </c>
      <c r="B2117" s="17" t="s">
        <v>4349</v>
      </c>
      <c r="C2117" s="18">
        <v>46171.69045138889</v>
      </c>
      <c r="D2117" s="17" t="s">
        <v>4247</v>
      </c>
      <c r="E2117" s="19" t="s">
        <v>29</v>
      </c>
      <c r="F2117" s="19" t="s">
        <v>30</v>
      </c>
      <c r="G2117" s="20" t="s">
        <v>17</v>
      </c>
      <c r="H2117" s="20" t="s">
        <v>18</v>
      </c>
      <c r="I2117" s="19" t="str">
        <f>IMAGE("https://upload.wikimedia.org/wikipedia/commons/f/ff/TintoSumapaz.jpg")</f>
        <v/>
      </c>
    </row>
    <row r="2118" ht="36.0" customHeight="1">
      <c r="A2118" s="10" t="str">
        <f>HYPERLINK("https://commons.wikimedia.org/wiki/User:" &amp; ENCODEURL("Jukaper23"), "Jukaper23")</f>
        <v>Jukaper23</v>
      </c>
      <c r="B2118" s="11" t="s">
        <v>4350</v>
      </c>
      <c r="C2118" s="12">
        <v>46201.53700231481</v>
      </c>
      <c r="D2118" s="11" t="s">
        <v>4351</v>
      </c>
      <c r="E2118" s="14" t="s">
        <v>29</v>
      </c>
      <c r="F2118" s="14" t="s">
        <v>30</v>
      </c>
      <c r="G2118" s="15" t="s">
        <v>17</v>
      </c>
      <c r="H2118" s="15" t="s">
        <v>18</v>
      </c>
      <c r="I2118" s="14" t="str">
        <f>IMAGE("https://upload.wikimedia.org/wikipedia/commons/8/89/Tithonia_rotundifolia_2026-05-24.jpg")</f>
        <v/>
      </c>
    </row>
    <row r="2119" ht="36.0" customHeight="1">
      <c r="A2119" s="16" t="str">
        <f t="shared" ref="A2119:A2122" si="265">HYPERLINK("https://commons.wikimedia.org/wiki/User:" &amp; ENCODEURL("Noeliachalfoun"), "Noeliachalfoun")</f>
        <v>Noeliachalfoun</v>
      </c>
      <c r="B2119" s="17" t="s">
        <v>4352</v>
      </c>
      <c r="C2119" s="18">
        <v>46182.72918981482</v>
      </c>
      <c r="D2119" s="17" t="s">
        <v>4353</v>
      </c>
      <c r="E2119" s="19" t="s">
        <v>29</v>
      </c>
      <c r="F2119" s="19" t="s">
        <v>30</v>
      </c>
      <c r="G2119" s="20" t="s">
        <v>17</v>
      </c>
      <c r="H2119" s="20" t="s">
        <v>18</v>
      </c>
      <c r="I2119" s="19" t="str">
        <f>IMAGE("https://upload.wikimedia.org/wikipedia/commons/2/27/Titi_Lucifer-Parque_Nacional_Natural_Sierra_de_la_Macarena-Colombia-1.jpg")</f>
        <v/>
      </c>
    </row>
    <row r="2120" ht="36.0" customHeight="1">
      <c r="A2120" s="10" t="str">
        <f t="shared" si="265"/>
        <v>Noeliachalfoun</v>
      </c>
      <c r="B2120" s="11" t="s">
        <v>4354</v>
      </c>
      <c r="C2120" s="12">
        <v>46182.729166666664</v>
      </c>
      <c r="D2120" s="11" t="s">
        <v>4353</v>
      </c>
      <c r="E2120" s="14" t="s">
        <v>29</v>
      </c>
      <c r="F2120" s="14" t="s">
        <v>30</v>
      </c>
      <c r="G2120" s="15" t="s">
        <v>17</v>
      </c>
      <c r="H2120" s="15" t="s">
        <v>18</v>
      </c>
      <c r="I2120" s="14" t="str">
        <f>IMAGE("https://upload.wikimedia.org/wikipedia/commons/3/38/Titi_Lucifer-Parque_Nacional_Natural_Sierra_de_la_Macarena-Colombia-2.jpg")</f>
        <v/>
      </c>
    </row>
    <row r="2121" ht="36.0" customHeight="1">
      <c r="A2121" s="16" t="str">
        <f t="shared" si="265"/>
        <v>Noeliachalfoun</v>
      </c>
      <c r="B2121" s="17" t="s">
        <v>4355</v>
      </c>
      <c r="C2121" s="18">
        <v>46182.72918981482</v>
      </c>
      <c r="D2121" s="17" t="s">
        <v>4353</v>
      </c>
      <c r="E2121" s="19" t="s">
        <v>29</v>
      </c>
      <c r="F2121" s="19" t="s">
        <v>30</v>
      </c>
      <c r="G2121" s="20" t="s">
        <v>17</v>
      </c>
      <c r="H2121" s="20" t="s">
        <v>18</v>
      </c>
      <c r="I2121" s="19" t="str">
        <f>IMAGE("https://upload.wikimedia.org/wikipedia/commons/2/20/Titi_Lucifer-Parque_Nacional_Natural_Sierra_de_la_Macarena-Colombia-3.jpg")</f>
        <v/>
      </c>
    </row>
    <row r="2122" ht="36.0" customHeight="1">
      <c r="A2122" s="10" t="str">
        <f t="shared" si="265"/>
        <v>Noeliachalfoun</v>
      </c>
      <c r="B2122" s="11" t="s">
        <v>4356</v>
      </c>
      <c r="C2122" s="12">
        <v>46182.729212962964</v>
      </c>
      <c r="D2122" s="11" t="s">
        <v>4353</v>
      </c>
      <c r="E2122" s="14" t="s">
        <v>29</v>
      </c>
      <c r="F2122" s="14" t="s">
        <v>30</v>
      </c>
      <c r="G2122" s="15" t="s">
        <v>17</v>
      </c>
      <c r="H2122" s="15" t="s">
        <v>18</v>
      </c>
      <c r="I2122" s="14" t="str">
        <f>IMAGE("https://upload.wikimedia.org/wikipedia/commons/7/7a/Titi_Lucifer-Parque_Nacional_Natural_Sierra_de_la_Macarena-Colombia-4.jpg")</f>
        <v/>
      </c>
    </row>
    <row r="2123" ht="36.0" customHeight="1">
      <c r="A2123" s="16" t="str">
        <f>HYPERLINK("https://commons.wikimedia.org/wiki/User:" &amp; ENCODEURL("Juan Carlos Sáenz Rodríguez"), "Juan Carlos Sáenz Rodríguez")</f>
        <v>Juan Carlos Sáenz Rodríguez</v>
      </c>
      <c r="B2123" s="17" t="s">
        <v>4357</v>
      </c>
      <c r="C2123" s="18">
        <v>46194.58322916667</v>
      </c>
      <c r="D2123" s="17" t="s">
        <v>4358</v>
      </c>
      <c r="E2123" s="19" t="s">
        <v>29</v>
      </c>
      <c r="F2123" s="19" t="s">
        <v>30</v>
      </c>
      <c r="G2123" s="20" t="s">
        <v>17</v>
      </c>
      <c r="H2123" s="20" t="s">
        <v>18</v>
      </c>
      <c r="I2123" s="19" t="str">
        <f>IMAGE("https://upload.wikimedia.org/wikipedia/commons/c/ce/Titirib%C3%AD_pechirojo.jpg")</f>
        <v/>
      </c>
    </row>
    <row r="2124" ht="36.0" customHeight="1">
      <c r="A2124" s="10" t="str">
        <f>HYPERLINK("https://commons.wikimedia.org/wiki/User:" &amp; ENCODEURL("Rodrigomacrophoto"), "Rodrigomacrophoto")</f>
        <v>Rodrigomacrophoto</v>
      </c>
      <c r="B2124" s="11" t="s">
        <v>4359</v>
      </c>
      <c r="C2124" s="12">
        <v>46196.61188657407</v>
      </c>
      <c r="D2124" s="11" t="s">
        <v>4360</v>
      </c>
      <c r="E2124" s="14" t="s">
        <v>44</v>
      </c>
      <c r="F2124" s="15" t="s">
        <v>16</v>
      </c>
      <c r="G2124" s="15" t="s">
        <v>17</v>
      </c>
      <c r="H2124" s="15" t="s">
        <v>18</v>
      </c>
      <c r="I2124" s="14" t="str">
        <f>IMAGE("https://upload.wikimedia.org/wikipedia/commons/7/71/Tityus_colombianus.jpg")</f>
        <v/>
      </c>
    </row>
    <row r="2125" ht="36.0" customHeight="1">
      <c r="A2125" s="16" t="str">
        <f>HYPERLINK("https://commons.wikimedia.org/wiki/User:" &amp; ENCODEURL("Juli 2000 her"), "Juli 2000 her")</f>
        <v>Juli 2000 her</v>
      </c>
      <c r="B2125" s="17" t="s">
        <v>4361</v>
      </c>
      <c r="C2125" s="18">
        <v>46189.05474537037</v>
      </c>
      <c r="D2125" s="17" t="s">
        <v>4362</v>
      </c>
      <c r="E2125" s="19" t="s">
        <v>29</v>
      </c>
      <c r="F2125" s="19" t="s">
        <v>30</v>
      </c>
      <c r="G2125" s="20" t="s">
        <v>17</v>
      </c>
      <c r="H2125" s="20" t="s">
        <v>18</v>
      </c>
      <c r="I2125" s="19" t="str">
        <f>IMAGE("https://upload.wikimedia.org/wikipedia/commons/e/ed/Tit%C3%AD_cabeciblanco_%28Saguinus_oedipus%29_en_un_bosque_de_parque_en_Cartagena.jpg")</f>
        <v/>
      </c>
    </row>
    <row r="2126" ht="36.0" customHeight="1">
      <c r="A2126" s="10" t="str">
        <f>HYPERLINK("https://commons.wikimedia.org/wiki/User:" &amp; ENCODEURL("Johan Andrés Toro"), "Johan Andrés Toro")</f>
        <v>Johan Andrés Toro</v>
      </c>
      <c r="B2126" s="11" t="s">
        <v>4363</v>
      </c>
      <c r="C2126" s="12">
        <v>46166.95686342593</v>
      </c>
      <c r="D2126" s="11" t="s">
        <v>4364</v>
      </c>
      <c r="E2126" s="14" t="s">
        <v>29</v>
      </c>
      <c r="F2126" s="14" t="s">
        <v>30</v>
      </c>
      <c r="G2126" s="15" t="s">
        <v>17</v>
      </c>
      <c r="H2126" s="15" t="s">
        <v>18</v>
      </c>
      <c r="I2126" s="14" t="str">
        <f>IMAGE("https://upload.wikimedia.org/wikipedia/commons/e/e2/Tit%C3%AD_cabeciblanco_%28tambi%C3%A9n_conocido_como_tamarino_de_manos_blancas_o_Saguinus_leucopus%29%2C_una_especie_de_primate_end%C3%A9mica_de_Colombia.jpg")</f>
        <v/>
      </c>
    </row>
    <row r="2127" ht="36.0" customHeight="1">
      <c r="A2127" s="16" t="str">
        <f>HYPERLINK("https://commons.wikimedia.org/wiki/User:" &amp; ENCODEURL("CHAVESJUAN19"), "CHAVESJUAN19")</f>
        <v>CHAVESJUAN19</v>
      </c>
      <c r="B2127" s="17" t="s">
        <v>4365</v>
      </c>
      <c r="C2127" s="18">
        <v>46203.96225694445</v>
      </c>
      <c r="D2127" s="17" t="s">
        <v>1482</v>
      </c>
      <c r="E2127" s="19" t="s">
        <v>29</v>
      </c>
      <c r="F2127" s="19" t="s">
        <v>30</v>
      </c>
      <c r="G2127" s="20" t="s">
        <v>17</v>
      </c>
      <c r="H2127" s="20" t="s">
        <v>18</v>
      </c>
      <c r="I2127" s="19" t="str">
        <f>IMAGE("https://upload.wikimedia.org/wikipedia/commons/8/8d/Tomando_el_sol_-_PNN_Chingaza.jpg")</f>
        <v/>
      </c>
    </row>
    <row r="2128" ht="36.0" customHeight="1">
      <c r="A2128" s="10" t="str">
        <f t="shared" ref="A2128:A2129" si="266">HYPERLINK("https://commons.wikimedia.org/wiki/User:" &amp; ENCODEURL("NicolleTorresG"), "NicolleTorresG")</f>
        <v>NicolleTorresG</v>
      </c>
      <c r="B2128" s="11" t="s">
        <v>4366</v>
      </c>
      <c r="C2128" s="12">
        <v>46199.93908564815</v>
      </c>
      <c r="D2128" s="11" t="s">
        <v>4367</v>
      </c>
      <c r="E2128" s="14" t="s">
        <v>848</v>
      </c>
      <c r="F2128" s="15" t="s">
        <v>16</v>
      </c>
      <c r="G2128" s="15" t="s">
        <v>17</v>
      </c>
      <c r="H2128" s="15" t="s">
        <v>18</v>
      </c>
      <c r="I2128" s="14" t="str">
        <f>IMAGE("https://upload.wikimedia.org/wikipedia/commons/d/d8/Torita_Cabecirrojo_Hembra_-_Eubucco_bourcierii.jpg")</f>
        <v/>
      </c>
    </row>
    <row r="2129" ht="36.0" customHeight="1">
      <c r="A2129" s="16" t="str">
        <f t="shared" si="266"/>
        <v>NicolleTorresG</v>
      </c>
      <c r="B2129" s="17" t="s">
        <v>4368</v>
      </c>
      <c r="C2129" s="18">
        <v>46199.9390625</v>
      </c>
      <c r="D2129" s="17" t="s">
        <v>4369</v>
      </c>
      <c r="E2129" s="19" t="s">
        <v>848</v>
      </c>
      <c r="F2129" s="20" t="s">
        <v>16</v>
      </c>
      <c r="G2129" s="20" t="s">
        <v>17</v>
      </c>
      <c r="H2129" s="20" t="s">
        <v>18</v>
      </c>
      <c r="I2129" s="19" t="str">
        <f>IMAGE("https://upload.wikimedia.org/wikipedia/commons/d/d0/Torito_Cabecirrojo_Macho_-_Eubucco_bourcierii.jpg")</f>
        <v/>
      </c>
    </row>
    <row r="2130" ht="36.0" customHeight="1">
      <c r="A2130" s="10" t="str">
        <f>HYPERLINK("https://commons.wikimedia.org/wiki/User:" &amp; ENCODEURL("AntonioEliseo"), "AntonioEliseo")</f>
        <v>AntonioEliseo</v>
      </c>
      <c r="B2130" s="11" t="s">
        <v>4370</v>
      </c>
      <c r="C2130" s="12">
        <v>46203.84821759259</v>
      </c>
      <c r="D2130" s="11" t="s">
        <v>4371</v>
      </c>
      <c r="E2130" s="14" t="s">
        <v>4372</v>
      </c>
      <c r="F2130" s="15" t="s">
        <v>16</v>
      </c>
      <c r="G2130" s="15" t="s">
        <v>17</v>
      </c>
      <c r="H2130" s="15" t="s">
        <v>18</v>
      </c>
      <c r="I2130" s="14" t="str">
        <f>IMAGE("https://upload.wikimedia.org/wikipedia/commons/6/62/Tormenta_El%C3%A9ctrica_Gachantiv%C3%A1%2C_Boyac%C3%A1.jpg")</f>
        <v/>
      </c>
    </row>
    <row r="2131" ht="36.0" customHeight="1">
      <c r="A2131" s="16" t="str">
        <f>HYPERLINK("https://commons.wikimedia.org/wiki/User:" &amp; ENCODEURL("Antoniacorralosorio"), "Antoniacorralosorio")</f>
        <v>Antoniacorralosorio</v>
      </c>
      <c r="B2131" s="17" t="s">
        <v>4373</v>
      </c>
      <c r="C2131" s="18">
        <v>46167.45974537037</v>
      </c>
      <c r="D2131" s="17" t="s">
        <v>4374</v>
      </c>
      <c r="E2131" s="19" t="s">
        <v>4375</v>
      </c>
      <c r="F2131" s="20" t="s">
        <v>16</v>
      </c>
      <c r="G2131" s="20" t="s">
        <v>17</v>
      </c>
      <c r="H2131" s="20" t="s">
        <v>18</v>
      </c>
      <c r="I2131" s="19" t="str">
        <f>IMAGE("https://upload.wikimedia.org/wikipedia/commons/f/f3/Tormenta_caribe%C3%B1a.jpg")</f>
        <v/>
      </c>
    </row>
    <row r="2132" ht="36.0" customHeight="1">
      <c r="A2132" s="10" t="str">
        <f>HYPERLINK("https://commons.wikimedia.org/wiki/User:" &amp; ENCODEURL("Juanrapave"), "Juanrapave")</f>
        <v>Juanrapave</v>
      </c>
      <c r="B2132" s="11" t="s">
        <v>4376</v>
      </c>
      <c r="C2132" s="12">
        <v>46166.31319444445</v>
      </c>
      <c r="D2132" s="11" t="s">
        <v>4377</v>
      </c>
      <c r="E2132" s="14" t="s">
        <v>29</v>
      </c>
      <c r="F2132" s="14" t="s">
        <v>30</v>
      </c>
      <c r="G2132" s="15" t="s">
        <v>17</v>
      </c>
      <c r="H2132" s="15" t="s">
        <v>18</v>
      </c>
      <c r="I2132" s="14" t="str">
        <f>IMAGE("https://upload.wikimedia.org/wikipedia/commons/0/03/Tormenta_en_formacion.jpg")</f>
        <v/>
      </c>
    </row>
    <row r="2133" ht="36.0" customHeight="1">
      <c r="A2133" s="16" t="str">
        <f>HYPERLINK("https://commons.wikimedia.org/wiki/User:" &amp; ENCODEURL("Munigarro"), "Munigarro")</f>
        <v>Munigarro</v>
      </c>
      <c r="B2133" s="17" t="s">
        <v>4378</v>
      </c>
      <c r="C2133" s="18">
        <v>46202.65511574074</v>
      </c>
      <c r="D2133" s="17" t="s">
        <v>4154</v>
      </c>
      <c r="E2133" s="19" t="s">
        <v>29</v>
      </c>
      <c r="F2133" s="19" t="s">
        <v>30</v>
      </c>
      <c r="G2133" s="20" t="s">
        <v>17</v>
      </c>
      <c r="H2133" s="20" t="s">
        <v>18</v>
      </c>
      <c r="I2133" s="19" t="str">
        <f>IMAGE("https://upload.wikimedia.org/wikipedia/commons/1/15/Tororoi_Rufocenizo.jpg")</f>
        <v/>
      </c>
    </row>
    <row r="2134" ht="36.0" customHeight="1">
      <c r="A2134" s="10" t="str">
        <f>HYPERLINK("https://commons.wikimedia.org/wiki/User:" &amp; ENCODEURL("NicolleTorresG"), "NicolleTorresG")</f>
        <v>NicolleTorresG</v>
      </c>
      <c r="B2134" s="11" t="s">
        <v>4379</v>
      </c>
      <c r="C2134" s="12">
        <v>46199.93908564815</v>
      </c>
      <c r="D2134" s="11" t="s">
        <v>4380</v>
      </c>
      <c r="E2134" s="14" t="s">
        <v>4381</v>
      </c>
      <c r="F2134" s="15" t="s">
        <v>16</v>
      </c>
      <c r="G2134" s="15" t="s">
        <v>17</v>
      </c>
      <c r="H2134" s="15" t="s">
        <v>18</v>
      </c>
      <c r="I2134" s="14" t="str">
        <f>IMAGE("https://upload.wikimedia.org/wikipedia/commons/b/b1/Tororo%C3%AD_Coronicasta%C3%B1a_-_Grallaria_ruficapilla.jpg")</f>
        <v/>
      </c>
    </row>
    <row r="2135" ht="36.0" customHeight="1">
      <c r="A2135" s="16" t="str">
        <f>HYPERLINK("https://commons.wikimedia.org/wiki/User:" &amp; ENCODEURL("Samitor05"), "Samitor05")</f>
        <v>Samitor05</v>
      </c>
      <c r="B2135" s="17" t="s">
        <v>4382</v>
      </c>
      <c r="C2135" s="18">
        <v>46203.447175925925</v>
      </c>
      <c r="D2135" s="17" t="s">
        <v>4383</v>
      </c>
      <c r="E2135" s="19" t="s">
        <v>29</v>
      </c>
      <c r="F2135" s="19" t="s">
        <v>30</v>
      </c>
      <c r="G2135" s="20" t="s">
        <v>17</v>
      </c>
      <c r="H2135" s="20" t="s">
        <v>18</v>
      </c>
      <c r="I2135" s="19" t="str">
        <f>IMAGE("https://upload.wikimedia.org/wikipedia/commons/8/8d/Tortuga_can%C3%A1_o_la%C3%BAd_%28Dermochelys_coriacea%29.jpg")</f>
        <v/>
      </c>
    </row>
    <row r="2136" ht="36.0" customHeight="1">
      <c r="A2136" s="10" t="str">
        <f>HYPERLINK("https://commons.wikimedia.org/wiki/User:" &amp; ENCODEURL("Supertita"), "Supertita")</f>
        <v>Supertita</v>
      </c>
      <c r="B2136" s="11" t="s">
        <v>4384</v>
      </c>
      <c r="C2136" s="12">
        <v>46192.7634837963</v>
      </c>
      <c r="D2136" s="11" t="s">
        <v>4385</v>
      </c>
      <c r="E2136" s="14" t="s">
        <v>1255</v>
      </c>
      <c r="F2136" s="15" t="s">
        <v>16</v>
      </c>
      <c r="G2136" s="15" t="s">
        <v>17</v>
      </c>
      <c r="H2136" s="15" t="s">
        <v>18</v>
      </c>
      <c r="I2136" s="14" t="str">
        <f>IMAGE("https://upload.wikimedia.org/wikipedia/commons/a/a8/Tortugas_en_la_Laguna_El_Tabacal_La_Vega.jpg")</f>
        <v/>
      </c>
    </row>
    <row r="2137" ht="36.0" customHeight="1">
      <c r="A2137" s="16" t="str">
        <f>HYPERLINK("https://commons.wikimedia.org/wiki/User:" &amp; ENCODEURL("Camell32"), "Camell32")</f>
        <v>Camell32</v>
      </c>
      <c r="B2137" s="17" t="s">
        <v>4386</v>
      </c>
      <c r="C2137" s="18">
        <v>46163.548993055556</v>
      </c>
      <c r="D2137" s="17" t="s">
        <v>4387</v>
      </c>
      <c r="E2137" s="19" t="s">
        <v>29</v>
      </c>
      <c r="F2137" s="19" t="s">
        <v>30</v>
      </c>
      <c r="G2137" s="20" t="s">
        <v>17</v>
      </c>
      <c r="H2137" s="20" t="s">
        <v>18</v>
      </c>
      <c r="I2137" s="19" t="str">
        <f>IMAGE("https://upload.wikimedia.org/wikipedia/commons/6/6f/Tradescantia_fluminesis_tricolor.jpg")</f>
        <v/>
      </c>
    </row>
    <row r="2138" ht="36.0" customHeight="1">
      <c r="A2138" s="10" t="str">
        <f t="shared" ref="A2138:A2140" si="267">HYPERLINK("https://commons.wikimedia.org/wiki/User:" &amp; ENCODEURL("AmiGueko"), "AmiGueko")</f>
        <v>AmiGueko</v>
      </c>
      <c r="B2138" s="11" t="s">
        <v>4388</v>
      </c>
      <c r="C2138" s="12">
        <v>46177.89859953704</v>
      </c>
      <c r="D2138" s="11" t="s">
        <v>4389</v>
      </c>
      <c r="E2138" s="14" t="s">
        <v>29</v>
      </c>
      <c r="F2138" s="14" t="s">
        <v>30</v>
      </c>
      <c r="G2138" s="15" t="s">
        <v>17</v>
      </c>
      <c r="H2138" s="15" t="s">
        <v>18</v>
      </c>
      <c r="I2138" s="14" t="str">
        <f>IMAGE("https://upload.wikimedia.org/wikipedia/commons/e/e0/Tradescantia_sp1.jpg")</f>
        <v/>
      </c>
    </row>
    <row r="2139" ht="36.0" customHeight="1">
      <c r="A2139" s="16" t="str">
        <f t="shared" si="267"/>
        <v>AmiGueko</v>
      </c>
      <c r="B2139" s="17" t="s">
        <v>4390</v>
      </c>
      <c r="C2139" s="18">
        <v>46177.89861111111</v>
      </c>
      <c r="D2139" s="17" t="s">
        <v>4389</v>
      </c>
      <c r="E2139" s="19" t="s">
        <v>29</v>
      </c>
      <c r="F2139" s="19" t="s">
        <v>30</v>
      </c>
      <c r="G2139" s="20" t="s">
        <v>17</v>
      </c>
      <c r="H2139" s="20" t="s">
        <v>18</v>
      </c>
      <c r="I2139" s="19" t="str">
        <f>IMAGE("https://upload.wikimedia.org/wikipedia/commons/9/91/Tradescantia_sp2.jpg")</f>
        <v/>
      </c>
    </row>
    <row r="2140" ht="36.0" customHeight="1">
      <c r="A2140" s="10" t="str">
        <f t="shared" si="267"/>
        <v>AmiGueko</v>
      </c>
      <c r="B2140" s="11" t="s">
        <v>4391</v>
      </c>
      <c r="C2140" s="12">
        <v>46177.89859953704</v>
      </c>
      <c r="D2140" s="11" t="s">
        <v>4389</v>
      </c>
      <c r="E2140" s="14" t="s">
        <v>29</v>
      </c>
      <c r="F2140" s="14" t="s">
        <v>30</v>
      </c>
      <c r="G2140" s="15" t="s">
        <v>17</v>
      </c>
      <c r="H2140" s="15" t="s">
        <v>18</v>
      </c>
      <c r="I2140" s="14" t="str">
        <f>IMAGE("https://upload.wikimedia.org/wikipedia/commons/f/f9/Tradescantia_sp_mayo_de_2026.jpg")</f>
        <v/>
      </c>
    </row>
    <row r="2141" ht="36.0" customHeight="1">
      <c r="A2141" s="16" t="str">
        <f>HYPERLINK("https://commons.wikimedia.org/wiki/User:" &amp; ENCODEURL("Mottenpriesterin"), "Mottenpriesterin")</f>
        <v>Mottenpriesterin</v>
      </c>
      <c r="B2141" s="17" t="s">
        <v>4392</v>
      </c>
      <c r="C2141" s="18">
        <v>46202.91972222222</v>
      </c>
      <c r="D2141" s="17" t="s">
        <v>4393</v>
      </c>
      <c r="E2141" s="19" t="s">
        <v>29</v>
      </c>
      <c r="F2141" s="19" t="s">
        <v>30</v>
      </c>
      <c r="G2141" s="20" t="s">
        <v>17</v>
      </c>
      <c r="H2141" s="20" t="s">
        <v>18</v>
      </c>
      <c r="I2141" s="19" t="str">
        <f>IMAGE("https://upload.wikimedia.org/wikipedia/commons/3/37/Tree-dwelling_termite_nest_%28Nasutitermes%29_Coastal_forest%2C_Tayrona_National_Park.jpg")</f>
        <v/>
      </c>
    </row>
    <row r="2142" ht="36.0" customHeight="1">
      <c r="A2142" s="10" t="str">
        <f t="shared" ref="A2142:A2143" si="268">HYPERLINK("https://commons.wikimedia.org/wiki/User:" &amp; ENCODEURL("Supertita"), "Supertita")</f>
        <v>Supertita</v>
      </c>
      <c r="B2142" s="11" t="s">
        <v>4394</v>
      </c>
      <c r="C2142" s="12">
        <v>46192.70751157407</v>
      </c>
      <c r="D2142" s="11" t="s">
        <v>4395</v>
      </c>
      <c r="E2142" s="14" t="s">
        <v>21</v>
      </c>
      <c r="F2142" s="15" t="s">
        <v>16</v>
      </c>
      <c r="G2142" s="15" t="s">
        <v>17</v>
      </c>
      <c r="H2142" s="15" t="s">
        <v>18</v>
      </c>
      <c r="I2142" s="14" t="str">
        <f>IMAGE("https://upload.wikimedia.org/wikipedia/commons/3/32/Trees_shown_are_covered_in_lichens%2C_which_are_common_epiphytes-Red_bromeliads.jpg")</f>
        <v/>
      </c>
    </row>
    <row r="2143" ht="36.0" customHeight="1">
      <c r="A2143" s="16" t="str">
        <f t="shared" si="268"/>
        <v>Supertita</v>
      </c>
      <c r="B2143" s="17" t="s">
        <v>4396</v>
      </c>
      <c r="C2143" s="18">
        <v>46192.70755787037</v>
      </c>
      <c r="D2143" s="17" t="s">
        <v>4397</v>
      </c>
      <c r="E2143" s="19" t="s">
        <v>21</v>
      </c>
      <c r="F2143" s="20" t="s">
        <v>16</v>
      </c>
      <c r="G2143" s="20" t="s">
        <v>17</v>
      </c>
      <c r="H2143" s="20" t="s">
        <v>18</v>
      </c>
      <c r="I2143" s="19" t="str">
        <f>IMAGE("https://upload.wikimedia.org/wikipedia/commons/4/4c/Trees_thickly_covered_in_mosses_and_lichens-Bosque_musgo_y_liquenes.jpg")</f>
        <v/>
      </c>
    </row>
    <row r="2144" ht="36.0" customHeight="1">
      <c r="A2144" s="10" t="str">
        <f>HYPERLINK("https://commons.wikimedia.org/wiki/User:" &amp; ENCODEURL("Nathaly 1106"), "Nathaly 1106")</f>
        <v>Nathaly 1106</v>
      </c>
      <c r="B2144" s="11" t="s">
        <v>4398</v>
      </c>
      <c r="C2144" s="12">
        <v>46163.80709490741</v>
      </c>
      <c r="D2144" s="11" t="s">
        <v>4399</v>
      </c>
      <c r="E2144" s="14" t="s">
        <v>29</v>
      </c>
      <c r="F2144" s="14" t="s">
        <v>30</v>
      </c>
      <c r="G2144" s="15" t="s">
        <v>17</v>
      </c>
      <c r="H2144" s="15" t="s">
        <v>18</v>
      </c>
      <c r="I2144" s="14" t="str">
        <f>IMAGE("https://upload.wikimedia.org/wikipedia/commons/1/17/Tremarctos_ornatus_en_la_Reserva_Chingaza_01.jpg")</f>
        <v/>
      </c>
    </row>
    <row r="2145" ht="36.0" customHeight="1">
      <c r="A2145" s="16" t="str">
        <f>HYPERLINK("https://commons.wikimedia.org/wiki/User:" &amp; ENCODEURL("NicolleTorresG"), "NicolleTorresG")</f>
        <v>NicolleTorresG</v>
      </c>
      <c r="B2145" s="17" t="s">
        <v>4400</v>
      </c>
      <c r="C2145" s="18">
        <v>46199.93908564815</v>
      </c>
      <c r="D2145" s="17" t="s">
        <v>4401</v>
      </c>
      <c r="E2145" s="19" t="s">
        <v>848</v>
      </c>
      <c r="F2145" s="20" t="s">
        <v>16</v>
      </c>
      <c r="G2145" s="20" t="s">
        <v>17</v>
      </c>
      <c r="H2145" s="20" t="s">
        <v>18</v>
      </c>
      <c r="I2145" s="19" t="str">
        <f>IMAGE("https://upload.wikimedia.org/wikipedia/commons/d/d7/Trepatroncos_Monta%C3%B1ero_-_Lepidocolaptes_lacrymiger.jpg")</f>
        <v/>
      </c>
    </row>
    <row r="2146" ht="36.0" customHeight="1">
      <c r="A2146" s="10" t="str">
        <f>HYPERLINK("https://commons.wikimedia.org/wiki/User:" &amp; ENCODEURL("Nbareschu"), "Nbareschu")</f>
        <v>Nbareschu</v>
      </c>
      <c r="B2146" s="11" t="s">
        <v>4402</v>
      </c>
      <c r="C2146" s="12">
        <v>46149.42103009259</v>
      </c>
      <c r="D2146" s="11" t="s">
        <v>4403</v>
      </c>
      <c r="E2146" s="14" t="s">
        <v>4404</v>
      </c>
      <c r="F2146" s="15" t="s">
        <v>16</v>
      </c>
      <c r="G2146" s="15" t="s">
        <v>17</v>
      </c>
      <c r="H2146" s="15" t="s">
        <v>18</v>
      </c>
      <c r="I2146" s="14" t="str">
        <f>IMAGE("https://upload.wikimedia.org/wikipedia/commons/1/18/Trichiales.jpg")</f>
        <v/>
      </c>
    </row>
    <row r="2147" ht="36.0" customHeight="1">
      <c r="A2147" s="16" t="str">
        <f>HYPERLINK("https://commons.wikimedia.org/wiki/User:" &amp; ENCODEURL("Diferoch"), "Diferoch")</f>
        <v>Diferoch</v>
      </c>
      <c r="B2147" s="17" t="s">
        <v>4405</v>
      </c>
      <c r="C2147" s="18">
        <v>46198.742372685185</v>
      </c>
      <c r="D2147" s="17" t="s">
        <v>4406</v>
      </c>
      <c r="E2147" s="19" t="s">
        <v>4407</v>
      </c>
      <c r="F2147" s="20" t="s">
        <v>16</v>
      </c>
      <c r="G2147" s="20" t="s">
        <v>17</v>
      </c>
      <c r="H2147" s="20" t="s">
        <v>18</v>
      </c>
      <c r="I2147" s="19" t="str">
        <f>IMAGE("https://upload.wikimedia.org/wikipedia/commons/3/30/Tringa_semipalmata_inornata_-_Nuqu%C3%AD%2C_Choc%C3%B3%2C_Colombia_-_23_Oct_2025_-_Diferoch.jpg")</f>
        <v/>
      </c>
    </row>
    <row r="2148" ht="36.0" customHeight="1">
      <c r="A2148" s="10" t="str">
        <f>HYPERLINK("https://commons.wikimedia.org/wiki/User:" &amp; ENCODEURL("Gilgomo9"), "Gilgomo9")</f>
        <v>Gilgomo9</v>
      </c>
      <c r="B2148" s="11" t="s">
        <v>4408</v>
      </c>
      <c r="C2148" s="12">
        <v>46144.439421296294</v>
      </c>
      <c r="D2148" s="11" t="s">
        <v>918</v>
      </c>
      <c r="E2148" s="14" t="s">
        <v>29</v>
      </c>
      <c r="F2148" s="14" t="s">
        <v>30</v>
      </c>
      <c r="G2148" s="15" t="s">
        <v>17</v>
      </c>
      <c r="H2148" s="15" t="s">
        <v>18</v>
      </c>
      <c r="I2148" s="14" t="str">
        <f>IMAGE("https://upload.wikimedia.org/wikipedia/commons/e/eb/Trinitaria_Jard%C3%ADn_Barranquilla.jpg")</f>
        <v/>
      </c>
    </row>
    <row r="2149" ht="36.0" customHeight="1">
      <c r="A2149" s="16" t="str">
        <f>HYPERLINK("https://commons.wikimedia.org/wiki/User:" &amp; ENCODEURL("Sonianatural"), "Sonianatural")</f>
        <v>Sonianatural</v>
      </c>
      <c r="B2149" s="17" t="s">
        <v>4409</v>
      </c>
      <c r="C2149" s="18">
        <v>46178.45079861111</v>
      </c>
      <c r="D2149" s="17" t="s">
        <v>4410</v>
      </c>
      <c r="E2149" s="19" t="s">
        <v>29</v>
      </c>
      <c r="F2149" s="19" t="s">
        <v>30</v>
      </c>
      <c r="G2149" s="20" t="s">
        <v>17</v>
      </c>
      <c r="H2149" s="20" t="s">
        <v>18</v>
      </c>
      <c r="I2149" s="19" t="str">
        <f>IMAGE("https://upload.wikimedia.org/wikipedia/commons/0/00/Trochilidae.jpg")</f>
        <v/>
      </c>
    </row>
    <row r="2150" ht="36.0" customHeight="1">
      <c r="A2150" s="10" t="str">
        <f t="shared" ref="A2150:A2151" si="269">HYPERLINK("https://commons.wikimedia.org/wiki/User:" &amp; ENCODEURL("Diferoch"), "Diferoch")</f>
        <v>Diferoch</v>
      </c>
      <c r="B2150" s="11" t="s">
        <v>4411</v>
      </c>
      <c r="C2150" s="12">
        <v>46184.81193287037</v>
      </c>
      <c r="D2150" s="11" t="s">
        <v>4412</v>
      </c>
      <c r="E2150" s="14" t="s">
        <v>4413</v>
      </c>
      <c r="F2150" s="15" t="s">
        <v>16</v>
      </c>
      <c r="G2150" s="15" t="s">
        <v>17</v>
      </c>
      <c r="H2150" s="15" t="s">
        <v>18</v>
      </c>
      <c r="I2150" s="14" t="str">
        <f>IMAGE("https://upload.wikimedia.org/wikipedia/commons/b/bb/Trochilidae_-_Barrancabermeja%2C_Santander%2C_Colombia_-_13_Jul_2025_-_Diferoch.jpg")</f>
        <v/>
      </c>
    </row>
    <row r="2151" ht="36.0" customHeight="1">
      <c r="A2151" s="16" t="str">
        <f t="shared" si="269"/>
        <v>Diferoch</v>
      </c>
      <c r="B2151" s="17" t="s">
        <v>4414</v>
      </c>
      <c r="C2151" s="18">
        <v>46171.83472222222</v>
      </c>
      <c r="D2151" s="17" t="s">
        <v>4415</v>
      </c>
      <c r="E2151" s="19" t="s">
        <v>4416</v>
      </c>
      <c r="F2151" s="20" t="s">
        <v>16</v>
      </c>
      <c r="G2151" s="20" t="s">
        <v>17</v>
      </c>
      <c r="H2151" s="20" t="s">
        <v>18</v>
      </c>
      <c r="I2151" s="19" t="str">
        <f>IMAGE("https://upload.wikimedia.org/wikipedia/commons/d/d1/Trochilini_-_Piedecuesta%2C_Santander%2C_Colombia_-_8_Jun_2026_-_Diferoch.jpg")</f>
        <v/>
      </c>
    </row>
    <row r="2152" ht="36.0" customHeight="1">
      <c r="A2152" s="10" t="str">
        <f>HYPERLINK("https://commons.wikimedia.org/wiki/User:" &amp; ENCODEURL("XimmoY"), "XimmoY")</f>
        <v>XimmoY</v>
      </c>
      <c r="B2152" s="11" t="s">
        <v>4417</v>
      </c>
      <c r="C2152" s="12">
        <v>46203.94248842593</v>
      </c>
      <c r="D2152" s="11" t="s">
        <v>4418</v>
      </c>
      <c r="E2152" s="14" t="s">
        <v>184</v>
      </c>
      <c r="F2152" s="15" t="s">
        <v>16</v>
      </c>
      <c r="G2152" s="15" t="s">
        <v>17</v>
      </c>
      <c r="H2152" s="15" t="s">
        <v>18</v>
      </c>
      <c r="I2152" s="14" t="str">
        <f>IMAGE("https://upload.wikimedia.org/wikipedia/commons/9/98/Trogon_caligatus.jpg")</f>
        <v/>
      </c>
    </row>
    <row r="2153" ht="36.0" customHeight="1">
      <c r="A2153" s="16" t="str">
        <f>HYPERLINK("https://commons.wikimedia.org/wiki/User:" &amp; ENCODEURL("Nathaly 1106"), "Nathaly 1106")</f>
        <v>Nathaly 1106</v>
      </c>
      <c r="B2153" s="17" t="s">
        <v>4419</v>
      </c>
      <c r="C2153" s="18">
        <v>46148.631423611114</v>
      </c>
      <c r="D2153" s="17" t="s">
        <v>4420</v>
      </c>
      <c r="E2153" s="19" t="s">
        <v>29</v>
      </c>
      <c r="F2153" s="19" t="s">
        <v>30</v>
      </c>
      <c r="G2153" s="20" t="s">
        <v>17</v>
      </c>
      <c r="H2153" s="20" t="s">
        <v>18</v>
      </c>
      <c r="I2153" s="19" t="str">
        <f>IMAGE("https://upload.wikimedia.org/wikipedia/commons/4/43/Tronco_%C3%A1rbol_Guayac%C3%A1n_de_Manizales.jpg")</f>
        <v/>
      </c>
    </row>
    <row r="2154" ht="36.0" customHeight="1">
      <c r="A2154" s="10" t="str">
        <f t="shared" ref="A2154:A2155" si="270">HYPERLINK("https://commons.wikimedia.org/wiki/User:" &amp; ENCODEURL("Mottenpriesterin"), "Mottenpriesterin")</f>
        <v>Mottenpriesterin</v>
      </c>
      <c r="B2154" s="11" t="s">
        <v>4421</v>
      </c>
      <c r="C2154" s="12">
        <v>46202.9197337963</v>
      </c>
      <c r="D2154" s="11" t="s">
        <v>4422</v>
      </c>
      <c r="E2154" s="14" t="s">
        <v>29</v>
      </c>
      <c r="F2154" s="14" t="s">
        <v>30</v>
      </c>
      <c r="G2154" s="15" t="s">
        <v>17</v>
      </c>
      <c r="H2154" s="15" t="s">
        <v>18</v>
      </c>
      <c r="I2154" s="14" t="str">
        <f>IMAGE("https://upload.wikimedia.org/wikipedia/commons/a/a2/Tropical_Fork_Fern_%28Sticherus%29%2C_at_the_way_to_Cerro_Kennedy_from_Minca%2C_2025.jpg")</f>
        <v/>
      </c>
    </row>
    <row r="2155" ht="36.0" customHeight="1">
      <c r="A2155" s="16" t="str">
        <f t="shared" si="270"/>
        <v>Mottenpriesterin</v>
      </c>
      <c r="B2155" s="17" t="s">
        <v>4423</v>
      </c>
      <c r="C2155" s="18">
        <v>46202.92497685185</v>
      </c>
      <c r="D2155" s="17" t="s">
        <v>4424</v>
      </c>
      <c r="E2155" s="19" t="s">
        <v>29</v>
      </c>
      <c r="F2155" s="19" t="s">
        <v>30</v>
      </c>
      <c r="G2155" s="20" t="s">
        <v>17</v>
      </c>
      <c r="H2155" s="20" t="s">
        <v>18</v>
      </c>
      <c r="I2155" s="19" t="str">
        <f>IMAGE("https://upload.wikimedia.org/wikipedia/commons/7/7f/Tropical_butterfly_%28Perisama_sp.%29_mud-puddling_on_wet_river_stones_near_Minca%2C_2025.jpg")</f>
        <v/>
      </c>
    </row>
    <row r="2156" ht="36.0" customHeight="1">
      <c r="A2156" s="10" t="str">
        <f>HYPERLINK("https://commons.wikimedia.org/wiki/User:" &amp; ENCODEURL("Anvar2420"), "Anvar2420")</f>
        <v>Anvar2420</v>
      </c>
      <c r="B2156" s="11" t="s">
        <v>4425</v>
      </c>
      <c r="C2156" s="12">
        <v>46163.55674768519</v>
      </c>
      <c r="D2156" s="11" t="s">
        <v>4426</v>
      </c>
      <c r="E2156" s="14" t="s">
        <v>29</v>
      </c>
      <c r="F2156" s="14" t="s">
        <v>30</v>
      </c>
      <c r="G2156" s="15" t="s">
        <v>17</v>
      </c>
      <c r="H2156" s="15" t="s">
        <v>18</v>
      </c>
      <c r="I2156" s="14" t="str">
        <f>IMAGE("https://upload.wikimedia.org/wikipedia/commons/c/c4/Tropicario_-_Jard%C3%ADn_bot%C3%A1nico.jpg")</f>
        <v/>
      </c>
    </row>
    <row r="2157" ht="36.0" customHeight="1">
      <c r="A2157" s="16" t="str">
        <f>HYPERLINK("https://commons.wikimedia.org/wiki/User:" &amp; ENCODEURL("Dyrt.yis"), "Dyrt.yis")</f>
        <v>Dyrt.yis</v>
      </c>
      <c r="B2157" s="17" t="s">
        <v>4427</v>
      </c>
      <c r="C2157" s="18">
        <v>46163.55278935185</v>
      </c>
      <c r="D2157" s="17" t="s">
        <v>4428</v>
      </c>
      <c r="E2157" s="19" t="s">
        <v>29</v>
      </c>
      <c r="F2157" s="19" t="s">
        <v>30</v>
      </c>
      <c r="G2157" s="20" t="s">
        <v>17</v>
      </c>
      <c r="H2157" s="20" t="s">
        <v>18</v>
      </c>
      <c r="I2157" s="19" t="str">
        <f>IMAGE("https://upload.wikimedia.org/wikipedia/commons/d/d1/Tropicario_jardin_botanico.jpg")</f>
        <v/>
      </c>
    </row>
    <row r="2158" ht="36.0" customHeight="1">
      <c r="A2158" s="10" t="str">
        <f>HYPERLINK("https://commons.wikimedia.org/wiki/User:" &amp; ENCODEURL("Sandramirezgiraldo"), "Sandramirezgiraldo")</f>
        <v>Sandramirezgiraldo</v>
      </c>
      <c r="B2158" s="11" t="s">
        <v>4429</v>
      </c>
      <c r="C2158" s="12">
        <v>46203.981400462966</v>
      </c>
      <c r="D2158" s="11" t="s">
        <v>4430</v>
      </c>
      <c r="E2158" s="14" t="s">
        <v>29</v>
      </c>
      <c r="F2158" s="14" t="s">
        <v>30</v>
      </c>
      <c r="G2158" s="15" t="s">
        <v>17</v>
      </c>
      <c r="H2158" s="15" t="s">
        <v>18</v>
      </c>
      <c r="I2158" s="14" t="str">
        <f>IMAGE("https://upload.wikimedia.org/wikipedia/commons/6/63/Tucaneta_Esmeralda.jpg")</f>
        <v/>
      </c>
    </row>
    <row r="2159" ht="36.0" customHeight="1">
      <c r="A2159" s="16" t="str">
        <f>HYPERLINK("https://commons.wikimedia.org/wiki/User:" &amp; ENCODEURL("Joseeem"), "Joseeem")</f>
        <v>Joseeem</v>
      </c>
      <c r="B2159" s="17" t="s">
        <v>4431</v>
      </c>
      <c r="C2159" s="18">
        <v>46156.94490740741</v>
      </c>
      <c r="D2159" s="17" t="s">
        <v>4432</v>
      </c>
      <c r="E2159" s="19" t="s">
        <v>29</v>
      </c>
      <c r="F2159" s="19" t="s">
        <v>30</v>
      </c>
      <c r="G2159" s="20" t="s">
        <v>17</v>
      </c>
      <c r="H2159" s="20" t="s">
        <v>18</v>
      </c>
      <c r="I2159" s="19" t="str">
        <f>IMAGE("https://upload.wikimedia.org/wikipedia/commons/6/60/Tulua_Views.jpg")</f>
        <v/>
      </c>
    </row>
    <row r="2160" ht="36.0" customHeight="1">
      <c r="A2160" s="10" t="str">
        <f>HYPERLINK("https://commons.wikimedia.org/wiki/User:" &amp; ENCODEURL("Oscarvelascomora"), "Oscarvelascomora")</f>
        <v>Oscarvelascomora</v>
      </c>
      <c r="B2160" s="11" t="s">
        <v>4433</v>
      </c>
      <c r="C2160" s="12">
        <v>46151.682962962965</v>
      </c>
      <c r="D2160" s="11" t="s">
        <v>4434</v>
      </c>
      <c r="E2160" s="14" t="s">
        <v>29</v>
      </c>
      <c r="F2160" s="14" t="s">
        <v>30</v>
      </c>
      <c r="G2160" s="15" t="s">
        <v>17</v>
      </c>
      <c r="H2160" s="15" t="s">
        <v>18</v>
      </c>
      <c r="I2160" s="14" t="str">
        <f>IMAGE("https://upload.wikimedia.org/wikipedia/commons/a/a1/Tumaco.jpg")</f>
        <v/>
      </c>
    </row>
    <row r="2161" ht="36.0" customHeight="1">
      <c r="A2161" s="16" t="str">
        <f>HYPERLINK("https://commons.wikimedia.org/wiki/User:" &amp; ENCODEURL("Johan Andrés Toro"), "Johan Andrés Toro")</f>
        <v>Johan Andrés Toro</v>
      </c>
      <c r="B2161" s="17" t="s">
        <v>4435</v>
      </c>
      <c r="C2161" s="18">
        <v>46171.87672453704</v>
      </c>
      <c r="D2161" s="17" t="s">
        <v>4436</v>
      </c>
      <c r="E2161" s="19" t="s">
        <v>29</v>
      </c>
      <c r="F2161" s="19" t="s">
        <v>30</v>
      </c>
      <c r="G2161" s="20" t="s">
        <v>17</v>
      </c>
      <c r="H2161" s="20" t="s">
        <v>18</v>
      </c>
      <c r="I2161" s="19" t="str">
        <f>IMAGE("https://upload.wikimedia.org/wikipedia/commons/3/3b/Turberas_y_zonas_de_recarga_h%C3%ADdrica_en_Sumapaz.jpg")</f>
        <v/>
      </c>
    </row>
    <row r="2162" ht="36.0" customHeight="1">
      <c r="A2162" s="10" t="str">
        <f>HYPERLINK("https://commons.wikimedia.org/wiki/User:" &amp; ENCODEURL("Albanense"), "Albanense")</f>
        <v>Albanense</v>
      </c>
      <c r="B2162" s="11" t="s">
        <v>4437</v>
      </c>
      <c r="C2162" s="12">
        <v>46203.99738425926</v>
      </c>
      <c r="D2162" s="11" t="s">
        <v>4438</v>
      </c>
      <c r="E2162" s="14" t="s">
        <v>29</v>
      </c>
      <c r="F2162" s="14" t="s">
        <v>30</v>
      </c>
      <c r="G2162" s="15" t="s">
        <v>17</v>
      </c>
      <c r="H2162" s="15" t="s">
        <v>18</v>
      </c>
      <c r="I2162" s="14" t="str">
        <f>IMAGE("https://upload.wikimedia.org/wikipedia/commons/b/b7/Turdus_fuscater_%28Mirla_Gris%29.jpg")</f>
        <v/>
      </c>
    </row>
    <row r="2163" ht="36.0" customHeight="1">
      <c r="A2163" s="16" t="str">
        <f t="shared" ref="A2163:A2165" si="271">HYPERLINK("https://commons.wikimedia.org/wiki/User:" &amp; ENCODEURL("Diferoch"), "Diferoch")</f>
        <v>Diferoch</v>
      </c>
      <c r="B2163" s="17" t="s">
        <v>4439</v>
      </c>
      <c r="C2163" s="18">
        <v>46189.815520833334</v>
      </c>
      <c r="D2163" s="17" t="s">
        <v>4440</v>
      </c>
      <c r="E2163" s="19" t="s">
        <v>4441</v>
      </c>
      <c r="F2163" s="20" t="s">
        <v>16</v>
      </c>
      <c r="G2163" s="20" t="s">
        <v>17</v>
      </c>
      <c r="H2163" s="20" t="s">
        <v>18</v>
      </c>
      <c r="I2163" s="19" t="str">
        <f>IMAGE("https://upload.wikimedia.org/wikipedia/commons/0/03/Turdus_fuscater_gigas_-_Bogot%C3%A1_D._C.%2C_Colombia_-_23_Aug_2025_-_Diferoch.jpg")</f>
        <v/>
      </c>
    </row>
    <row r="2164" ht="36.0" customHeight="1">
      <c r="A2164" s="10" t="str">
        <f t="shared" si="271"/>
        <v>Diferoch</v>
      </c>
      <c r="B2164" s="11" t="s">
        <v>4442</v>
      </c>
      <c r="C2164" s="12">
        <v>46184.91446759259</v>
      </c>
      <c r="D2164" s="11" t="s">
        <v>4443</v>
      </c>
      <c r="E2164" s="14" t="s">
        <v>4444</v>
      </c>
      <c r="F2164" s="15" t="s">
        <v>16</v>
      </c>
      <c r="G2164" s="15" t="s">
        <v>17</v>
      </c>
      <c r="H2164" s="15" t="s">
        <v>18</v>
      </c>
      <c r="I2164" s="14" t="str">
        <f>IMAGE("https://upload.wikimedia.org/wikipedia/commons/b/bb/Turdus_leucomelas_albiventer_-_Barrancabermeja%2C_Santander%2C_Colombia_-_20_Jul_2025_-_Diferoch_-_1.jpg")</f>
        <v/>
      </c>
    </row>
    <row r="2165" ht="36.0" customHeight="1">
      <c r="A2165" s="16" t="str">
        <f t="shared" si="271"/>
        <v>Diferoch</v>
      </c>
      <c r="B2165" s="17" t="s">
        <v>4445</v>
      </c>
      <c r="C2165" s="18">
        <v>46184.914456018516</v>
      </c>
      <c r="D2165" s="17" t="s">
        <v>4446</v>
      </c>
      <c r="E2165" s="19" t="s">
        <v>4447</v>
      </c>
      <c r="F2165" s="20" t="s">
        <v>16</v>
      </c>
      <c r="G2165" s="20" t="s">
        <v>17</v>
      </c>
      <c r="H2165" s="20" t="s">
        <v>18</v>
      </c>
      <c r="I2165" s="19" t="str">
        <f>IMAGE("https://upload.wikimedia.org/wikipedia/commons/c/cd/Turdus_leucomelas_albiventer_-_Barrancabermeja%2C_Santander%2C_Colombia_-_20_Jul_2025_-_Diferoch_-_2.jpg")</f>
        <v/>
      </c>
    </row>
    <row r="2166" ht="36.0" customHeight="1">
      <c r="A2166" s="10" t="str">
        <f>HYPERLINK("https://commons.wikimedia.org/wiki/User:" &amp; ENCODEURL("Johan Andrés Toro"), "Johan Andrés Toro")</f>
        <v>Johan Andrés Toro</v>
      </c>
      <c r="B2166" s="11" t="s">
        <v>4448</v>
      </c>
      <c r="C2166" s="12">
        <v>46176.94809027778</v>
      </c>
      <c r="D2166" s="11" t="s">
        <v>4449</v>
      </c>
      <c r="E2166" s="14" t="s">
        <v>29</v>
      </c>
      <c r="F2166" s="14" t="s">
        <v>30</v>
      </c>
      <c r="G2166" s="15" t="s">
        <v>17</v>
      </c>
      <c r="H2166" s="15" t="s">
        <v>18</v>
      </c>
      <c r="I2166" s="14" t="str">
        <f>IMAGE("https://upload.wikimedia.org/wikipedia/commons/0/0c/Turismo_ecuestre_en_el_paisaje_de_la_Tatacoa.jpg")</f>
        <v/>
      </c>
    </row>
    <row r="2167" ht="36.0" customHeight="1">
      <c r="A2167" s="16" t="str">
        <f>HYPERLINK("https://commons.wikimedia.org/wiki/User:" &amp; ENCODEURL("ColombianFibonacci"), "ColombianFibonacci")</f>
        <v>ColombianFibonacci</v>
      </c>
      <c r="B2167" s="17" t="s">
        <v>4450</v>
      </c>
      <c r="C2167" s="18">
        <v>46162.70717592593</v>
      </c>
      <c r="D2167" s="17" t="s">
        <v>4451</v>
      </c>
      <c r="E2167" s="19" t="s">
        <v>29</v>
      </c>
      <c r="F2167" s="19" t="s">
        <v>30</v>
      </c>
      <c r="G2167" s="20" t="s">
        <v>17</v>
      </c>
      <c r="H2167" s="20" t="s">
        <v>18</v>
      </c>
      <c r="I2167" s="19" t="str">
        <f>IMAGE("https://upload.wikimedia.org/wikipedia/commons/3/3e/Turquoise_dreams_in_San_Andr%C3%A9s.jpg")</f>
        <v/>
      </c>
    </row>
    <row r="2168" ht="36.0" customHeight="1">
      <c r="A2168" s="10" t="str">
        <f t="shared" ref="A2168:A2171" si="272">HYPERLINK("https://commons.wikimedia.org/wiki/User:" &amp; ENCODEURL("Diferoch"), "Diferoch")</f>
        <v>Diferoch</v>
      </c>
      <c r="B2168" s="11" t="s">
        <v>4452</v>
      </c>
      <c r="C2168" s="12">
        <v>46173.76230324074</v>
      </c>
      <c r="D2168" s="11" t="s">
        <v>4453</v>
      </c>
      <c r="E2168" s="14" t="s">
        <v>4454</v>
      </c>
      <c r="F2168" s="15" t="s">
        <v>16</v>
      </c>
      <c r="G2168" s="15" t="s">
        <v>17</v>
      </c>
      <c r="H2168" s="15" t="s">
        <v>18</v>
      </c>
      <c r="I2168" s="14" t="str">
        <f>IMAGE("https://upload.wikimedia.org/wikipedia/commons/f/f1/Tyrannus_melancholicus_melancholicus_-_Barrancabermeja%2C_Santander%2C_Colombia_-_14_Jun_2026_-_Diferoch.jpg")</f>
        <v/>
      </c>
    </row>
    <row r="2169" ht="36.0" customHeight="1">
      <c r="A2169" s="16" t="str">
        <f t="shared" si="272"/>
        <v>Diferoch</v>
      </c>
      <c r="B2169" s="17" t="s">
        <v>4455</v>
      </c>
      <c r="C2169" s="18">
        <v>46166.87616898148</v>
      </c>
      <c r="D2169" s="17" t="s">
        <v>4456</v>
      </c>
      <c r="E2169" s="19" t="s">
        <v>4457</v>
      </c>
      <c r="F2169" s="20" t="s">
        <v>16</v>
      </c>
      <c r="G2169" s="20" t="s">
        <v>17</v>
      </c>
      <c r="H2169" s="20" t="s">
        <v>18</v>
      </c>
      <c r="I2169" s="19" t="str">
        <f>IMAGE("https://upload.wikimedia.org/wikipedia/commons/e/e2/Tyrannus_melancholicus_melancholicus_-_Barrancabermeja%2C_Santander%2C_Colombia_-_3_Jun_2025.jpg")</f>
        <v/>
      </c>
    </row>
    <row r="2170" ht="36.0" customHeight="1">
      <c r="A2170" s="10" t="str">
        <f t="shared" si="272"/>
        <v>Diferoch</v>
      </c>
      <c r="B2170" s="11" t="s">
        <v>4458</v>
      </c>
      <c r="C2170" s="12">
        <v>46170.91125</v>
      </c>
      <c r="D2170" s="11" t="s">
        <v>4459</v>
      </c>
      <c r="E2170" s="14" t="s">
        <v>4460</v>
      </c>
      <c r="F2170" s="15" t="s">
        <v>16</v>
      </c>
      <c r="G2170" s="15" t="s">
        <v>17</v>
      </c>
      <c r="H2170" s="15" t="s">
        <v>18</v>
      </c>
      <c r="I2170" s="14" t="str">
        <f>IMAGE("https://upload.wikimedia.org/wikipedia/commons/9/94/Tyrannus_savana_-_Piedecuesta%2C_Santander%2C_Colombia_-_7_Jun_2026_-_Diferoch_-_1.jpg")</f>
        <v/>
      </c>
    </row>
    <row r="2171" ht="36.0" customHeight="1">
      <c r="A2171" s="16" t="str">
        <f t="shared" si="272"/>
        <v>Diferoch</v>
      </c>
      <c r="B2171" s="17" t="s">
        <v>4461</v>
      </c>
      <c r="C2171" s="18">
        <v>46170.91125</v>
      </c>
      <c r="D2171" s="17" t="s">
        <v>4459</v>
      </c>
      <c r="E2171" s="19" t="s">
        <v>4462</v>
      </c>
      <c r="F2171" s="20" t="s">
        <v>16</v>
      </c>
      <c r="G2171" s="20" t="s">
        <v>17</v>
      </c>
      <c r="H2171" s="20" t="s">
        <v>18</v>
      </c>
      <c r="I2171" s="19" t="str">
        <f>IMAGE("https://upload.wikimedia.org/wikipedia/commons/a/af/Tyrannus_savana_-_Piedecuesta%2C_Santander%2C_Colombia_-_7_Jun_2026_-_Diferoch_-_2.jpg")</f>
        <v/>
      </c>
    </row>
    <row r="2172" ht="36.0" customHeight="1">
      <c r="A2172" s="10" t="str">
        <f>HYPERLINK("https://commons.wikimedia.org/wiki/User:" &amp; ENCODEURL("NicolleTorresG"), "NicolleTorresG")</f>
        <v>NicolleTorresG</v>
      </c>
      <c r="B2172" s="11" t="s">
        <v>4463</v>
      </c>
      <c r="C2172" s="12">
        <v>46199.9390162037</v>
      </c>
      <c r="D2172" s="11" t="s">
        <v>4464</v>
      </c>
      <c r="E2172" s="14" t="s">
        <v>848</v>
      </c>
      <c r="F2172" s="15" t="s">
        <v>16</v>
      </c>
      <c r="G2172" s="15" t="s">
        <v>17</v>
      </c>
      <c r="H2172" s="15" t="s">
        <v>18</v>
      </c>
      <c r="I2172" s="14" t="str">
        <f>IMAGE("https://upload.wikimedia.org/wikipedia/commons/6/69/T%C3%A1ngara_Dorada_-_Tangara_arthus.jpg")</f>
        <v/>
      </c>
    </row>
    <row r="2173" ht="36.0" customHeight="1">
      <c r="A2173" s="16" t="str">
        <f t="shared" ref="A2173:A2174" si="273">HYPERLINK("https://commons.wikimedia.org/wiki/User:" &amp; ENCODEURL("Elprofeta91"), "Elprofeta91")</f>
        <v>Elprofeta91</v>
      </c>
      <c r="B2173" s="17" t="s">
        <v>4465</v>
      </c>
      <c r="C2173" s="18">
        <v>46147.7950462963</v>
      </c>
      <c r="D2173" s="17" t="s">
        <v>1560</v>
      </c>
      <c r="E2173" s="19" t="s">
        <v>4466</v>
      </c>
      <c r="F2173" s="20" t="s">
        <v>16</v>
      </c>
      <c r="G2173" s="20" t="s">
        <v>17</v>
      </c>
      <c r="H2173" s="20" t="s">
        <v>18</v>
      </c>
      <c r="I2173" s="19" t="str">
        <f>IMAGE("https://upload.wikimedia.org/wikipedia/commons/8/88/T%C3%BA_grandeza.jpg")</f>
        <v/>
      </c>
    </row>
    <row r="2174" ht="36.0" customHeight="1">
      <c r="A2174" s="10" t="str">
        <f t="shared" si="273"/>
        <v>Elprofeta91</v>
      </c>
      <c r="B2174" s="11" t="s">
        <v>4467</v>
      </c>
      <c r="C2174" s="12">
        <v>46147.7950462963</v>
      </c>
      <c r="D2174" s="11" t="s">
        <v>1560</v>
      </c>
      <c r="E2174" s="14" t="s">
        <v>4468</v>
      </c>
      <c r="F2174" s="15" t="s">
        <v>16</v>
      </c>
      <c r="G2174" s="15" t="s">
        <v>17</v>
      </c>
      <c r="H2174" s="15" t="s">
        <v>18</v>
      </c>
      <c r="I2174" s="14" t="str">
        <f>IMAGE("https://upload.wikimedia.org/wikipedia/commons/7/7b/T%C3%BA_inmensidad.jpg")</f>
        <v/>
      </c>
    </row>
    <row r="2175" ht="36.0" customHeight="1">
      <c r="A2175" s="16" t="str">
        <f t="shared" ref="A2175:A2176" si="274">HYPERLINK("https://commons.wikimedia.org/wiki/User:" &amp; ENCODEURL("Zamstiv"), "Zamstiv")</f>
        <v>Zamstiv</v>
      </c>
      <c r="B2175" s="17" t="s">
        <v>4469</v>
      </c>
      <c r="C2175" s="18">
        <v>46160.4559375</v>
      </c>
      <c r="D2175" s="17" t="s">
        <v>4470</v>
      </c>
      <c r="E2175" s="19" t="s">
        <v>4471</v>
      </c>
      <c r="F2175" s="20" t="s">
        <v>16</v>
      </c>
      <c r="G2175" s="20" t="s">
        <v>17</v>
      </c>
      <c r="H2175" s="20" t="s">
        <v>18</v>
      </c>
      <c r="I2175" s="19" t="str">
        <f>IMAGE("https://upload.wikimedia.org/wikipedia/commons/3/3f/Un_GRAN_peque%C3%B1o.jpg")</f>
        <v/>
      </c>
    </row>
    <row r="2176" ht="36.0" customHeight="1">
      <c r="A2176" s="10" t="str">
        <f t="shared" si="274"/>
        <v>Zamstiv</v>
      </c>
      <c r="B2176" s="11" t="s">
        <v>4472</v>
      </c>
      <c r="C2176" s="12">
        <v>46160.4559375</v>
      </c>
      <c r="D2176" s="11" t="s">
        <v>4473</v>
      </c>
      <c r="E2176" s="14" t="s">
        <v>4471</v>
      </c>
      <c r="F2176" s="15" t="s">
        <v>16</v>
      </c>
      <c r="G2176" s="15" t="s">
        <v>17</v>
      </c>
      <c r="H2176" s="15" t="s">
        <v>18</v>
      </c>
      <c r="I2176" s="14" t="str">
        <f>IMAGE("https://upload.wikimedia.org/wikipedia/commons/7/79/Un_caracol_vacio.jpg")</f>
        <v/>
      </c>
    </row>
    <row r="2177" ht="36.0" customHeight="1">
      <c r="A2177" s="16" t="str">
        <f t="shared" ref="A2177:A2178" si="275">HYPERLINK("https://commons.wikimedia.org/wiki/User:" &amp; ENCODEURL("Elprofeta91"), "Elprofeta91")</f>
        <v>Elprofeta91</v>
      </c>
      <c r="B2177" s="17" t="s">
        <v>4474</v>
      </c>
      <c r="C2177" s="18">
        <v>46147.79497685185</v>
      </c>
      <c r="D2177" s="17" t="s">
        <v>32</v>
      </c>
      <c r="E2177" s="19" t="s">
        <v>4475</v>
      </c>
      <c r="F2177" s="20" t="s">
        <v>16</v>
      </c>
      <c r="G2177" s="20" t="s">
        <v>17</v>
      </c>
      <c r="H2177" s="20" t="s">
        <v>18</v>
      </c>
      <c r="I2177" s="19" t="str">
        <f>IMAGE("https://upload.wikimedia.org/wikipedia/commons/f/f2/Un_d%C3%ADa_con_mucho_sol.jpg")</f>
        <v/>
      </c>
    </row>
    <row r="2178" ht="36.0" customHeight="1">
      <c r="A2178" s="10" t="str">
        <f t="shared" si="275"/>
        <v>Elprofeta91</v>
      </c>
      <c r="B2178" s="11" t="s">
        <v>4476</v>
      </c>
      <c r="C2178" s="12">
        <v>46147.79109953704</v>
      </c>
      <c r="D2178" s="11" t="s">
        <v>32</v>
      </c>
      <c r="E2178" s="14" t="s">
        <v>4477</v>
      </c>
      <c r="F2178" s="15" t="s">
        <v>16</v>
      </c>
      <c r="G2178" s="15" t="s">
        <v>17</v>
      </c>
      <c r="H2178" s="15" t="s">
        <v>18</v>
      </c>
      <c r="I2178" s="14" t="str">
        <f>IMAGE("https://upload.wikimedia.org/wikipedia/commons/7/7b/Un_d%C3%ADa_normal.jpg")</f>
        <v/>
      </c>
    </row>
    <row r="2179" ht="36.0" customHeight="1">
      <c r="A2179" s="16" t="str">
        <f>HYPERLINK("https://commons.wikimedia.org/wiki/User:" &amp; ENCODEURL("CHAVESJUAN19"), "CHAVESJUAN19")</f>
        <v>CHAVESJUAN19</v>
      </c>
      <c r="B2179" s="17" t="s">
        <v>4478</v>
      </c>
      <c r="C2179" s="18">
        <v>46203.96219907407</v>
      </c>
      <c r="D2179" s="17" t="s">
        <v>4479</v>
      </c>
      <c r="E2179" s="19" t="s">
        <v>29</v>
      </c>
      <c r="F2179" s="19" t="s">
        <v>30</v>
      </c>
      <c r="G2179" s="20" t="s">
        <v>17</v>
      </c>
      <c r="H2179" s="20" t="s">
        <v>18</v>
      </c>
      <c r="I2179" s="19" t="str">
        <f>IMAGE("https://upload.wikimedia.org/wikipedia/commons/4/47/Un_escandalo_del_carriqui_-_PNN_Los_Nevados_%28PRIMER_PLANO%29.jpg")</f>
        <v/>
      </c>
    </row>
    <row r="2180" ht="36.0" customHeight="1">
      <c r="A2180" s="10" t="str">
        <f>HYPERLINK("https://commons.wikimedia.org/wiki/User:" &amp; ENCODEURL("Halleyuncometafotografo"), "Halleyuncometafotografo")</f>
        <v>Halleyuncometafotografo</v>
      </c>
      <c r="B2180" s="11" t="s">
        <v>4480</v>
      </c>
      <c r="C2180" s="12">
        <v>46203.8984375</v>
      </c>
      <c r="D2180" s="11" t="s">
        <v>4481</v>
      </c>
      <c r="E2180" s="14" t="s">
        <v>4482</v>
      </c>
      <c r="F2180" s="15" t="s">
        <v>16</v>
      </c>
      <c r="G2180" s="15" t="s">
        <v>17</v>
      </c>
      <c r="H2180" s="15" t="s">
        <v>18</v>
      </c>
      <c r="I2180" s="14" t="str">
        <f>IMAGE("https://upload.wikimedia.org/wikipedia/commons/0/0c/Un_instante_en_la_calma.jpg")</f>
        <v/>
      </c>
    </row>
    <row r="2181" ht="36.0" customHeight="1">
      <c r="A2181" s="16" t="str">
        <f>HYPERLINK("https://commons.wikimedia.org/wiki/User:" &amp; ENCODEURL("Elprofeta91"), "Elprofeta91")</f>
        <v>Elprofeta91</v>
      </c>
      <c r="B2181" s="17" t="s">
        <v>4483</v>
      </c>
      <c r="C2181" s="18">
        <v>46147.79126157407</v>
      </c>
      <c r="D2181" s="17" t="s">
        <v>32</v>
      </c>
      <c r="E2181" s="19" t="s">
        <v>4484</v>
      </c>
      <c r="F2181" s="20" t="s">
        <v>16</v>
      </c>
      <c r="G2181" s="20" t="s">
        <v>17</v>
      </c>
      <c r="H2181" s="20" t="s">
        <v>18</v>
      </c>
      <c r="I2181" s="19" t="str">
        <f>IMAGE("https://upload.wikimedia.org/wikipedia/commons/3/39/Un_linda_finca.jpg")</f>
        <v/>
      </c>
    </row>
    <row r="2182" ht="36.0" customHeight="1">
      <c r="A2182" s="10" t="str">
        <f>HYPERLINK("https://commons.wikimedia.org/wiki/User:" &amp; ENCODEURL("Daijiruu"), "Daijiruu")</f>
        <v>Daijiruu</v>
      </c>
      <c r="B2182" s="11" t="s">
        <v>4485</v>
      </c>
      <c r="C2182" s="12">
        <v>46163.51027777778</v>
      </c>
      <c r="D2182" s="11" t="s">
        <v>361</v>
      </c>
      <c r="E2182" s="14" t="s">
        <v>29</v>
      </c>
      <c r="F2182" s="14" t="s">
        <v>30</v>
      </c>
      <c r="G2182" s="15" t="s">
        <v>17</v>
      </c>
      <c r="H2182" s="15" t="s">
        <v>18</v>
      </c>
      <c r="I2182" s="14" t="str">
        <f>IMAGE("https://upload.wikimedia.org/wikipedia/commons/a/aa/Un_Mundo_Descubierto.jpg")</f>
        <v/>
      </c>
    </row>
    <row r="2183" ht="36.0" customHeight="1">
      <c r="A2183" s="16" t="str">
        <f>HYPERLINK("https://commons.wikimedia.org/wiki/User:" &amp; ENCODEURL("SoyElMaloColon"), "SoyElMaloColon")</f>
        <v>SoyElMaloColon</v>
      </c>
      <c r="B2183" s="17" t="s">
        <v>4486</v>
      </c>
      <c r="C2183" s="18">
        <v>46163.11399305556</v>
      </c>
      <c r="D2183" s="17" t="s">
        <v>4487</v>
      </c>
      <c r="E2183" s="19" t="s">
        <v>29</v>
      </c>
      <c r="F2183" s="19" t="s">
        <v>30</v>
      </c>
      <c r="G2183" s="20" t="s">
        <v>17</v>
      </c>
      <c r="H2183" s="20" t="s">
        <v>18</v>
      </c>
      <c r="I2183" s="19" t="str">
        <f>IMAGE("https://upload.wikimedia.org/wikipedia/commons/e/ea/Un_Ni%C3%B1o_Dos_Hombres_y_Muchas_Tabl%C3%B3nes.jpg")</f>
        <v/>
      </c>
    </row>
    <row r="2184" ht="36.0" customHeight="1">
      <c r="A2184" s="10" t="str">
        <f>HYPERLINK("https://commons.wikimedia.org/wiki/User:" &amp; ENCODEURL("KingJo09"), "KingJo09")</f>
        <v>KingJo09</v>
      </c>
      <c r="B2184" s="11" t="s">
        <v>4488</v>
      </c>
      <c r="C2184" s="12">
        <v>46165.89083333333</v>
      </c>
      <c r="D2184" s="11" t="s">
        <v>4489</v>
      </c>
      <c r="E2184" s="14" t="s">
        <v>1220</v>
      </c>
      <c r="F2184" s="15" t="s">
        <v>16</v>
      </c>
      <c r="G2184" s="15" t="s">
        <v>17</v>
      </c>
      <c r="H2184" s="15" t="s">
        <v>18</v>
      </c>
      <c r="I2184" s="14" t="str">
        <f>IMAGE("https://upload.wikimedia.org/wikipedia/commons/c/ca/Un_Sol_en_el_Suelo.jpg")</f>
        <v/>
      </c>
    </row>
    <row r="2185" ht="36.0" customHeight="1">
      <c r="A2185" s="16" t="str">
        <f>HYPERLINK("https://commons.wikimedia.org/wiki/User:" &amp; ENCODEURL("Laupedrazaa"), "Laupedrazaa")</f>
        <v>Laupedrazaa</v>
      </c>
      <c r="B2185" s="17" t="s">
        <v>4490</v>
      </c>
      <c r="C2185" s="18">
        <v>46167.89090277778</v>
      </c>
      <c r="D2185" s="17" t="s">
        <v>4491</v>
      </c>
      <c r="E2185" s="19" t="s">
        <v>29</v>
      </c>
      <c r="F2185" s="19" t="s">
        <v>30</v>
      </c>
      <c r="G2185" s="20" t="s">
        <v>17</v>
      </c>
      <c r="H2185" s="20" t="s">
        <v>18</v>
      </c>
      <c r="I2185" s="19" t="str">
        <f>IMAGE("https://upload.wikimedia.org/wikipedia/commons/f/fe/Un_mar_de_verde.jpg")</f>
        <v/>
      </c>
    </row>
    <row r="2186" ht="36.0" customHeight="1">
      <c r="A2186" s="10" t="str">
        <f>HYPERLINK("https://commons.wikimedia.org/wiki/User:" &amp; ENCODEURL("Juanrapave"), "Juanrapave")</f>
        <v>Juanrapave</v>
      </c>
      <c r="B2186" s="11" t="s">
        <v>4492</v>
      </c>
      <c r="C2186" s="12">
        <v>46166.31318287037</v>
      </c>
      <c r="D2186" s="11" t="s">
        <v>4493</v>
      </c>
      <c r="E2186" s="14" t="s">
        <v>29</v>
      </c>
      <c r="F2186" s="14" t="s">
        <v>30</v>
      </c>
      <c r="G2186" s="15" t="s">
        <v>17</v>
      </c>
      <c r="H2186" s="15" t="s">
        <v>18</v>
      </c>
      <c r="I2186" s="14" t="str">
        <f>IMAGE("https://upload.wikimedia.org/wikipedia/commons/a/af/Un_panal_herido.jpg")</f>
        <v/>
      </c>
    </row>
    <row r="2187" ht="36.0" customHeight="1">
      <c r="A2187" s="16" t="str">
        <f>HYPERLINK("https://commons.wikimedia.org/wiki/User:" &amp; ENCODEURL("Johan Andrés Toro"), "Johan Andrés Toro")</f>
        <v>Johan Andrés Toro</v>
      </c>
      <c r="B2187" s="17" t="s">
        <v>4494</v>
      </c>
      <c r="C2187" s="18">
        <v>46166.956921296296</v>
      </c>
      <c r="D2187" s="17" t="s">
        <v>4495</v>
      </c>
      <c r="E2187" s="19" t="s">
        <v>29</v>
      </c>
      <c r="F2187" s="19" t="s">
        <v>30</v>
      </c>
      <c r="G2187" s="20" t="s">
        <v>17</v>
      </c>
      <c r="H2187" s="20" t="s">
        <v>18</v>
      </c>
      <c r="I2187" s="19" t="str">
        <f>IMAGE("https://upload.wikimedia.org/wikipedia/commons/7/77/Un_peque%C3%B1o_loro_en_las_inmediaciones_del_tap%C3%B3n_del_Darien.jpg")</f>
        <v/>
      </c>
    </row>
    <row r="2188" ht="36.0" customHeight="1">
      <c r="A2188" s="10" t="str">
        <f>HYPERLINK("https://commons.wikimedia.org/wiki/User:" &amp; ENCODEURL("Vvelashue21"), "Vvelashue21")</f>
        <v>Vvelashue21</v>
      </c>
      <c r="B2188" s="11" t="s">
        <v>4496</v>
      </c>
      <c r="C2188" s="12">
        <v>46163.54798611111</v>
      </c>
      <c r="D2188" s="11" t="s">
        <v>4497</v>
      </c>
      <c r="E2188" s="14" t="s">
        <v>29</v>
      </c>
      <c r="F2188" s="14" t="s">
        <v>30</v>
      </c>
      <c r="G2188" s="15" t="s">
        <v>17</v>
      </c>
      <c r="H2188" s="15" t="s">
        <v>18</v>
      </c>
      <c r="I2188" s="14" t="str">
        <f>IMAGE("https://upload.wikimedia.org/wikipedia/commons/5/5b/Un_rincon_del_alma.jpg")</f>
        <v/>
      </c>
    </row>
    <row r="2189" ht="36.0" customHeight="1">
      <c r="A2189" s="16" t="str">
        <f t="shared" ref="A2189:A2190" si="276">HYPERLINK("https://commons.wikimedia.org/wiki/User:" &amp; ENCODEURL("Daijiruu"), "Daijiruu")</f>
        <v>Daijiruu</v>
      </c>
      <c r="B2189" s="17" t="s">
        <v>4498</v>
      </c>
      <c r="C2189" s="18">
        <v>46163.52804398148</v>
      </c>
      <c r="D2189" s="17" t="s">
        <v>361</v>
      </c>
      <c r="E2189" s="19" t="s">
        <v>29</v>
      </c>
      <c r="F2189" s="19" t="s">
        <v>30</v>
      </c>
      <c r="G2189" s="20" t="s">
        <v>17</v>
      </c>
      <c r="H2189" s="20" t="s">
        <v>18</v>
      </c>
      <c r="I2189" s="19" t="str">
        <f>IMAGE("https://upload.wikimedia.org/wikipedia/commons/e/e8/Una_Planta_%C3%9Anica.jpg")</f>
        <v/>
      </c>
    </row>
    <row r="2190" ht="36.0" customHeight="1">
      <c r="A2190" s="10" t="str">
        <f t="shared" si="276"/>
        <v>Daijiruu</v>
      </c>
      <c r="B2190" s="11" t="s">
        <v>4499</v>
      </c>
      <c r="C2190" s="12">
        <v>46163.51025462963</v>
      </c>
      <c r="D2190" s="11" t="s">
        <v>1582</v>
      </c>
      <c r="E2190" s="14" t="s">
        <v>29</v>
      </c>
      <c r="F2190" s="14" t="s">
        <v>30</v>
      </c>
      <c r="G2190" s="15" t="s">
        <v>17</v>
      </c>
      <c r="H2190" s="15" t="s">
        <v>18</v>
      </c>
      <c r="I2190" s="14" t="str">
        <f>IMAGE("https://upload.wikimedia.org/wikipedia/commons/9/99/Una_Roca.jpg")</f>
        <v/>
      </c>
    </row>
    <row r="2191" ht="36.0" customHeight="1">
      <c r="A2191" s="16" t="str">
        <f>HYPERLINK("https://commons.wikimedia.org/wiki/User:" &amp; ENCODEURL("Juanrapave"), "Juanrapave")</f>
        <v>Juanrapave</v>
      </c>
      <c r="B2191" s="17" t="s">
        <v>4500</v>
      </c>
      <c r="C2191" s="18">
        <v>46166.31332175926</v>
      </c>
      <c r="D2191" s="17" t="s">
        <v>4501</v>
      </c>
      <c r="E2191" s="19" t="s">
        <v>4502</v>
      </c>
      <c r="F2191" s="20" t="s">
        <v>16</v>
      </c>
      <c r="G2191" s="20" t="s">
        <v>17</v>
      </c>
      <c r="H2191" s="20" t="s">
        <v>18</v>
      </c>
      <c r="I2191" s="19" t="str">
        <f>IMAGE("https://upload.wikimedia.org/wikipedia/commons/4/42/Una_abeja_en_el_rosal.jpg")</f>
        <v/>
      </c>
    </row>
    <row r="2192" ht="36.0" customHeight="1">
      <c r="A2192" s="10" t="str">
        <f>HYPERLINK("https://commons.wikimedia.org/wiki/User:" &amp; ENCODEURL("Johan Andrés Toro"), "Johan Andrés Toro")</f>
        <v>Johan Andrés Toro</v>
      </c>
      <c r="B2192" s="11" t="s">
        <v>4503</v>
      </c>
      <c r="C2192" s="12">
        <v>46166.95685185185</v>
      </c>
      <c r="D2192" s="11" t="s">
        <v>505</v>
      </c>
      <c r="E2192" s="14" t="s">
        <v>29</v>
      </c>
      <c r="F2192" s="14" t="s">
        <v>30</v>
      </c>
      <c r="G2192" s="15" t="s">
        <v>17</v>
      </c>
      <c r="H2192" s="15" t="s">
        <v>18</v>
      </c>
      <c r="I2192" s="14" t="str">
        <f>IMAGE("https://upload.wikimedia.org/wikipedia/commons/f/fe/Una_canoa_sobre_las_aguas_llamadas_el_Aguacate_en_Capurgana_Colombia.jpg")</f>
        <v/>
      </c>
    </row>
    <row r="2193" ht="36.0" customHeight="1">
      <c r="A2193" s="16" t="str">
        <f>HYPERLINK("https://commons.wikimedia.org/wiki/User:" &amp; ENCODEURL("MemoOssa"), "MemoOssa")</f>
        <v>MemoOssa</v>
      </c>
      <c r="B2193" s="17" t="s">
        <v>4504</v>
      </c>
      <c r="C2193" s="18">
        <v>46176.774050925924</v>
      </c>
      <c r="D2193" s="17" t="s">
        <v>4505</v>
      </c>
      <c r="E2193" s="19" t="s">
        <v>29</v>
      </c>
      <c r="F2193" s="19" t="s">
        <v>30</v>
      </c>
      <c r="G2193" s="20" t="s">
        <v>17</v>
      </c>
      <c r="H2193" s="20" t="s">
        <v>18</v>
      </c>
      <c r="I2193" s="19" t="str">
        <f>IMAGE("https://upload.wikimedia.org/wikipedia/commons/5/5d/Una_noche_estrellada_en_Santa_Elena%2C_Antioquia%2C_Colombia.jpg")</f>
        <v/>
      </c>
    </row>
    <row r="2194" ht="36.0" customHeight="1">
      <c r="A2194" s="10" t="str">
        <f>HYPERLINK("https://commons.wikimedia.org/wiki/User:" &amp; ENCODEURL("Johan Andrés Toro"), "Johan Andrés Toro")</f>
        <v>Johan Andrés Toro</v>
      </c>
      <c r="B2194" s="11" t="s">
        <v>4506</v>
      </c>
      <c r="C2194" s="12">
        <v>46166.95688657407</v>
      </c>
      <c r="D2194" s="11" t="s">
        <v>4507</v>
      </c>
      <c r="E2194" s="14" t="s">
        <v>29</v>
      </c>
      <c r="F2194" s="14" t="s">
        <v>30</v>
      </c>
      <c r="G2194" s="15" t="s">
        <v>17</v>
      </c>
      <c r="H2194" s="15" t="s">
        <v>18</v>
      </c>
      <c r="I2194" s="14" t="str">
        <f>IMAGE("https://upload.wikimedia.org/wikipedia/commons/8/82/Una_quebrada_en_el_interior_del_Tapon_del_Darien.jpg")</f>
        <v/>
      </c>
    </row>
    <row r="2195" ht="36.0" customHeight="1">
      <c r="A2195" s="16" t="str">
        <f>HYPERLINK("https://commons.wikimedia.org/wiki/User:" &amp; ENCODEURL("NataMendietaOrtega"), "NataMendietaOrtega")</f>
        <v>NataMendietaOrtega</v>
      </c>
      <c r="B2195" s="17" t="s">
        <v>4508</v>
      </c>
      <c r="C2195" s="18">
        <v>46163.504282407404</v>
      </c>
      <c r="D2195" s="17" t="s">
        <v>4509</v>
      </c>
      <c r="E2195" s="19" t="s">
        <v>4510</v>
      </c>
      <c r="F2195" s="20" t="s">
        <v>16</v>
      </c>
      <c r="G2195" s="20" t="s">
        <v>17</v>
      </c>
      <c r="H2195" s="20" t="s">
        <v>18</v>
      </c>
      <c r="I2195" s="19" t="str">
        <f>IMAGE("https://upload.wikimedia.org/wikipedia/commons/8/87/Universidad_de_la_salle%2C_paisaje_urbano.jpg")</f>
        <v/>
      </c>
    </row>
    <row r="2196" ht="36.0" customHeight="1">
      <c r="A2196" s="10" t="str">
        <f>HYPERLINK("https://commons.wikimedia.org/wiki/User:" &amp; ENCODEURL("Vvelashue21"), "Vvelashue21")</f>
        <v>Vvelashue21</v>
      </c>
      <c r="B2196" s="11" t="s">
        <v>4511</v>
      </c>
      <c r="C2196" s="12">
        <v>46163.548055555555</v>
      </c>
      <c r="D2196" s="11" t="s">
        <v>4512</v>
      </c>
      <c r="E2196" s="14" t="s">
        <v>29</v>
      </c>
      <c r="F2196" s="14" t="s">
        <v>30</v>
      </c>
      <c r="G2196" s="15" t="s">
        <v>17</v>
      </c>
      <c r="H2196" s="15" t="s">
        <v>18</v>
      </c>
      <c r="I2196" s="14" t="str">
        <f>IMAGE("https://upload.wikimedia.org/wikipedia/commons/8/8d/Universidad_y_paisaje.jpg")</f>
        <v/>
      </c>
    </row>
    <row r="2197" ht="36.0" customHeight="1">
      <c r="A2197" s="16" t="str">
        <f>HYPERLINK("https://commons.wikimedia.org/wiki/User:" &amp; ENCODEURL("JJCL09"), "JJCL09")</f>
        <v>JJCL09</v>
      </c>
      <c r="B2197" s="17" t="s">
        <v>4513</v>
      </c>
      <c r="C2197" s="18">
        <v>46147.88135416667</v>
      </c>
      <c r="D2197" s="17" t="s">
        <v>4514</v>
      </c>
      <c r="E2197" s="19" t="s">
        <v>4515</v>
      </c>
      <c r="F2197" s="20" t="s">
        <v>16</v>
      </c>
      <c r="G2197" s="20" t="s">
        <v>17</v>
      </c>
      <c r="H2197" s="20" t="s">
        <v>18</v>
      </c>
      <c r="I2197" s="19" t="str">
        <f>IMAGE("https://upload.wikimedia.org/wikipedia/commons/3/30/Unknown_orchids.jpg")</f>
        <v/>
      </c>
    </row>
    <row r="2198" ht="36.0" customHeight="1">
      <c r="A2198" s="10" t="str">
        <f>HYPERLINK("https://commons.wikimedia.org/wiki/User:" &amp; ENCODEURL("Hector Bottai"), "Hector Bottai")</f>
        <v>Hector Bottai</v>
      </c>
      <c r="B2198" s="11" t="s">
        <v>4516</v>
      </c>
      <c r="C2198" s="12">
        <v>46231.2941087963</v>
      </c>
      <c r="D2198" s="11" t="s">
        <v>4517</v>
      </c>
      <c r="E2198" s="14" t="s">
        <v>4518</v>
      </c>
      <c r="F2198" s="15" t="s">
        <v>16</v>
      </c>
      <c r="G2198" s="15" t="s">
        <v>17</v>
      </c>
      <c r="H2198" s="15" t="s">
        <v>18</v>
      </c>
      <c r="I2198" s="14" t="str">
        <f>IMAGE("https://upload.wikimedia.org/wikipedia/commons/b/bd/Urosticte_benjamini.jpg")</f>
        <v/>
      </c>
    </row>
    <row r="2199" ht="36.0" customHeight="1">
      <c r="A2199" s="16" t="str">
        <f>HYPERLINK("https://commons.wikimedia.org/wiki/User:" &amp; ENCODEURL("Munigarro"), "Munigarro")</f>
        <v>Munigarro</v>
      </c>
      <c r="B2199" s="17" t="s">
        <v>4519</v>
      </c>
      <c r="C2199" s="18">
        <v>46202.65513888889</v>
      </c>
      <c r="D2199" s="17" t="s">
        <v>4154</v>
      </c>
      <c r="E2199" s="19" t="s">
        <v>29</v>
      </c>
      <c r="F2199" s="19" t="s">
        <v>30</v>
      </c>
      <c r="G2199" s="20" t="s">
        <v>17</v>
      </c>
      <c r="H2199" s="20" t="s">
        <v>18</v>
      </c>
      <c r="I2199" s="19" t="str">
        <f>IMAGE("https://upload.wikimedia.org/wikipedia/commons/9/90/Urraca_Azul.jpg")</f>
        <v/>
      </c>
    </row>
    <row r="2200" ht="36.0" customHeight="1">
      <c r="A2200" s="10" t="str">
        <f>HYPERLINK("https://commons.wikimedia.org/wiki/User:" &amp; ENCODEURL("CHAVESJUAN19"), "CHAVESJUAN19")</f>
        <v>CHAVESJUAN19</v>
      </c>
      <c r="B2200" s="11" t="s">
        <v>4520</v>
      </c>
      <c r="C2200" s="12">
        <v>46203.96229166666</v>
      </c>
      <c r="D2200" s="11" t="s">
        <v>4521</v>
      </c>
      <c r="E2200" s="14" t="s">
        <v>29</v>
      </c>
      <c r="F2200" s="14" t="s">
        <v>30</v>
      </c>
      <c r="G2200" s="15" t="s">
        <v>17</v>
      </c>
      <c r="H2200" s="15" t="s">
        <v>18</v>
      </c>
      <c r="I2200" s="14" t="str">
        <f>IMAGE("https://upload.wikimedia.org/wikipedia/commons/3/32/Urraca_de_collar_de_reojo_-_PNN_Chingaza.jpg")</f>
        <v/>
      </c>
    </row>
    <row r="2201" ht="36.0" customHeight="1">
      <c r="A2201" s="16" t="str">
        <f t="shared" ref="A2201:A2202" si="277">HYPERLINK("https://commons.wikimedia.org/wiki/User:" &amp; ENCODEURL("JinM143"), "JinM143")</f>
        <v>JinM143</v>
      </c>
      <c r="B2201" s="17" t="s">
        <v>4522</v>
      </c>
      <c r="C2201" s="18">
        <v>46163.52515046296</v>
      </c>
      <c r="D2201" s="17" t="s">
        <v>4523</v>
      </c>
      <c r="E2201" s="19" t="s">
        <v>29</v>
      </c>
      <c r="F2201" s="19" t="s">
        <v>30</v>
      </c>
      <c r="G2201" s="20" t="s">
        <v>17</v>
      </c>
      <c r="H2201" s="20" t="s">
        <v>18</v>
      </c>
      <c r="I2201" s="19" t="str">
        <f>IMAGE("https://upload.wikimedia.org/wikipedia/commons/a/a0/Utica%2C_Cundinamarca_-_Julian_Barrera.jpg")</f>
        <v/>
      </c>
    </row>
    <row r="2202" ht="36.0" customHeight="1">
      <c r="A2202" s="10" t="str">
        <f t="shared" si="277"/>
        <v>JinM143</v>
      </c>
      <c r="B2202" s="11" t="s">
        <v>4524</v>
      </c>
      <c r="C2202" s="12">
        <v>46163.52755787037</v>
      </c>
      <c r="D2202" s="11" t="s">
        <v>4525</v>
      </c>
      <c r="E2202" s="14" t="s">
        <v>29</v>
      </c>
      <c r="F2202" s="14" t="s">
        <v>30</v>
      </c>
      <c r="G2202" s="15" t="s">
        <v>17</v>
      </c>
      <c r="H2202" s="15" t="s">
        <v>18</v>
      </c>
      <c r="I2202" s="14" t="str">
        <f>IMAGE("https://upload.wikimedia.org/wikipedia/commons/1/1f/Utica%2C_Cundinamarca.jpg")</f>
        <v/>
      </c>
    </row>
    <row r="2203" ht="36.0" customHeight="1">
      <c r="A2203" s="16" t="str">
        <f>HYPERLINK("https://commons.wikimedia.org/wiki/User:" &amp; ENCODEURL("Nbareschu"), "Nbareschu")</f>
        <v>Nbareschu</v>
      </c>
      <c r="B2203" s="17" t="s">
        <v>4526</v>
      </c>
      <c r="C2203" s="18">
        <v>46149.4212962963</v>
      </c>
      <c r="D2203" s="17" t="s">
        <v>4527</v>
      </c>
      <c r="E2203" s="19" t="s">
        <v>4528</v>
      </c>
      <c r="F2203" s="20" t="s">
        <v>16</v>
      </c>
      <c r="G2203" s="20" t="s">
        <v>17</v>
      </c>
      <c r="H2203" s="20" t="s">
        <v>18</v>
      </c>
      <c r="I2203" s="19" t="str">
        <f>IMAGE("https://upload.wikimedia.org/wikipedia/commons/f/f8/U%C3%B1a_de_gato.jpg")</f>
        <v/>
      </c>
    </row>
    <row r="2204" ht="36.0" customHeight="1">
      <c r="A2204" s="10" t="str">
        <f>HYPERLINK("https://commons.wikimedia.org/wiki/User:" &amp; ENCODEURL("Joseeem"), "Joseeem")</f>
        <v>Joseeem</v>
      </c>
      <c r="B2204" s="11" t="s">
        <v>4529</v>
      </c>
      <c r="C2204" s="12">
        <v>46156.94490740741</v>
      </c>
      <c r="D2204" s="11" t="s">
        <v>4530</v>
      </c>
      <c r="E2204" s="14" t="s">
        <v>29</v>
      </c>
      <c r="F2204" s="14" t="s">
        <v>30</v>
      </c>
      <c r="G2204" s="15" t="s">
        <v>17</v>
      </c>
      <c r="H2204" s="15" t="s">
        <v>18</v>
      </c>
      <c r="I2204" s="14" t="str">
        <f>IMAGE("https://upload.wikimedia.org/wikipedia/commons/2/2e/Valle_Del_Cauca.jpg")</f>
        <v/>
      </c>
    </row>
    <row r="2205" ht="36.0" customHeight="1">
      <c r="A2205" s="16" t="str">
        <f>HYPERLINK("https://commons.wikimedia.org/wiki/User:" &amp; ENCODEURL("Allysami2215"), "Allysami2215")</f>
        <v>Allysami2215</v>
      </c>
      <c r="B2205" s="17" t="s">
        <v>4531</v>
      </c>
      <c r="C2205" s="18">
        <v>46147.851747685185</v>
      </c>
      <c r="D2205" s="17" t="s">
        <v>4532</v>
      </c>
      <c r="E2205" s="19" t="s">
        <v>29</v>
      </c>
      <c r="F2205" s="19" t="s">
        <v>30</v>
      </c>
      <c r="G2205" s="20" t="s">
        <v>17</v>
      </c>
      <c r="H2205" s="20" t="s">
        <v>18</v>
      </c>
      <c r="I2205" s="19" t="str">
        <f>IMAGE("https://upload.wikimedia.org/wikipedia/commons/e/e2/Valle_de_cocora%28salento-Quindio%29.jpg")</f>
        <v/>
      </c>
    </row>
    <row r="2206" ht="36.0" customHeight="1">
      <c r="A2206" s="10" t="str">
        <f>HYPERLINK("https://commons.wikimedia.org/wiki/User:" &amp; ENCODEURL("TheBogotaBandit"), "TheBogotaBandit")</f>
        <v>TheBogotaBandit</v>
      </c>
      <c r="B2206" s="11" t="s">
        <v>4533</v>
      </c>
      <c r="C2206" s="12">
        <v>46203.998923611114</v>
      </c>
      <c r="D2206" s="11" t="s">
        <v>4534</v>
      </c>
      <c r="E2206" s="14" t="s">
        <v>29</v>
      </c>
      <c r="F2206" s="14" t="s">
        <v>30</v>
      </c>
      <c r="G2206" s="15" t="s">
        <v>17</v>
      </c>
      <c r="H2206" s="15" t="s">
        <v>18</v>
      </c>
      <c r="I2206" s="14" t="str">
        <f>IMAGE("https://upload.wikimedia.org/wikipedia/commons/e/e1/Valle_de_los_Halcones.jpg")</f>
        <v/>
      </c>
    </row>
    <row r="2207" ht="36.0" customHeight="1">
      <c r="A2207" s="16" t="str">
        <f>HYPERLINK("https://commons.wikimedia.org/wiki/User:" &amp; ENCODEURL("Adrianvargasag"), "Adrianvargasag")</f>
        <v>Adrianvargasag</v>
      </c>
      <c r="B2207" s="17" t="s">
        <v>4535</v>
      </c>
      <c r="C2207" s="18">
        <v>46144.1271412037</v>
      </c>
      <c r="D2207" s="17" t="s">
        <v>4536</v>
      </c>
      <c r="E2207" s="19" t="s">
        <v>4537</v>
      </c>
      <c r="F2207" s="20" t="s">
        <v>16</v>
      </c>
      <c r="G2207" s="20" t="s">
        <v>17</v>
      </c>
      <c r="H2207" s="20" t="s">
        <v>18</v>
      </c>
      <c r="I2207" s="19" t="str">
        <f>IMAGE("https://upload.wikimedia.org/wikipedia/commons/4/49/Valle_de_pastores.jpg")</f>
        <v/>
      </c>
    </row>
    <row r="2208" ht="36.0" customHeight="1">
      <c r="A2208" s="10" t="str">
        <f t="shared" ref="A2208:A2220" si="278">HYPERLINK("https://commons.wikimedia.org/wiki/User:" &amp; ENCODEURL("AmiGueko"), "AmiGueko")</f>
        <v>AmiGueko</v>
      </c>
      <c r="B2208" s="11" t="s">
        <v>4538</v>
      </c>
      <c r="C2208" s="12">
        <v>46201.85365740741</v>
      </c>
      <c r="D2208" s="11" t="s">
        <v>4539</v>
      </c>
      <c r="E2208" s="14" t="s">
        <v>4540</v>
      </c>
      <c r="F2208" s="15" t="s">
        <v>16</v>
      </c>
      <c r="G2208" s="15" t="s">
        <v>17</v>
      </c>
      <c r="H2208" s="15" t="s">
        <v>18</v>
      </c>
      <c r="I2208" s="14" t="str">
        <f>IMAGE("https://upload.wikimedia.org/wikipedia/commons/0/0d/Valle_del_Cocora_%2815646%29.jpg")</f>
        <v/>
      </c>
    </row>
    <row r="2209" ht="36.0" customHeight="1">
      <c r="A2209" s="16" t="str">
        <f t="shared" si="278"/>
        <v>AmiGueko</v>
      </c>
      <c r="B2209" s="17" t="s">
        <v>4541</v>
      </c>
      <c r="C2209" s="18">
        <v>46201.85337962963</v>
      </c>
      <c r="D2209" s="17" t="s">
        <v>4539</v>
      </c>
      <c r="E2209" s="19" t="s">
        <v>4542</v>
      </c>
      <c r="F2209" s="20" t="s">
        <v>16</v>
      </c>
      <c r="G2209" s="20" t="s">
        <v>17</v>
      </c>
      <c r="H2209" s="20" t="s">
        <v>18</v>
      </c>
      <c r="I2209" s="19" t="str">
        <f>IMAGE("https://upload.wikimedia.org/wikipedia/commons/b/b6/Valle_del_Cocora_%2884143%29.jpg")</f>
        <v/>
      </c>
    </row>
    <row r="2210" ht="36.0" customHeight="1">
      <c r="A2210" s="10" t="str">
        <f t="shared" si="278"/>
        <v>AmiGueko</v>
      </c>
      <c r="B2210" s="11" t="s">
        <v>4543</v>
      </c>
      <c r="C2210" s="12">
        <v>46203.81597222222</v>
      </c>
      <c r="D2210" s="11" t="s">
        <v>4544</v>
      </c>
      <c r="E2210" s="14" t="s">
        <v>490</v>
      </c>
      <c r="F2210" s="15" t="s">
        <v>16</v>
      </c>
      <c r="G2210" s="15" t="s">
        <v>17</v>
      </c>
      <c r="H2210" s="15" t="s">
        <v>18</v>
      </c>
      <c r="I2210" s="14" t="str">
        <f>IMAGE("https://upload.wikimedia.org/wikipedia/commons/c/c3/Valle_del_Cocora_junio_2025_03.jpg")</f>
        <v/>
      </c>
    </row>
    <row r="2211" ht="36.0" customHeight="1">
      <c r="A2211" s="16" t="str">
        <f t="shared" si="278"/>
        <v>AmiGueko</v>
      </c>
      <c r="B2211" s="17" t="s">
        <v>4545</v>
      </c>
      <c r="C2211" s="18">
        <v>46203.81600694444</v>
      </c>
      <c r="D2211" s="17" t="s">
        <v>4544</v>
      </c>
      <c r="E2211" s="19" t="s">
        <v>490</v>
      </c>
      <c r="F2211" s="20" t="s">
        <v>16</v>
      </c>
      <c r="G2211" s="20" t="s">
        <v>17</v>
      </c>
      <c r="H2211" s="20" t="s">
        <v>18</v>
      </c>
      <c r="I2211" s="19" t="str">
        <f>IMAGE("https://upload.wikimedia.org/wikipedia/commons/4/48/Valle_del_Cocora_junio_2025_05.jpg")</f>
        <v/>
      </c>
    </row>
    <row r="2212" ht="36.0" customHeight="1">
      <c r="A2212" s="10" t="str">
        <f t="shared" si="278"/>
        <v>AmiGueko</v>
      </c>
      <c r="B2212" s="11" t="s">
        <v>4546</v>
      </c>
      <c r="C2212" s="12">
        <v>46203.81606481481</v>
      </c>
      <c r="D2212" s="11" t="s">
        <v>4544</v>
      </c>
      <c r="E2212" s="14" t="s">
        <v>490</v>
      </c>
      <c r="F2212" s="15" t="s">
        <v>16</v>
      </c>
      <c r="G2212" s="15" t="s">
        <v>17</v>
      </c>
      <c r="H2212" s="15" t="s">
        <v>18</v>
      </c>
      <c r="I2212" s="14" t="str">
        <f>IMAGE("https://upload.wikimedia.org/wikipedia/commons/a/af/Valle_del_Cocora_junio_2025_08.jpg")</f>
        <v/>
      </c>
    </row>
    <row r="2213" ht="36.0" customHeight="1">
      <c r="A2213" s="16" t="str">
        <f t="shared" si="278"/>
        <v>AmiGueko</v>
      </c>
      <c r="B2213" s="17" t="s">
        <v>4547</v>
      </c>
      <c r="C2213" s="18">
        <v>46203.816087962965</v>
      </c>
      <c r="D2213" s="17" t="s">
        <v>4544</v>
      </c>
      <c r="E2213" s="19" t="s">
        <v>490</v>
      </c>
      <c r="F2213" s="20" t="s">
        <v>16</v>
      </c>
      <c r="G2213" s="20" t="s">
        <v>17</v>
      </c>
      <c r="H2213" s="20" t="s">
        <v>18</v>
      </c>
      <c r="I2213" s="19" t="str">
        <f>IMAGE("https://upload.wikimedia.org/wikipedia/commons/0/0b/Valle_del_Cocora_junio_2025_10.jpg")</f>
        <v/>
      </c>
    </row>
    <row r="2214" ht="36.0" customHeight="1">
      <c r="A2214" s="10" t="str">
        <f t="shared" si="278"/>
        <v>AmiGueko</v>
      </c>
      <c r="B2214" s="11" t="s">
        <v>4548</v>
      </c>
      <c r="C2214" s="12">
        <v>46203.81611111111</v>
      </c>
      <c r="D2214" s="11" t="s">
        <v>4544</v>
      </c>
      <c r="E2214" s="14" t="s">
        <v>490</v>
      </c>
      <c r="F2214" s="15" t="s">
        <v>16</v>
      </c>
      <c r="G2214" s="15" t="s">
        <v>17</v>
      </c>
      <c r="H2214" s="15" t="s">
        <v>18</v>
      </c>
      <c r="I2214" s="14" t="str">
        <f>IMAGE("https://upload.wikimedia.org/wikipedia/commons/c/cb/Valle_del_Cocora_junio_2025_13.jpg")</f>
        <v/>
      </c>
    </row>
    <row r="2215" ht="36.0" customHeight="1">
      <c r="A2215" s="16" t="str">
        <f t="shared" si="278"/>
        <v>AmiGueko</v>
      </c>
      <c r="B2215" s="17" t="s">
        <v>4549</v>
      </c>
      <c r="C2215" s="18">
        <v>46203.81612268519</v>
      </c>
      <c r="D2215" s="17" t="s">
        <v>4544</v>
      </c>
      <c r="E2215" s="19" t="s">
        <v>490</v>
      </c>
      <c r="F2215" s="20" t="s">
        <v>16</v>
      </c>
      <c r="G2215" s="20" t="s">
        <v>17</v>
      </c>
      <c r="H2215" s="20" t="s">
        <v>18</v>
      </c>
      <c r="I2215" s="19" t="str">
        <f>IMAGE("https://upload.wikimedia.org/wikipedia/commons/6/6c/Valle_del_Cocora_junio_2025_14.jpg")</f>
        <v/>
      </c>
    </row>
    <row r="2216" ht="36.0" customHeight="1">
      <c r="A2216" s="10" t="str">
        <f t="shared" si="278"/>
        <v>AmiGueko</v>
      </c>
      <c r="B2216" s="11" t="s">
        <v>4550</v>
      </c>
      <c r="C2216" s="12">
        <v>46203.81613425926</v>
      </c>
      <c r="D2216" s="11" t="s">
        <v>4544</v>
      </c>
      <c r="E2216" s="14" t="s">
        <v>490</v>
      </c>
      <c r="F2216" s="15" t="s">
        <v>16</v>
      </c>
      <c r="G2216" s="15" t="s">
        <v>17</v>
      </c>
      <c r="H2216" s="15" t="s">
        <v>18</v>
      </c>
      <c r="I2216" s="14" t="str">
        <f>IMAGE("https://upload.wikimedia.org/wikipedia/commons/8/84/Valle_del_Cocora_junio_2025_15.jpg")</f>
        <v/>
      </c>
    </row>
    <row r="2217" ht="36.0" customHeight="1">
      <c r="A2217" s="16" t="str">
        <f t="shared" si="278"/>
        <v>AmiGueko</v>
      </c>
      <c r="B2217" s="17" t="s">
        <v>4551</v>
      </c>
      <c r="C2217" s="18">
        <v>46203.81616898148</v>
      </c>
      <c r="D2217" s="17" t="s">
        <v>4544</v>
      </c>
      <c r="E2217" s="19" t="s">
        <v>490</v>
      </c>
      <c r="F2217" s="20" t="s">
        <v>16</v>
      </c>
      <c r="G2217" s="20" t="s">
        <v>17</v>
      </c>
      <c r="H2217" s="20" t="s">
        <v>18</v>
      </c>
      <c r="I2217" s="19" t="str">
        <f>IMAGE("https://upload.wikimedia.org/wikipedia/commons/a/ab/Valle_del_Cocora_junio_2025_18.jpg")</f>
        <v/>
      </c>
    </row>
    <row r="2218" ht="36.0" customHeight="1">
      <c r="A2218" s="10" t="str">
        <f t="shared" si="278"/>
        <v>AmiGueko</v>
      </c>
      <c r="B2218" s="11" t="s">
        <v>4552</v>
      </c>
      <c r="C2218" s="12">
        <v>46203.81616898148</v>
      </c>
      <c r="D2218" s="11" t="s">
        <v>4544</v>
      </c>
      <c r="E2218" s="14" t="s">
        <v>490</v>
      </c>
      <c r="F2218" s="15" t="s">
        <v>16</v>
      </c>
      <c r="G2218" s="15" t="s">
        <v>17</v>
      </c>
      <c r="H2218" s="15" t="s">
        <v>18</v>
      </c>
      <c r="I2218" s="14" t="str">
        <f>IMAGE("https://upload.wikimedia.org/wikipedia/commons/5/57/Valle_del_Cocora_junio_2025_19.jpg")</f>
        <v/>
      </c>
    </row>
    <row r="2219" ht="36.0" customHeight="1">
      <c r="A2219" s="16" t="str">
        <f t="shared" si="278"/>
        <v>AmiGueko</v>
      </c>
      <c r="B2219" s="17" t="s">
        <v>4553</v>
      </c>
      <c r="C2219" s="18">
        <v>46203.81621527778</v>
      </c>
      <c r="D2219" s="17" t="s">
        <v>4544</v>
      </c>
      <c r="E2219" s="19" t="s">
        <v>490</v>
      </c>
      <c r="F2219" s="20" t="s">
        <v>16</v>
      </c>
      <c r="G2219" s="20" t="s">
        <v>17</v>
      </c>
      <c r="H2219" s="20" t="s">
        <v>18</v>
      </c>
      <c r="I2219" s="19" t="str">
        <f>IMAGE("https://upload.wikimedia.org/wikipedia/commons/d/d0/Valle_del_Cocora_junio_2025_21.jpg")</f>
        <v/>
      </c>
    </row>
    <row r="2220" ht="36.0" customHeight="1">
      <c r="A2220" s="10" t="str">
        <f t="shared" si="278"/>
        <v>AmiGueko</v>
      </c>
      <c r="B2220" s="11" t="s">
        <v>4554</v>
      </c>
      <c r="C2220" s="12">
        <v>46203.81626157407</v>
      </c>
      <c r="D2220" s="11" t="s">
        <v>4544</v>
      </c>
      <c r="E2220" s="14" t="s">
        <v>490</v>
      </c>
      <c r="F2220" s="15" t="s">
        <v>16</v>
      </c>
      <c r="G2220" s="15" t="s">
        <v>17</v>
      </c>
      <c r="H2220" s="15" t="s">
        <v>18</v>
      </c>
      <c r="I2220" s="14" t="str">
        <f>IMAGE("https://upload.wikimedia.org/wikipedia/commons/8/8a/Valle_del_Cocora_junio_2025_25.jpg")</f>
        <v/>
      </c>
    </row>
    <row r="2221" ht="36.0" customHeight="1">
      <c r="A2221" s="16" t="str">
        <f>HYPERLINK("https://commons.wikimedia.org/wiki/User:" &amp; ENCODEURL("Camell32"), "Camell32")</f>
        <v>Camell32</v>
      </c>
      <c r="B2221" s="17" t="s">
        <v>4555</v>
      </c>
      <c r="C2221" s="18">
        <v>46163.50858796296</v>
      </c>
      <c r="D2221" s="17" t="s">
        <v>4556</v>
      </c>
      <c r="E2221" s="19" t="s">
        <v>29</v>
      </c>
      <c r="F2221" s="19" t="s">
        <v>30</v>
      </c>
      <c r="G2221" s="20" t="s">
        <v>17</v>
      </c>
      <c r="H2221" s="20" t="s">
        <v>18</v>
      </c>
      <c r="I2221" s="19" t="str">
        <f>IMAGE("https://upload.wikimedia.org/wikipedia/commons/0/09/Valle_del_cocora_15_de_abril_de_2025.jpg")</f>
        <v/>
      </c>
    </row>
    <row r="2222" ht="36.0" customHeight="1">
      <c r="A2222" s="10" t="str">
        <f t="shared" ref="A2222:A2224" si="279">HYPERLINK("https://commons.wikimedia.org/wiki/User:" &amp; ENCODEURL("AmiGueko"), "AmiGueko")</f>
        <v>AmiGueko</v>
      </c>
      <c r="B2222" s="11" t="s">
        <v>4557</v>
      </c>
      <c r="C2222" s="12">
        <v>46201.85136574074</v>
      </c>
      <c r="D2222" s="11" t="s">
        <v>4539</v>
      </c>
      <c r="E2222" s="14" t="s">
        <v>4558</v>
      </c>
      <c r="F2222" s="15" t="s">
        <v>16</v>
      </c>
      <c r="G2222" s="15" t="s">
        <v>17</v>
      </c>
      <c r="H2222" s="15" t="s">
        <v>18</v>
      </c>
      <c r="I2222" s="14" t="str">
        <f>IMAGE("https://upload.wikimedia.org/wikipedia/commons/a/a6/Valle_del_Cocora.jpg")</f>
        <v/>
      </c>
    </row>
    <row r="2223" ht="36.0" customHeight="1">
      <c r="A2223" s="16" t="str">
        <f t="shared" si="279"/>
        <v>AmiGueko</v>
      </c>
      <c r="B2223" s="17" t="s">
        <v>4559</v>
      </c>
      <c r="C2223" s="18">
        <v>46203.81625</v>
      </c>
      <c r="D2223" s="17" t="s">
        <v>4544</v>
      </c>
      <c r="E2223" s="19" t="s">
        <v>490</v>
      </c>
      <c r="F2223" s="20" t="s">
        <v>16</v>
      </c>
      <c r="G2223" s="20" t="s">
        <v>17</v>
      </c>
      <c r="H2223" s="20" t="s">
        <v>18</v>
      </c>
      <c r="I2223" s="19" t="str">
        <f>IMAGE("https://upload.wikimedia.org/wikipedia/commons/9/9f/Valle_del_Cocora_junio_2025_26.jpg")</f>
        <v/>
      </c>
    </row>
    <row r="2224" ht="36.0" customHeight="1">
      <c r="A2224" s="10" t="str">
        <f t="shared" si="279"/>
        <v>AmiGueko</v>
      </c>
      <c r="B2224" s="11" t="s">
        <v>4560</v>
      </c>
      <c r="C2224" s="12">
        <v>46203.816296296296</v>
      </c>
      <c r="D2224" s="11" t="s">
        <v>4544</v>
      </c>
      <c r="E2224" s="14" t="s">
        <v>490</v>
      </c>
      <c r="F2224" s="15" t="s">
        <v>16</v>
      </c>
      <c r="G2224" s="15" t="s">
        <v>17</v>
      </c>
      <c r="H2224" s="15" t="s">
        <v>18</v>
      </c>
      <c r="I2224" s="14" t="str">
        <f>IMAGE("https://upload.wikimedia.org/wikipedia/commons/0/08/Valle_del_Cocora_junio_2025_30.jpg")</f>
        <v/>
      </c>
    </row>
    <row r="2225" ht="36.0" customHeight="1">
      <c r="A2225" s="16" t="str">
        <f>HYPERLINK("https://commons.wikimedia.org/wiki/User:" &amp; ENCODEURL("Adrianvargasag"), "Adrianvargasag")</f>
        <v>Adrianvargasag</v>
      </c>
      <c r="B2225" s="17" t="s">
        <v>4561</v>
      </c>
      <c r="C2225" s="18">
        <v>46144.12709490741</v>
      </c>
      <c r="D2225" s="17" t="s">
        <v>4562</v>
      </c>
      <c r="E2225" s="19" t="s">
        <v>29</v>
      </c>
      <c r="F2225" s="19" t="s">
        <v>30</v>
      </c>
      <c r="G2225" s="20" t="s">
        <v>17</v>
      </c>
      <c r="H2225" s="20" t="s">
        <v>18</v>
      </c>
      <c r="I2225" s="19" t="str">
        <f>IMAGE("https://upload.wikimedia.org/wikipedia/commons/e/e1/Valle_del_C%C3%B3cora%2C_Quindio_-_Colombia.jpg")</f>
        <v/>
      </c>
    </row>
    <row r="2226" ht="36.0" customHeight="1">
      <c r="A2226" s="10" t="str">
        <f>HYPERLINK("https://commons.wikimedia.org/wiki/User:" &amp; ENCODEURL("Camell32"), "Camell32")</f>
        <v>Camell32</v>
      </c>
      <c r="B2226" s="11" t="s">
        <v>4563</v>
      </c>
      <c r="C2226" s="12">
        <v>46163.52627314815</v>
      </c>
      <c r="D2226" s="11" t="s">
        <v>4564</v>
      </c>
      <c r="E2226" s="14" t="s">
        <v>29</v>
      </c>
      <c r="F2226" s="14" t="s">
        <v>30</v>
      </c>
      <c r="G2226" s="15" t="s">
        <v>17</v>
      </c>
      <c r="H2226" s="15" t="s">
        <v>18</v>
      </c>
      <c r="I2226" s="14" t="str">
        <f>IMAGE("https://upload.wikimedia.org/wikipedia/commons/f/ff/Valle_del_C%C3%B3cora_15_abril_2025_2.jpg")</f>
        <v/>
      </c>
    </row>
    <row r="2227" ht="36.0" customHeight="1">
      <c r="A2227" s="16" t="str">
        <f>HYPERLINK("https://commons.wikimedia.org/wiki/User:" &amp; ENCODEURL("Adrianava.yviene"), "Adrianava.yviene")</f>
        <v>Adrianava.yviene</v>
      </c>
      <c r="B2227" s="17" t="s">
        <v>4565</v>
      </c>
      <c r="C2227" s="18">
        <v>46198.55793981482</v>
      </c>
      <c r="D2227" s="17" t="s">
        <v>4566</v>
      </c>
      <c r="E2227" s="19" t="s">
        <v>29</v>
      </c>
      <c r="F2227" s="19" t="s">
        <v>30</v>
      </c>
      <c r="G2227" s="20" t="s">
        <v>17</v>
      </c>
      <c r="H2227" s="20" t="s">
        <v>18</v>
      </c>
      <c r="I2227" s="19" t="str">
        <f>IMAGE("https://upload.wikimedia.org/wikipedia/commons/7/70/Valle_del_Magdalena.jpg")</f>
        <v/>
      </c>
    </row>
    <row r="2228" ht="36.0" customHeight="1">
      <c r="A2228" s="10" t="str">
        <f>HYPERLINK("https://commons.wikimedia.org/wiki/User:" &amp; ENCODEURL("JJCL09"), "JJCL09")</f>
        <v>JJCL09</v>
      </c>
      <c r="B2228" s="11" t="s">
        <v>4567</v>
      </c>
      <c r="C2228" s="12">
        <v>46147.8816087963</v>
      </c>
      <c r="D2228" s="11" t="s">
        <v>4568</v>
      </c>
      <c r="E2228" s="14" t="s">
        <v>4569</v>
      </c>
      <c r="F2228" s="15" t="s">
        <v>16</v>
      </c>
      <c r="G2228" s="15" t="s">
        <v>17</v>
      </c>
      <c r="H2228" s="15" t="s">
        <v>18</v>
      </c>
      <c r="I2228" s="14" t="str">
        <f>IMAGE("https://upload.wikimedia.org/wikipedia/commons/1/13/Valles_de_seda_Azul.jpg")</f>
        <v/>
      </c>
    </row>
    <row r="2229" ht="36.0" customHeight="1">
      <c r="A2229" s="16" t="str">
        <f t="shared" ref="A2229:A2230" si="280">HYPERLINK("https://commons.wikimedia.org/wiki/User:" &amp; ENCODEURL("Diferoch"), "Diferoch")</f>
        <v>Diferoch</v>
      </c>
      <c r="B2229" s="17" t="s">
        <v>4570</v>
      </c>
      <c r="C2229" s="18">
        <v>46170.911215277774</v>
      </c>
      <c r="D2229" s="17" t="s">
        <v>4571</v>
      </c>
      <c r="E2229" s="19" t="s">
        <v>4572</v>
      </c>
      <c r="F2229" s="20" t="s">
        <v>16</v>
      </c>
      <c r="G2229" s="20" t="s">
        <v>17</v>
      </c>
      <c r="H2229" s="20" t="s">
        <v>18</v>
      </c>
      <c r="I2229" s="19" t="str">
        <f>IMAGE("https://upload.wikimedia.org/wikipedia/commons/e/e6/Vanellus_chilensis_cayennensis_-_Piedecuesta%2C_Santander%2C_Colombia_-_7_Jun_2026_-_Diferoch_-_1.jpg")</f>
        <v/>
      </c>
    </row>
    <row r="2230" ht="36.0" customHeight="1">
      <c r="A2230" s="10" t="str">
        <f t="shared" si="280"/>
        <v>Diferoch</v>
      </c>
      <c r="B2230" s="11" t="s">
        <v>4573</v>
      </c>
      <c r="C2230" s="12">
        <v>46170.911215277774</v>
      </c>
      <c r="D2230" s="11" t="s">
        <v>4574</v>
      </c>
      <c r="E2230" s="14" t="s">
        <v>4575</v>
      </c>
      <c r="F2230" s="15" t="s">
        <v>16</v>
      </c>
      <c r="G2230" s="15" t="s">
        <v>17</v>
      </c>
      <c r="H2230" s="15" t="s">
        <v>18</v>
      </c>
      <c r="I2230" s="14" t="str">
        <f>IMAGE("https://upload.wikimedia.org/wikipedia/commons/e/e3/Vanellus_chilensis_cayennensis_-_Piedecuesta%2C_Santander%2C_Colombia_-_7_Jun_2026_-_Diferoch_-_2.jpg")</f>
        <v/>
      </c>
    </row>
    <row r="2231" ht="36.0" customHeight="1">
      <c r="A2231" s="16" t="str">
        <f>HYPERLINK("https://commons.wikimedia.org/wiki/User:" &amp; ENCODEURL("Elcrespodeloscuentos"), "Elcrespodeloscuentos")</f>
        <v>Elcrespodeloscuentos</v>
      </c>
      <c r="B2231" s="17" t="s">
        <v>4576</v>
      </c>
      <c r="C2231" s="18">
        <v>46203.94855324074</v>
      </c>
      <c r="D2231" s="17" t="s">
        <v>4577</v>
      </c>
      <c r="E2231" s="19" t="s">
        <v>29</v>
      </c>
      <c r="F2231" s="19" t="s">
        <v>30</v>
      </c>
      <c r="G2231" s="20" t="s">
        <v>17</v>
      </c>
      <c r="H2231" s="20" t="s">
        <v>18</v>
      </c>
      <c r="I2231" s="19" t="str">
        <f>IMAGE("https://upload.wikimedia.org/wikipedia/commons/d/df/Variedad_de_Castilleja_P%C3%A1ramo_de_Belmira.jpg")</f>
        <v/>
      </c>
    </row>
    <row r="2232" ht="36.0" customHeight="1">
      <c r="A2232" s="10" t="str">
        <f>HYPERLINK("https://commons.wikimedia.org/wiki/User:" &amp; ENCODEURL("SergioM01"), "SergioM01")</f>
        <v>SergioM01</v>
      </c>
      <c r="B2232" s="11" t="s">
        <v>4578</v>
      </c>
      <c r="C2232" s="12">
        <v>46197.70179398148</v>
      </c>
      <c r="D2232" s="11" t="s">
        <v>4579</v>
      </c>
      <c r="E2232" s="14" t="s">
        <v>2002</v>
      </c>
      <c r="F2232" s="15" t="s">
        <v>16</v>
      </c>
      <c r="G2232" s="15" t="s">
        <v>17</v>
      </c>
      <c r="H2232" s="15" t="s">
        <v>18</v>
      </c>
      <c r="I2232" s="14" t="str">
        <f>IMAGE("https://upload.wikimedia.org/wikipedia/commons/2/21/Vegetaci%C3%B3n_de_p%C3%A1ramo_2025-12-24.jpg")</f>
        <v/>
      </c>
    </row>
    <row r="2233" ht="36.0" customHeight="1">
      <c r="A2233" s="16" t="str">
        <f>HYPERLINK("https://commons.wikimedia.org/wiki/User:" &amp; ENCODEURL("Andres Ggalindo"), "Andres Ggalindo")</f>
        <v>Andres Ggalindo</v>
      </c>
      <c r="B2233" s="17" t="s">
        <v>4580</v>
      </c>
      <c r="C2233" s="18">
        <v>46203.998252314814</v>
      </c>
      <c r="D2233" s="17" t="s">
        <v>4581</v>
      </c>
      <c r="E2233" s="19" t="s">
        <v>29</v>
      </c>
      <c r="F2233" s="19" t="s">
        <v>30</v>
      </c>
      <c r="G2233" s="20" t="s">
        <v>17</v>
      </c>
      <c r="H2233" s="20" t="s">
        <v>18</v>
      </c>
      <c r="I2233" s="19" t="str">
        <f>IMAGE("https://upload.wikimedia.org/wikipedia/commons/c/c1/Venado_en_el_Parque_Nacional_Natural_El_Cocuy.jpg")</f>
        <v/>
      </c>
    </row>
    <row r="2234" ht="36.0" customHeight="1">
      <c r="A2234" s="10" t="str">
        <f>HYPERLINK("https://commons.wikimedia.org/wiki/User:" &amp; ENCODEURL("JJCL09"), "JJCL09")</f>
        <v>JJCL09</v>
      </c>
      <c r="B2234" s="11" t="s">
        <v>4582</v>
      </c>
      <c r="C2234" s="12">
        <v>46147.881585648145</v>
      </c>
      <c r="D2234" s="11" t="s">
        <v>4583</v>
      </c>
      <c r="E2234" s="14" t="s">
        <v>4584</v>
      </c>
      <c r="F2234" s="15" t="s">
        <v>16</v>
      </c>
      <c r="G2234" s="15" t="s">
        <v>17</v>
      </c>
      <c r="H2234" s="15" t="s">
        <v>18</v>
      </c>
      <c r="I2234" s="14" t="str">
        <f>IMAGE("https://upload.wikimedia.org/wikipedia/commons/d/d3/Venas_blancas.jpg")</f>
        <v/>
      </c>
    </row>
    <row r="2235" ht="36.0" customHeight="1">
      <c r="A2235" s="16" t="str">
        <f>HYPERLINK("https://commons.wikimedia.org/wiki/User:" &amp; ENCODEURL("Laupedrazaa"), "Laupedrazaa")</f>
        <v>Laupedrazaa</v>
      </c>
      <c r="B2235" s="17" t="s">
        <v>4585</v>
      </c>
      <c r="C2235" s="18">
        <v>46167.8553125</v>
      </c>
      <c r="D2235" s="17" t="s">
        <v>4586</v>
      </c>
      <c r="E2235" s="19" t="s">
        <v>29</v>
      </c>
      <c r="F2235" s="19" t="s">
        <v>30</v>
      </c>
      <c r="G2235" s="20" t="s">
        <v>17</v>
      </c>
      <c r="H2235" s="20" t="s">
        <v>18</v>
      </c>
      <c r="I2235" s="19" t="str">
        <f>IMAGE("https://upload.wikimedia.org/wikipedia/commons/1/1a/Ventana_a_Santander.jpg")</f>
        <v/>
      </c>
    </row>
    <row r="2236" ht="36.0" customHeight="1">
      <c r="A2236" s="10" t="str">
        <f>HYPERLINK("https://commons.wikimedia.org/wiki/User:" &amp; ENCODEURL("Halleyuncometafotografo"), "Halleyuncometafotografo")</f>
        <v>Halleyuncometafotografo</v>
      </c>
      <c r="B2236" s="11" t="s">
        <v>4587</v>
      </c>
      <c r="C2236" s="12">
        <v>46203.932546296295</v>
      </c>
      <c r="D2236" s="11" t="s">
        <v>4588</v>
      </c>
      <c r="E2236" s="14" t="s">
        <v>29</v>
      </c>
      <c r="F2236" s="14" t="s">
        <v>30</v>
      </c>
      <c r="G2236" s="15" t="s">
        <v>17</v>
      </c>
      <c r="H2236" s="15" t="s">
        <v>18</v>
      </c>
      <c r="I2236" s="14" t="str">
        <f>IMAGE("https://upload.wikimedia.org/wikipedia/commons/2/22/Verde_absoluto.jpg")</f>
        <v/>
      </c>
    </row>
    <row r="2237" ht="36.0" customHeight="1">
      <c r="A2237" s="16" t="str">
        <f>HYPERLINK("https://commons.wikimedia.org/wiki/User:" &amp; ENCODEURL("Laupedrazaa"), "Laupedrazaa")</f>
        <v>Laupedrazaa</v>
      </c>
      <c r="B2237" s="17" t="s">
        <v>4589</v>
      </c>
      <c r="C2237" s="18">
        <v>46167.87564814815</v>
      </c>
      <c r="D2237" s="17" t="s">
        <v>4590</v>
      </c>
      <c r="E2237" s="19" t="s">
        <v>29</v>
      </c>
      <c r="F2237" s="19" t="s">
        <v>30</v>
      </c>
      <c r="G2237" s="20" t="s">
        <v>17</v>
      </c>
      <c r="H2237" s="20" t="s">
        <v>18</v>
      </c>
      <c r="I2237" s="19" t="str">
        <f>IMAGE("https://upload.wikimedia.org/wikipedia/commons/5/50/Verde_como_la_vida.jpg")</f>
        <v/>
      </c>
    </row>
    <row r="2238" ht="36.0" customHeight="1">
      <c r="A2238" s="10" t="str">
        <f>HYPERLINK("https://commons.wikimedia.org/wiki/User:" &amp; ENCODEURL("Johannelob"), "Johannelob")</f>
        <v>Johannelob</v>
      </c>
      <c r="B2238" s="11" t="s">
        <v>4591</v>
      </c>
      <c r="C2238" s="12">
        <v>46200.680752314816</v>
      </c>
      <c r="D2238" s="11" t="s">
        <v>4592</v>
      </c>
      <c r="E2238" s="14" t="s">
        <v>223</v>
      </c>
      <c r="F2238" s="15" t="s">
        <v>16</v>
      </c>
      <c r="G2238" s="15" t="s">
        <v>17</v>
      </c>
      <c r="H2238" s="15" t="s">
        <v>18</v>
      </c>
      <c r="I2238" s="14" t="str">
        <f>IMAGE("https://upload.wikimedia.org/wikipedia/commons/8/8c/Verde_en_un_fondo_verde.jpg")</f>
        <v/>
      </c>
    </row>
    <row r="2239" ht="36.0" customHeight="1">
      <c r="A2239" s="16" t="str">
        <f>HYPERLINK("https://commons.wikimedia.org/wiki/User:" &amp; ENCODEURL("Adrianava.yviene"), "Adrianava.yviene")</f>
        <v>Adrianava.yviene</v>
      </c>
      <c r="B2239" s="17" t="s">
        <v>4593</v>
      </c>
      <c r="C2239" s="18">
        <v>46198.55803240741</v>
      </c>
      <c r="D2239" s="17" t="s">
        <v>4594</v>
      </c>
      <c r="E2239" s="19" t="s">
        <v>29</v>
      </c>
      <c r="F2239" s="19" t="s">
        <v>30</v>
      </c>
      <c r="G2239" s="20" t="s">
        <v>17</v>
      </c>
      <c r="H2239" s="20" t="s">
        <v>18</v>
      </c>
      <c r="I2239" s="19" t="str">
        <f>IMAGE("https://upload.wikimedia.org/wikipedia/commons/e/ed/Vereda_El_Verj%C3%B3n_Bajo.jpg")</f>
        <v/>
      </c>
    </row>
    <row r="2240" ht="36.0" customHeight="1">
      <c r="A2240" s="10" t="str">
        <f>HYPERLINK("https://commons.wikimedia.org/wiki/User:" &amp; ENCODEURL("Avargasc1"), "Avargasc1")</f>
        <v>Avargasc1</v>
      </c>
      <c r="B2240" s="11" t="s">
        <v>4595</v>
      </c>
      <c r="C2240" s="12">
        <v>46171.32125</v>
      </c>
      <c r="D2240" s="11" t="s">
        <v>4596</v>
      </c>
      <c r="E2240" s="14" t="s">
        <v>29</v>
      </c>
      <c r="F2240" s="14" t="s">
        <v>30</v>
      </c>
      <c r="G2240" s="15" t="s">
        <v>17</v>
      </c>
      <c r="H2240" s="15" t="s">
        <v>18</v>
      </c>
      <c r="I2240" s="14" t="str">
        <f>IMAGE("https://upload.wikimedia.org/wikipedia/commons/4/43/Vermilion_Flycatcher%2C_macho.jpg")</f>
        <v/>
      </c>
    </row>
    <row r="2241" ht="36.0" customHeight="1">
      <c r="A2241" s="16" t="str">
        <f>HYPERLINK("https://commons.wikimedia.org/wiki/User:" &amp; ENCODEURL("Maarianacruzm"), "Maarianacruzm")</f>
        <v>Maarianacruzm</v>
      </c>
      <c r="B2241" s="17" t="s">
        <v>4597</v>
      </c>
      <c r="C2241" s="18">
        <v>46203.98011574074</v>
      </c>
      <c r="D2241" s="17" t="s">
        <v>4598</v>
      </c>
      <c r="E2241" s="19" t="s">
        <v>29</v>
      </c>
      <c r="F2241" s="19" t="s">
        <v>30</v>
      </c>
      <c r="G2241" s="20" t="s">
        <v>17</v>
      </c>
      <c r="H2241" s="20" t="s">
        <v>18</v>
      </c>
      <c r="I2241" s="19" t="str">
        <f>IMAGE("https://upload.wikimedia.org/wikipedia/commons/6/6c/Viajera_del_oc%C3%A9ano.jpg")</f>
        <v/>
      </c>
    </row>
    <row r="2242" ht="36.0" customHeight="1">
      <c r="A2242" s="10" t="str">
        <f>HYPERLINK("https://commons.wikimedia.org/wiki/User:" &amp; ENCODEURL("AmiGueko"), "AmiGueko")</f>
        <v>AmiGueko</v>
      </c>
      <c r="B2242" s="11" t="s">
        <v>4599</v>
      </c>
      <c r="C2242" s="12">
        <v>46177.89863425926</v>
      </c>
      <c r="D2242" s="11" t="s">
        <v>4600</v>
      </c>
      <c r="E2242" s="14" t="s">
        <v>29</v>
      </c>
      <c r="F2242" s="14" t="s">
        <v>30</v>
      </c>
      <c r="G2242" s="15" t="s">
        <v>17</v>
      </c>
      <c r="H2242" s="15" t="s">
        <v>18</v>
      </c>
      <c r="I2242" s="14" t="str">
        <f>IMAGE("https://upload.wikimedia.org/wikipedia/commons/e/e6/Victoria_amazonica_mayo_de_2026.jpg")</f>
        <v/>
      </c>
    </row>
    <row r="2243" ht="36.0" customHeight="1">
      <c r="A2243" s="16" t="str">
        <f>HYPERLINK("https://commons.wikimedia.org/wiki/User:" &amp; ENCODEURL("Supertita"), "Supertita")</f>
        <v>Supertita</v>
      </c>
      <c r="B2243" s="17" t="s">
        <v>4601</v>
      </c>
      <c r="C2243" s="18">
        <v>46192.65467592593</v>
      </c>
      <c r="D2243" s="17" t="s">
        <v>4602</v>
      </c>
      <c r="E2243" s="19" t="s">
        <v>249</v>
      </c>
      <c r="F2243" s="20" t="s">
        <v>16</v>
      </c>
      <c r="G2243" s="20" t="s">
        <v>17</v>
      </c>
      <c r="H2243" s="20" t="s">
        <v>18</v>
      </c>
      <c r="I2243" s="19" t="str">
        <f>IMAGE("https://upload.wikimedia.org/wikipedia/commons/4/41/Victoria_amaz%C3%B3nica_florecida_en_el_Tropicario_del_Jard%C3%ADn_Bot%C3%A1nico_de_Bogota.jpg")</f>
        <v/>
      </c>
    </row>
    <row r="2244" ht="36.0" customHeight="1">
      <c r="A2244" s="10" t="str">
        <f>HYPERLINK("https://commons.wikimedia.org/wiki/User:" &amp; ENCODEURL("LentedeBerilo"), "LentedeBerilo")</f>
        <v>LentedeBerilo</v>
      </c>
      <c r="B2244" s="11" t="s">
        <v>4603</v>
      </c>
      <c r="C2244" s="12">
        <v>46190.74193287037</v>
      </c>
      <c r="D2244" s="11" t="s">
        <v>4604</v>
      </c>
      <c r="E2244" s="14" t="s">
        <v>2122</v>
      </c>
      <c r="F2244" s="15" t="s">
        <v>16</v>
      </c>
      <c r="G2244" s="15" t="s">
        <v>17</v>
      </c>
      <c r="H2244" s="15" t="s">
        <v>18</v>
      </c>
      <c r="I2244" s="14" t="str">
        <f>IMAGE("https://upload.wikimedia.org/wikipedia/commons/3/3a/Vida_fluyendo_a_trav%C3%A9s_de_los_paramos.jpg")</f>
        <v/>
      </c>
    </row>
    <row r="2245" ht="36.0" customHeight="1">
      <c r="A2245" s="16" t="str">
        <f>HYPERLINK("https://commons.wikimedia.org/wiki/User:" &amp; ENCODEURL("CHAVESJUAN19"), "CHAVESJUAN19")</f>
        <v>CHAVESJUAN19</v>
      </c>
      <c r="B2245" s="17" t="s">
        <v>4605</v>
      </c>
      <c r="C2245" s="18">
        <v>46203.962175925924</v>
      </c>
      <c r="D2245" s="17" t="s">
        <v>4606</v>
      </c>
      <c r="E2245" s="19" t="s">
        <v>29</v>
      </c>
      <c r="F2245" s="19" t="s">
        <v>30</v>
      </c>
      <c r="G2245" s="20" t="s">
        <v>17</v>
      </c>
      <c r="H2245" s="20" t="s">
        <v>18</v>
      </c>
      <c r="I2245" s="19" t="str">
        <f>IMAGE("https://upload.wikimedia.org/wikipedia/commons/f/fe/Vientres_del_Purac%C3%A9_-_PNN_Purac%C3%A9.jpg")</f>
        <v/>
      </c>
    </row>
    <row r="2246" ht="36.0" customHeight="1">
      <c r="A2246" s="10" t="str">
        <f t="shared" ref="A2246:A2247" si="281">HYPERLINK("https://commons.wikimedia.org/wiki/User:" &amp; ENCODEURL("Joseeem"), "Joseeem")</f>
        <v>Joseeem</v>
      </c>
      <c r="B2246" s="11" t="s">
        <v>4607</v>
      </c>
      <c r="C2246" s="12">
        <v>46156.94483796296</v>
      </c>
      <c r="D2246" s="11" t="s">
        <v>4608</v>
      </c>
      <c r="E2246" s="14" t="s">
        <v>29</v>
      </c>
      <c r="F2246" s="14" t="s">
        <v>30</v>
      </c>
      <c r="G2246" s="15" t="s">
        <v>17</v>
      </c>
      <c r="H2246" s="15" t="s">
        <v>18</v>
      </c>
      <c r="I2246" s="14" t="str">
        <f>IMAGE("https://upload.wikimedia.org/wikipedia/commons/9/96/View_from_the_Santa_marta_Airport.jpg")</f>
        <v/>
      </c>
    </row>
    <row r="2247" ht="36.0" customHeight="1">
      <c r="A2247" s="16" t="str">
        <f t="shared" si="281"/>
        <v>Joseeem</v>
      </c>
      <c r="B2247" s="17" t="s">
        <v>4609</v>
      </c>
      <c r="C2247" s="18">
        <v>46156.94490740741</v>
      </c>
      <c r="D2247" s="17" t="s">
        <v>4610</v>
      </c>
      <c r="E2247" s="19" t="s">
        <v>29</v>
      </c>
      <c r="F2247" s="19" t="s">
        <v>30</v>
      </c>
      <c r="G2247" s="20" t="s">
        <v>17</v>
      </c>
      <c r="H2247" s="20" t="s">
        <v>18</v>
      </c>
      <c r="I2247" s="19" t="str">
        <f>IMAGE("https://upload.wikimedia.org/wikipedia/commons/3/3a/View_of_Valle_Del_Cauca.jpg")</f>
        <v/>
      </c>
    </row>
    <row r="2248" ht="36.0" customHeight="1">
      <c r="A2248" s="10" t="str">
        <f>HYPERLINK("https://commons.wikimedia.org/wiki/User:" &amp; ENCODEURL("Jhon Barrera"), "Jhon Barrera")</f>
        <v>Jhon Barrera</v>
      </c>
      <c r="B2248" s="11" t="s">
        <v>4611</v>
      </c>
      <c r="C2248" s="12">
        <v>46166.72896990741</v>
      </c>
      <c r="D2248" s="11" t="s">
        <v>4612</v>
      </c>
      <c r="E2248" s="14" t="s">
        <v>29</v>
      </c>
      <c r="F2248" s="14" t="s">
        <v>30</v>
      </c>
      <c r="G2248" s="15" t="s">
        <v>17</v>
      </c>
      <c r="H2248" s="15" t="s">
        <v>18</v>
      </c>
      <c r="I2248" s="14" t="str">
        <f>IMAGE("https://upload.wikimedia.org/wikipedia/commons/0/00/Vigilancia_entre_el_follaje.jpg")</f>
        <v/>
      </c>
    </row>
    <row r="2249" ht="36.0" customHeight="1">
      <c r="A2249" s="16" t="str">
        <f t="shared" ref="A2249:A2251" si="282">HYPERLINK("https://commons.wikimedia.org/wiki/User:" &amp; ENCODEURL("NycDM"), "NycDM")</f>
        <v>NycDM</v>
      </c>
      <c r="B2249" s="17" t="s">
        <v>4613</v>
      </c>
      <c r="C2249" s="18">
        <v>46162.76681712963</v>
      </c>
      <c r="D2249" s="17" t="s">
        <v>4614</v>
      </c>
      <c r="E2249" s="19" t="s">
        <v>4615</v>
      </c>
      <c r="F2249" s="20" t="s">
        <v>16</v>
      </c>
      <c r="G2249" s="20" t="s">
        <v>17</v>
      </c>
      <c r="H2249" s="20" t="s">
        <v>18</v>
      </c>
      <c r="I2249" s="19" t="str">
        <f>IMAGE("https://upload.wikimedia.org/wikipedia/commons/5/53/Villavicencio%2CColombia.jpg")</f>
        <v/>
      </c>
    </row>
    <row r="2250" ht="36.0" customHeight="1">
      <c r="A2250" s="10" t="str">
        <f t="shared" si="282"/>
        <v>NycDM</v>
      </c>
      <c r="B2250" s="11" t="s">
        <v>4616</v>
      </c>
      <c r="C2250" s="12">
        <v>46162.76684027778</v>
      </c>
      <c r="D2250" s="11" t="s">
        <v>4617</v>
      </c>
      <c r="E2250" s="14" t="s">
        <v>29</v>
      </c>
      <c r="F2250" s="14" t="s">
        <v>30</v>
      </c>
      <c r="G2250" s="15" t="s">
        <v>17</v>
      </c>
      <c r="H2250" s="15" t="s">
        <v>18</v>
      </c>
      <c r="I2250" s="14" t="str">
        <f>IMAGE("https://upload.wikimedia.org/wikipedia/commons/5/56/Villavicencio%2CColombia.png")</f>
        <v/>
      </c>
    </row>
    <row r="2251" ht="36.0" customHeight="1">
      <c r="A2251" s="16" t="str">
        <f t="shared" si="282"/>
        <v>NycDM</v>
      </c>
      <c r="B2251" s="17" t="s">
        <v>4618</v>
      </c>
      <c r="C2251" s="18">
        <v>46162.7668287037</v>
      </c>
      <c r="D2251" s="17" t="s">
        <v>4619</v>
      </c>
      <c r="E2251" s="19" t="s">
        <v>4620</v>
      </c>
      <c r="F2251" s="20" t="s">
        <v>16</v>
      </c>
      <c r="G2251" s="20" t="s">
        <v>17</v>
      </c>
      <c r="H2251" s="20" t="s">
        <v>18</v>
      </c>
      <c r="I2251" s="19" t="str">
        <f>IMAGE("https://upload.wikimedia.org/wikipedia/commons/a/ae/Villavicencio%2C_Colombia.jpg")</f>
        <v/>
      </c>
    </row>
    <row r="2252" ht="36.0" customHeight="1">
      <c r="A2252" s="10" t="str">
        <f>HYPERLINK("https://commons.wikimedia.org/wiki/User:" &amp; ENCODEURL("Camell32"), "Camell32")</f>
        <v>Camell32</v>
      </c>
      <c r="B2252" s="11" t="s">
        <v>4621</v>
      </c>
      <c r="C2252" s="12">
        <v>46163.53099537037</v>
      </c>
      <c r="D2252" s="11" t="s">
        <v>4622</v>
      </c>
      <c r="E2252" s="14" t="s">
        <v>29</v>
      </c>
      <c r="F2252" s="14" t="s">
        <v>30</v>
      </c>
      <c r="G2252" s="15" t="s">
        <v>17</v>
      </c>
      <c r="H2252" s="15" t="s">
        <v>18</v>
      </c>
      <c r="I2252" s="14" t="str">
        <f>IMAGE("https://upload.wikimedia.org/wikipedia/commons/9/95/Vinca_Major_28_de_marzo_de_2025.jpg")</f>
        <v/>
      </c>
    </row>
    <row r="2253" ht="36.0" customHeight="1">
      <c r="A2253" s="16" t="str">
        <f t="shared" ref="A2253:A2254" si="283">HYPERLINK("https://commons.wikimedia.org/wiki/User:" &amp; ENCODEURL("Torres María"), "Torres María")</f>
        <v>Torres María</v>
      </c>
      <c r="B2253" s="17" t="s">
        <v>4623</v>
      </c>
      <c r="C2253" s="18">
        <v>46157.63990740741</v>
      </c>
      <c r="D2253" s="17" t="s">
        <v>4624</v>
      </c>
      <c r="E2253" s="19" t="s">
        <v>29</v>
      </c>
      <c r="F2253" s="19" t="s">
        <v>30</v>
      </c>
      <c r="G2253" s="20" t="s">
        <v>17</v>
      </c>
      <c r="H2253" s="20" t="s">
        <v>18</v>
      </c>
      <c r="I2253" s="19" t="str">
        <f>IMAGE("https://upload.wikimedia.org/wikipedia/commons/d/da/Vintage_Cactus.jpg")</f>
        <v/>
      </c>
    </row>
    <row r="2254" ht="36.0" customHeight="1">
      <c r="A2254" s="10" t="str">
        <f t="shared" si="283"/>
        <v>Torres María</v>
      </c>
      <c r="B2254" s="11" t="s">
        <v>4625</v>
      </c>
      <c r="C2254" s="12">
        <v>46157.63993055555</v>
      </c>
      <c r="D2254" s="11" t="s">
        <v>4626</v>
      </c>
      <c r="E2254" s="14" t="s">
        <v>29</v>
      </c>
      <c r="F2254" s="14" t="s">
        <v>30</v>
      </c>
      <c r="G2254" s="15" t="s">
        <v>17</v>
      </c>
      <c r="H2254" s="15" t="s">
        <v>18</v>
      </c>
      <c r="I2254" s="14" t="str">
        <f>IMAGE("https://upload.wikimedia.org/wikipedia/commons/b/b6/Vintage_tree.jpg")</f>
        <v/>
      </c>
    </row>
    <row r="2255" ht="36.0" customHeight="1">
      <c r="A2255" s="16" t="str">
        <f>HYPERLINK("https://commons.wikimedia.org/wiki/User:" &amp; ENCODEURL("Charlesjsharp"), "Charlesjsharp")</f>
        <v>Charlesjsharp</v>
      </c>
      <c r="B2255" s="17" t="s">
        <v>4627</v>
      </c>
      <c r="C2255" s="18">
        <v>46171.64212962963</v>
      </c>
      <c r="D2255" s="17" t="s">
        <v>4628</v>
      </c>
      <c r="E2255" s="19" t="s">
        <v>3756</v>
      </c>
      <c r="F2255" s="20" t="s">
        <v>16</v>
      </c>
      <c r="G2255" s="20" t="s">
        <v>17</v>
      </c>
      <c r="H2255" s="20" t="s">
        <v>18</v>
      </c>
      <c r="I2255" s="19" t="str">
        <f>IMAGE("https://upload.wikimedia.org/wikipedia/commons/9/98/Violet-tailed_sylph_%28Aglaiocercus_coelestis%29_male_Las_Tangaras.jpg")</f>
        <v/>
      </c>
    </row>
    <row r="2256" ht="36.0" customHeight="1">
      <c r="A2256" s="10" t="str">
        <f>HYPERLINK("https://commons.wikimedia.org/wiki/User:" &amp; ENCODEURL("Nathaly 1106"), "Nathaly 1106")</f>
        <v>Nathaly 1106</v>
      </c>
      <c r="B2256" s="11" t="s">
        <v>4629</v>
      </c>
      <c r="C2256" s="12">
        <v>46148.95736111111</v>
      </c>
      <c r="D2256" s="11" t="s">
        <v>4630</v>
      </c>
      <c r="E2256" s="14" t="s">
        <v>29</v>
      </c>
      <c r="F2256" s="14" t="s">
        <v>30</v>
      </c>
      <c r="G2256" s="15" t="s">
        <v>17</v>
      </c>
      <c r="H2256" s="15" t="s">
        <v>18</v>
      </c>
      <c r="I2256" s="14" t="str">
        <f>IMAGE("https://upload.wikimedia.org/wikipedia/commons/3/3a/Vista_a_la_bah%C3%ADa_de_Taganga_%28Magdalena%29.jpg")</f>
        <v/>
      </c>
    </row>
    <row r="2257" ht="36.0" customHeight="1">
      <c r="A2257" s="16" t="str">
        <f>HYPERLINK("https://commons.wikimedia.org/wiki/User:" &amp; ENCODEURL("Johan Andrés Toro"), "Johan Andrés Toro")</f>
        <v>Johan Andrés Toro</v>
      </c>
      <c r="B2257" s="17" t="s">
        <v>4631</v>
      </c>
      <c r="C2257" s="18">
        <v>46166.95689814815</v>
      </c>
      <c r="D2257" s="17" t="s">
        <v>4632</v>
      </c>
      <c r="E2257" s="19" t="s">
        <v>29</v>
      </c>
      <c r="F2257" s="19" t="s">
        <v>30</v>
      </c>
      <c r="G2257" s="20" t="s">
        <v>17</v>
      </c>
      <c r="H2257" s="20" t="s">
        <v>18</v>
      </c>
      <c r="I2257" s="19" t="str">
        <f>IMAGE("https://upload.wikimedia.org/wikipedia/commons/8/8b/Vista_a_la_zona_principal_y_muelle_de_Capurgan%C3%A1_Colombia.jpg")</f>
        <v/>
      </c>
    </row>
    <row r="2258" ht="36.0" customHeight="1">
      <c r="A2258" s="10" t="str">
        <f t="shared" ref="A2258:A2261" si="284">HYPERLINK("https://commons.wikimedia.org/wiki/User:" &amp; ENCODEURL("Nathaly 1106"), "Nathaly 1106")</f>
        <v>Nathaly 1106</v>
      </c>
      <c r="B2258" s="11" t="s">
        <v>4633</v>
      </c>
      <c r="C2258" s="12">
        <v>46148.95711805556</v>
      </c>
      <c r="D2258" s="11" t="s">
        <v>4634</v>
      </c>
      <c r="E2258" s="14" t="s">
        <v>29</v>
      </c>
      <c r="F2258" s="14" t="s">
        <v>30</v>
      </c>
      <c r="G2258" s="15" t="s">
        <v>17</v>
      </c>
      <c r="H2258" s="15" t="s">
        <v>18</v>
      </c>
      <c r="I2258" s="14" t="str">
        <f>IMAGE("https://upload.wikimedia.org/wikipedia/commons/7/73/Vista_al_Rodadero_-_Santa_Marta_%28Colombia%29.jpg")</f>
        <v/>
      </c>
    </row>
    <row r="2259" ht="36.0" customHeight="1">
      <c r="A2259" s="16" t="str">
        <f t="shared" si="284"/>
        <v>Nathaly 1106</v>
      </c>
      <c r="B2259" s="17" t="s">
        <v>4635</v>
      </c>
      <c r="C2259" s="18">
        <v>46148.957337962966</v>
      </c>
      <c r="D2259" s="17" t="s">
        <v>4636</v>
      </c>
      <c r="E2259" s="19" t="s">
        <v>29</v>
      </c>
      <c r="F2259" s="19" t="s">
        <v>30</v>
      </c>
      <c r="G2259" s="20" t="s">
        <v>17</v>
      </c>
      <c r="H2259" s="20" t="s">
        <v>18</v>
      </c>
      <c r="I2259" s="19" t="str">
        <f>IMAGE("https://upload.wikimedia.org/wikipedia/commons/6/67/Vista_al_embalse_de_Pe%C3%B1ol-Guatap%C3%A9_%28Antioquia%29.jpg")</f>
        <v/>
      </c>
    </row>
    <row r="2260" ht="36.0" customHeight="1">
      <c r="A2260" s="10" t="str">
        <f t="shared" si="284"/>
        <v>Nathaly 1106</v>
      </c>
      <c r="B2260" s="11" t="s">
        <v>4637</v>
      </c>
      <c r="C2260" s="12">
        <v>46148.957083333335</v>
      </c>
      <c r="D2260" s="11" t="s">
        <v>1540</v>
      </c>
      <c r="E2260" s="14" t="s">
        <v>29</v>
      </c>
      <c r="F2260" s="14" t="s">
        <v>30</v>
      </c>
      <c r="G2260" s="15" t="s">
        <v>17</v>
      </c>
      <c r="H2260" s="15" t="s">
        <v>18</v>
      </c>
      <c r="I2260" s="14" t="str">
        <f>IMAGE("https://upload.wikimedia.org/wikipedia/commons/4/4d/Vista_al_mar_desde_Santa_Marta_%28Colombia%29.jpg")</f>
        <v/>
      </c>
    </row>
    <row r="2261" ht="36.0" customHeight="1">
      <c r="A2261" s="16" t="str">
        <f t="shared" si="284"/>
        <v>Nathaly 1106</v>
      </c>
      <c r="B2261" s="17" t="s">
        <v>4638</v>
      </c>
      <c r="C2261" s="18">
        <v>46148.95711805556</v>
      </c>
      <c r="D2261" s="17" t="s">
        <v>4639</v>
      </c>
      <c r="E2261" s="19" t="s">
        <v>29</v>
      </c>
      <c r="F2261" s="19" t="s">
        <v>30</v>
      </c>
      <c r="G2261" s="20" t="s">
        <v>17</v>
      </c>
      <c r="H2261" s="20" t="s">
        <v>18</v>
      </c>
      <c r="I2261" s="19" t="str">
        <f>IMAGE("https://upload.wikimedia.org/wikipedia/commons/2/22/Vista_al_morro_desde_el_malec%C3%B3n_de_Santa_Marta_%28Colombia%29.jpg")</f>
        <v/>
      </c>
    </row>
    <row r="2262" ht="36.0" customHeight="1">
      <c r="A2262" s="10" t="str">
        <f>HYPERLINK("https://commons.wikimedia.org/wiki/User:" &amp; ENCODEURL("Mara Yurlady"), "Mara Yurlady")</f>
        <v>Mara Yurlady</v>
      </c>
      <c r="B2262" s="11" t="s">
        <v>4640</v>
      </c>
      <c r="C2262" s="12">
        <v>45713.86635416667</v>
      </c>
      <c r="D2262" s="11" t="s">
        <v>4641</v>
      </c>
      <c r="E2262" s="14" t="s">
        <v>29</v>
      </c>
      <c r="F2262" s="14" t="s">
        <v>30</v>
      </c>
      <c r="G2262" s="15" t="s">
        <v>17</v>
      </c>
      <c r="H2262" s="15" t="s">
        <v>18</v>
      </c>
      <c r="I2262" s="14" t="str">
        <f>IMAGE("https://upload.wikimedia.org/wikipedia/commons/0/08/Vista_Cadena_volc%C3%A1nica_Los_Coconucos.jpg")</f>
        <v/>
      </c>
    </row>
    <row r="2263" ht="36.0" customHeight="1">
      <c r="A2263" s="16" t="str">
        <f>HYPERLINK("https://commons.wikimedia.org/wiki/User:" &amp; ENCODEURL("Mfrancoavellaneda"), "Mfrancoavellaneda")</f>
        <v>Mfrancoavellaneda</v>
      </c>
      <c r="B2263" s="17" t="s">
        <v>4642</v>
      </c>
      <c r="C2263" s="18">
        <v>46203.838229166664</v>
      </c>
      <c r="D2263" s="17" t="s">
        <v>2431</v>
      </c>
      <c r="E2263" s="19" t="s">
        <v>29</v>
      </c>
      <c r="F2263" s="19" t="s">
        <v>30</v>
      </c>
      <c r="G2263" s="20" t="s">
        <v>17</v>
      </c>
      <c r="H2263" s="20" t="s">
        <v>18</v>
      </c>
      <c r="I2263" s="19" t="str">
        <f>IMAGE("https://upload.wikimedia.org/wikipedia/commons/2/2f/Vista_Jard%C3%ADn_Bot%C3%A1nico_Cali.jpg")</f>
        <v/>
      </c>
    </row>
    <row r="2264" ht="36.0" customHeight="1">
      <c r="A2264" s="10" t="str">
        <f>HYPERLINK("https://commons.wikimedia.org/wiki/User:" &amp; ENCODEURL("Nathaly 1106"), "Nathaly 1106")</f>
        <v>Nathaly 1106</v>
      </c>
      <c r="B2264" s="11" t="s">
        <v>4643</v>
      </c>
      <c r="C2264" s="12">
        <v>46148.63145833334</v>
      </c>
      <c r="D2264" s="11" t="s">
        <v>4644</v>
      </c>
      <c r="E2264" s="14" t="s">
        <v>29</v>
      </c>
      <c r="F2264" s="14" t="s">
        <v>30</v>
      </c>
      <c r="G2264" s="15" t="s">
        <v>17</v>
      </c>
      <c r="H2264" s="15" t="s">
        <v>18</v>
      </c>
      <c r="I2264" s="14" t="str">
        <f>IMAGE("https://upload.wikimedia.org/wikipedia/commons/f/f2/Vista_Palma_de_cera_%28Ceroxylon_quindiuense%29.jpg")</f>
        <v/>
      </c>
    </row>
    <row r="2265" ht="36.0" customHeight="1">
      <c r="A2265" s="16" t="str">
        <f>HYPERLINK("https://commons.wikimedia.org/wiki/User:" &amp; ENCODEURL("Andres Ggalindo"), "Andres Ggalindo")</f>
        <v>Andres Ggalindo</v>
      </c>
      <c r="B2265" s="17" t="s">
        <v>4645</v>
      </c>
      <c r="C2265" s="18">
        <v>46203.99828703704</v>
      </c>
      <c r="D2265" s="17" t="s">
        <v>4646</v>
      </c>
      <c r="E2265" s="19" t="s">
        <v>29</v>
      </c>
      <c r="F2265" s="19" t="s">
        <v>30</v>
      </c>
      <c r="G2265" s="20" t="s">
        <v>17</v>
      </c>
      <c r="H2265" s="20" t="s">
        <v>18</v>
      </c>
      <c r="I2265" s="19" t="str">
        <f>IMAGE("https://upload.wikimedia.org/wikipedia/commons/a/ab/Vista_Parque_Nacional_Natural_El_Cocuy.jpg")</f>
        <v/>
      </c>
    </row>
    <row r="2266" ht="36.0" customHeight="1">
      <c r="A2266" s="10" t="str">
        <f t="shared" ref="A2266:A2269" si="285">HYPERLINK("https://commons.wikimedia.org/wiki/User:" &amp; ENCODEURL("Johan Andrés Toro"), "Johan Andrés Toro")</f>
        <v>Johan Andrés Toro</v>
      </c>
      <c r="B2266" s="11" t="s">
        <v>4647</v>
      </c>
      <c r="C2266" s="12">
        <v>46171.490752314814</v>
      </c>
      <c r="D2266" s="11" t="s">
        <v>4648</v>
      </c>
      <c r="E2266" s="14" t="s">
        <v>4649</v>
      </c>
      <c r="F2266" s="15" t="s">
        <v>16</v>
      </c>
      <c r="G2266" s="15" t="s">
        <v>17</v>
      </c>
      <c r="H2266" s="15" t="s">
        <v>18</v>
      </c>
      <c r="I2266" s="14" t="str">
        <f>IMAGE("https://upload.wikimedia.org/wikipedia/commons/e/e1/Vista_a%C3%A9rea_cenital_de_la_cresta_rocosa_en_Sutatausa.jpg")</f>
        <v/>
      </c>
    </row>
    <row r="2267" ht="36.0" customHeight="1">
      <c r="A2267" s="16" t="str">
        <f t="shared" si="285"/>
        <v>Johan Andrés Toro</v>
      </c>
      <c r="B2267" s="17" t="s">
        <v>4650</v>
      </c>
      <c r="C2267" s="18">
        <v>46171.49086805555</v>
      </c>
      <c r="D2267" s="17" t="s">
        <v>4651</v>
      </c>
      <c r="E2267" s="19" t="s">
        <v>4652</v>
      </c>
      <c r="F2267" s="20" t="s">
        <v>16</v>
      </c>
      <c r="G2267" s="20" t="s">
        <v>17</v>
      </c>
      <c r="H2267" s="20" t="s">
        <v>18</v>
      </c>
      <c r="I2267" s="19" t="str">
        <f>IMAGE("https://upload.wikimedia.org/wikipedia/commons/5/5e/Vista_a%C3%A9rea_del_pliegue_monta%C3%B1oso_de_Sutatausa.jpg")</f>
        <v/>
      </c>
    </row>
    <row r="2268" ht="36.0" customHeight="1">
      <c r="A2268" s="10" t="str">
        <f t="shared" si="285"/>
        <v>Johan Andrés Toro</v>
      </c>
      <c r="B2268" s="11" t="s">
        <v>4653</v>
      </c>
      <c r="C2268" s="12">
        <v>46171.626921296294</v>
      </c>
      <c r="D2268" s="11" t="s">
        <v>4654</v>
      </c>
      <c r="E2268" s="14" t="s">
        <v>4655</v>
      </c>
      <c r="F2268" s="15" t="s">
        <v>16</v>
      </c>
      <c r="G2268" s="15" t="s">
        <v>17</v>
      </c>
      <c r="H2268" s="15" t="s">
        <v>18</v>
      </c>
      <c r="I2268" s="14" t="str">
        <f>IMAGE("https://upload.wikimedia.org/wikipedia/commons/3/31/Vista_cenital_de_la_fuerza_del_agua_en_el_Salto_del_Tequendama.jpg")</f>
        <v/>
      </c>
    </row>
    <row r="2269" ht="36.0" customHeight="1">
      <c r="A2269" s="16" t="str">
        <f t="shared" si="285"/>
        <v>Johan Andrés Toro</v>
      </c>
      <c r="B2269" s="17" t="s">
        <v>4656</v>
      </c>
      <c r="C2269" s="18">
        <v>46166.95688657407</v>
      </c>
      <c r="D2269" s="17" t="s">
        <v>4657</v>
      </c>
      <c r="E2269" s="19" t="s">
        <v>29</v>
      </c>
      <c r="F2269" s="19" t="s">
        <v>30</v>
      </c>
      <c r="G2269" s="20" t="s">
        <v>17</v>
      </c>
      <c r="H2269" s="20" t="s">
        <v>18</v>
      </c>
      <c r="I2269" s="19" t="str">
        <f>IMAGE("https://upload.wikimedia.org/wikipedia/commons/b/b0/Vista_de_un_Manglar_en_la_selva_del_Darien.jpg")</f>
        <v/>
      </c>
    </row>
    <row r="2270" ht="36.0" customHeight="1">
      <c r="A2270" s="10" t="str">
        <f>HYPERLINK("https://commons.wikimedia.org/wiki/User:" &amp; ENCODEURL("Willandre1194"), "Willandre1194")</f>
        <v>Willandre1194</v>
      </c>
      <c r="B2270" s="11" t="s">
        <v>4658</v>
      </c>
      <c r="C2270" s="12">
        <v>46155.66097222222</v>
      </c>
      <c r="D2270" s="11" t="s">
        <v>4659</v>
      </c>
      <c r="E2270" s="14" t="s">
        <v>29</v>
      </c>
      <c r="F2270" s="14" t="s">
        <v>30</v>
      </c>
      <c r="G2270" s="15" t="s">
        <v>17</v>
      </c>
      <c r="H2270" s="15" t="s">
        <v>18</v>
      </c>
      <c r="I2270" s="14" t="str">
        <f>IMAGE("https://upload.wikimedia.org/wikipedia/commons/8/8d/Vista_del_Nevado_del_Ruiz%2C_Colombia.jpg")</f>
        <v/>
      </c>
    </row>
    <row r="2271" ht="36.0" customHeight="1">
      <c r="A2271" s="16" t="str">
        <f>HYPERLINK("https://commons.wikimedia.org/wiki/User:" &amp; ENCODEURL("Mig.ast20"), "Mig.ast20")</f>
        <v>Mig.ast20</v>
      </c>
      <c r="B2271" s="17" t="s">
        <v>4660</v>
      </c>
      <c r="C2271" s="18">
        <v>46163.570069444446</v>
      </c>
      <c r="D2271" s="17" t="s">
        <v>4661</v>
      </c>
      <c r="E2271" s="19" t="s">
        <v>29</v>
      </c>
      <c r="F2271" s="19" t="s">
        <v>30</v>
      </c>
      <c r="G2271" s="20" t="s">
        <v>17</v>
      </c>
      <c r="H2271" s="20" t="s">
        <v>18</v>
      </c>
      <c r="I2271" s="19" t="str">
        <f>IMAGE("https://upload.wikimedia.org/wikipedia/commons/a/a5/Vista_desde_el_Obelisco_de_Colombia.jpg")</f>
        <v/>
      </c>
    </row>
    <row r="2272" ht="36.0" customHeight="1">
      <c r="A2272" s="10" t="str">
        <f>HYPERLINK("https://commons.wikimedia.org/wiki/User:" &amp; ENCODEURL("Nathaly 1106"), "Nathaly 1106")</f>
        <v>Nathaly 1106</v>
      </c>
      <c r="B2272" s="11" t="s">
        <v>4662</v>
      </c>
      <c r="C2272" s="12">
        <v>46148.95701388889</v>
      </c>
      <c r="D2272" s="11" t="s">
        <v>4663</v>
      </c>
      <c r="E2272" s="14" t="s">
        <v>29</v>
      </c>
      <c r="F2272" s="14" t="s">
        <v>30</v>
      </c>
      <c r="G2272" s="15" t="s">
        <v>17</v>
      </c>
      <c r="H2272" s="15" t="s">
        <v>18</v>
      </c>
      <c r="I2272" s="14" t="str">
        <f>IMAGE("https://upload.wikimedia.org/wikipedia/commons/8/80/Vista_desde_la_Sierra_de_Santa_Marta_%28Colombia%29.jpg")</f>
        <v/>
      </c>
    </row>
    <row r="2273" ht="36.0" customHeight="1">
      <c r="A2273" s="16" t="str">
        <f>HYPERLINK("https://commons.wikimedia.org/wiki/User:" &amp; ENCODEURL("Zuly Myleny Gaita García"), "Zuly Myleny Gaita García")</f>
        <v>Zuly Myleny Gaita García</v>
      </c>
      <c r="B2273" s="17" t="s">
        <v>4664</v>
      </c>
      <c r="C2273" s="18">
        <v>46188.34883101852</v>
      </c>
      <c r="D2273" s="17" t="s">
        <v>4665</v>
      </c>
      <c r="E2273" s="19" t="s">
        <v>29</v>
      </c>
      <c r="F2273" s="19" t="s">
        <v>30</v>
      </c>
      <c r="G2273" s="20" t="s">
        <v>17</v>
      </c>
      <c r="H2273" s="20" t="s">
        <v>18</v>
      </c>
      <c r="I2273" s="19" t="str">
        <f>IMAGE("https://upload.wikimedia.org/wikipedia/commons/5/54/Vista_finca_la_seiba_la_granja_desde_Ortega_Tolima-_junio15.jpg")</f>
        <v/>
      </c>
    </row>
    <row r="2274" ht="36.0" customHeight="1">
      <c r="A2274" s="10" t="str">
        <f>HYPERLINK("https://commons.wikimedia.org/wiki/User:" &amp; ENCODEURL("Johan Andrés Toro"), "Johan Andrés Toro")</f>
        <v>Johan Andrés Toro</v>
      </c>
      <c r="B2274" s="11" t="s">
        <v>4666</v>
      </c>
      <c r="C2274" s="12">
        <v>46171.87663194445</v>
      </c>
      <c r="D2274" s="11" t="s">
        <v>4667</v>
      </c>
      <c r="E2274" s="14" t="s">
        <v>29</v>
      </c>
      <c r="F2274" s="14" t="s">
        <v>30</v>
      </c>
      <c r="G2274" s="15" t="s">
        <v>17</v>
      </c>
      <c r="H2274" s="15" t="s">
        <v>18</v>
      </c>
      <c r="I2274" s="14" t="str">
        <f>IMAGE("https://upload.wikimedia.org/wikipedia/commons/5/55/Vista_general_del_complejo_de_p%C3%A1ramo_de_Sumapaz.jpg")</f>
        <v/>
      </c>
    </row>
    <row r="2275" ht="36.0" customHeight="1">
      <c r="A2275" s="16" t="str">
        <f>HYPERLINK("https://commons.wikimedia.org/wiki/User:" &amp; ENCODEURL("Samir Riaño"), "Samir Riaño")</f>
        <v>Samir Riaño</v>
      </c>
      <c r="B2275" s="17" t="s">
        <v>4668</v>
      </c>
      <c r="C2275" s="18">
        <v>46146.66138888889</v>
      </c>
      <c r="D2275" s="17" t="s">
        <v>4669</v>
      </c>
      <c r="E2275" s="19" t="s">
        <v>29</v>
      </c>
      <c r="F2275" s="19" t="s">
        <v>30</v>
      </c>
      <c r="G2275" s="20" t="s">
        <v>17</v>
      </c>
      <c r="H2275" s="20" t="s">
        <v>18</v>
      </c>
      <c r="I2275" s="19" t="str">
        <f>IMAGE("https://upload.wikimedia.org/wikipedia/commons/5/53/Vista_hermosa_San_Crist%C3%B3bal.jpg")</f>
        <v/>
      </c>
    </row>
    <row r="2276" ht="36.0" customHeight="1">
      <c r="A2276" s="10" t="str">
        <f t="shared" ref="A2276:A2277" si="286">HYPERLINK("https://commons.wikimedia.org/wiki/User:" &amp; ENCODEURL("Yiyi93"), "Yiyi93")</f>
        <v>Yiyi93</v>
      </c>
      <c r="B2276" s="11" t="s">
        <v>4670</v>
      </c>
      <c r="C2276" s="12">
        <v>46163.58158564815</v>
      </c>
      <c r="D2276" s="11" t="s">
        <v>4671</v>
      </c>
      <c r="E2276" s="14" t="s">
        <v>29</v>
      </c>
      <c r="F2276" s="14" t="s">
        <v>30</v>
      </c>
      <c r="G2276" s="15" t="s">
        <v>17</v>
      </c>
      <c r="H2276" s="15" t="s">
        <v>18</v>
      </c>
      <c r="I2276" s="14" t="str">
        <f>IMAGE("https://upload.wikimedia.org/wikipedia/commons/3/34/Vista_panoramica_desde_la_universidad_de_la_salle.jpg")</f>
        <v/>
      </c>
    </row>
    <row r="2277" ht="36.0" customHeight="1">
      <c r="A2277" s="16" t="str">
        <f t="shared" si="286"/>
        <v>Yiyi93</v>
      </c>
      <c r="B2277" s="17" t="s">
        <v>4672</v>
      </c>
      <c r="C2277" s="18">
        <v>46163.53219907408</v>
      </c>
      <c r="D2277" s="17" t="s">
        <v>1901</v>
      </c>
      <c r="E2277" s="19" t="s">
        <v>29</v>
      </c>
      <c r="F2277" s="19" t="s">
        <v>30</v>
      </c>
      <c r="G2277" s="20" t="s">
        <v>17</v>
      </c>
      <c r="H2277" s="20" t="s">
        <v>18</v>
      </c>
      <c r="I2277" s="19" t="str">
        <f>IMAGE("https://upload.wikimedia.org/wikipedia/commons/1/1d/Vista_panor%C3%A1mica_de_guataqu%C3%AD_de_potos%C3%AD.jpg")</f>
        <v/>
      </c>
    </row>
    <row r="2278" ht="36.0" customHeight="1">
      <c r="A2278" s="10" t="str">
        <f>HYPERLINK("https://commons.wikimedia.org/wiki/User:" &amp; ENCODEURL("XimmoY"), "XimmoY")</f>
        <v>XimmoY</v>
      </c>
      <c r="B2278" s="11" t="s">
        <v>4673</v>
      </c>
      <c r="C2278" s="12">
        <v>46198.884409722225</v>
      </c>
      <c r="D2278" s="11" t="s">
        <v>4674</v>
      </c>
      <c r="E2278" s="14" t="s">
        <v>184</v>
      </c>
      <c r="F2278" s="15" t="s">
        <v>16</v>
      </c>
      <c r="G2278" s="15" t="s">
        <v>17</v>
      </c>
      <c r="H2278" s="15" t="s">
        <v>18</v>
      </c>
      <c r="I2278" s="14" t="str">
        <f>IMAGE("https://upload.wikimedia.org/wikipedia/commons/2/24/Vista_ventral_de_Hyloscirtus_palmeri.jpg")</f>
        <v/>
      </c>
    </row>
    <row r="2279" ht="36.0" customHeight="1">
      <c r="A2279" s="16" t="str">
        <f t="shared" ref="A2279:A2280" si="287">HYPERLINK("https://commons.wikimedia.org/wiki/User:" &amp; ENCODEURL("JuanitoCISF"), "JuanitoCISF")</f>
        <v>JuanitoCISF</v>
      </c>
      <c r="B2279" s="17" t="s">
        <v>4675</v>
      </c>
      <c r="C2279" s="18">
        <v>46170.45263888889</v>
      </c>
      <c r="D2279" s="17" t="s">
        <v>4676</v>
      </c>
      <c r="E2279" s="19" t="s">
        <v>4677</v>
      </c>
      <c r="F2279" s="20" t="s">
        <v>16</v>
      </c>
      <c r="G2279" s="20" t="s">
        <v>17</v>
      </c>
      <c r="H2279" s="20" t="s">
        <v>18</v>
      </c>
      <c r="I2279" s="19" t="str">
        <f>IMAGE("https://upload.wikimedia.org/wikipedia/commons/1/11/Vistas_boyacenses.jpg")</f>
        <v/>
      </c>
    </row>
    <row r="2280" ht="36.0" customHeight="1">
      <c r="A2280" s="10" t="str">
        <f t="shared" si="287"/>
        <v>JuanitoCISF</v>
      </c>
      <c r="B2280" s="11" t="s">
        <v>4678</v>
      </c>
      <c r="C2280" s="12">
        <v>46170.45260416667</v>
      </c>
      <c r="D2280" s="11" t="s">
        <v>4679</v>
      </c>
      <c r="E2280" s="14" t="s">
        <v>4680</v>
      </c>
      <c r="F2280" s="15" t="s">
        <v>16</v>
      </c>
      <c r="G2280" s="15" t="s">
        <v>17</v>
      </c>
      <c r="H2280" s="15" t="s">
        <v>18</v>
      </c>
      <c r="I2280" s="14" t="str">
        <f>IMAGE("https://upload.wikimedia.org/wikipedia/commons/2/26/Vistas_desde_la_plaza.jpg")</f>
        <v/>
      </c>
    </row>
    <row r="2281" ht="36.0" customHeight="1">
      <c r="A2281" s="16" t="str">
        <f>HYPERLINK("https://commons.wikimedia.org/wiki/User:" &amp; ENCODEURL("LentedeBerilo"), "LentedeBerilo")</f>
        <v>LentedeBerilo</v>
      </c>
      <c r="B2281" s="17" t="s">
        <v>4681</v>
      </c>
      <c r="C2281" s="18">
        <v>46190.74185185185</v>
      </c>
      <c r="D2281" s="17" t="s">
        <v>4682</v>
      </c>
      <c r="E2281" s="19" t="s">
        <v>4683</v>
      </c>
      <c r="F2281" s="20" t="s">
        <v>16</v>
      </c>
      <c r="G2281" s="20" t="s">
        <v>17</v>
      </c>
      <c r="H2281" s="20" t="s">
        <v>18</v>
      </c>
      <c r="I2281" s="19" t="str">
        <f>IMAGE("https://upload.wikimedia.org/wikipedia/commons/5/59/Vistazo_a_la_Isla_Gorgonilla.jpg")</f>
        <v/>
      </c>
    </row>
    <row r="2282" ht="36.0" customHeight="1">
      <c r="A2282" s="10" t="str">
        <f>HYPERLINK("https://commons.wikimedia.org/wiki/User:" &amp; ENCODEURL("Mfrancoavellaneda"), "Mfrancoavellaneda")</f>
        <v>Mfrancoavellaneda</v>
      </c>
      <c r="B2282" s="11" t="s">
        <v>4684</v>
      </c>
      <c r="C2282" s="12">
        <v>46203.71145833333</v>
      </c>
      <c r="D2282" s="11" t="s">
        <v>4685</v>
      </c>
      <c r="E2282" s="14" t="s">
        <v>4686</v>
      </c>
      <c r="F2282" s="15" t="s">
        <v>16</v>
      </c>
      <c r="G2282" s="15" t="s">
        <v>17</v>
      </c>
      <c r="H2282" s="15" t="s">
        <v>18</v>
      </c>
      <c r="I2282" s="14" t="str">
        <f>IMAGE("https://upload.wikimedia.org/wikipedia/commons/c/cb/Vitoria_regia_%28amaz%C3%B3nica%29.jpg")</f>
        <v/>
      </c>
    </row>
    <row r="2283" ht="36.0" customHeight="1">
      <c r="A2283" s="16" t="str">
        <f>HYPERLINK("https://commons.wikimedia.org/wiki/User:" &amp; ENCODEURL("Sandramirezgiraldo"), "Sandramirezgiraldo")</f>
        <v>Sandramirezgiraldo</v>
      </c>
      <c r="B2283" s="17" t="s">
        <v>4687</v>
      </c>
      <c r="C2283" s="18">
        <v>46203.97243055556</v>
      </c>
      <c r="D2283" s="17" t="s">
        <v>4688</v>
      </c>
      <c r="E2283" s="19" t="s">
        <v>29</v>
      </c>
      <c r="F2283" s="19" t="s">
        <v>30</v>
      </c>
      <c r="G2283" s="20" t="s">
        <v>17</v>
      </c>
      <c r="H2283" s="20" t="s">
        <v>18</v>
      </c>
      <c r="I2283" s="19" t="str">
        <f>IMAGE("https://upload.wikimedia.org/wikipedia/commons/a/a4/Viuda_Negra.jpg")</f>
        <v/>
      </c>
    </row>
    <row r="2284" ht="36.0" customHeight="1">
      <c r="A2284" s="10" t="str">
        <f>HYPERLINK("https://commons.wikimedia.org/wiki/User:" &amp; ENCODEURL("Dayrana Daniela Celedon Gamez"), "Dayrana Daniela Celedon Gamez")</f>
        <v>Dayrana Daniela Celedon Gamez</v>
      </c>
      <c r="B2284" s="11" t="s">
        <v>4689</v>
      </c>
      <c r="C2284" s="12">
        <v>46167.655636574076</v>
      </c>
      <c r="D2284" s="11" t="s">
        <v>4690</v>
      </c>
      <c r="E2284" s="14" t="s">
        <v>29</v>
      </c>
      <c r="F2284" s="14" t="s">
        <v>30</v>
      </c>
      <c r="G2284" s="15" t="s">
        <v>17</v>
      </c>
      <c r="H2284" s="15" t="s">
        <v>18</v>
      </c>
      <c r="I2284" s="14" t="str">
        <f>IMAGE("https://upload.wikimedia.org/wikipedia/commons/7/70/Viudita_blanca_y_negra_Ca%C3%B1averles%2C_La_Guajra.jpg")</f>
        <v/>
      </c>
    </row>
    <row r="2285" ht="36.0" customHeight="1">
      <c r="A2285" s="16" t="str">
        <f t="shared" ref="A2285:A2286" si="288">HYPERLINK("https://commons.wikimedia.org/wiki/User:" &amp; ENCODEURL("Willandre1194"), "Willandre1194")</f>
        <v>Willandre1194</v>
      </c>
      <c r="B2285" s="17" t="s">
        <v>4691</v>
      </c>
      <c r="C2285" s="18">
        <v>46155.660891203705</v>
      </c>
      <c r="D2285" s="17" t="s">
        <v>4692</v>
      </c>
      <c r="E2285" s="19" t="s">
        <v>29</v>
      </c>
      <c r="F2285" s="19" t="s">
        <v>30</v>
      </c>
      <c r="G2285" s="20" t="s">
        <v>17</v>
      </c>
      <c r="H2285" s="20" t="s">
        <v>18</v>
      </c>
      <c r="I2285" s="19" t="str">
        <f>IMAGE("https://upload.wikimedia.org/wikipedia/commons/b/be/Vi%C3%B1edo_en_Colombia.jpg")</f>
        <v/>
      </c>
    </row>
    <row r="2286" ht="36.0" customHeight="1">
      <c r="A2286" s="10" t="str">
        <f t="shared" si="288"/>
        <v>Willandre1194</v>
      </c>
      <c r="B2286" s="11" t="s">
        <v>4693</v>
      </c>
      <c r="C2286" s="12">
        <v>46155.661145833335</v>
      </c>
      <c r="D2286" s="11" t="s">
        <v>4694</v>
      </c>
      <c r="E2286" s="14" t="s">
        <v>29</v>
      </c>
      <c r="F2286" s="14" t="s">
        <v>30</v>
      </c>
      <c r="G2286" s="15" t="s">
        <v>17</v>
      </c>
      <c r="H2286" s="15" t="s">
        <v>18</v>
      </c>
      <c r="I2286" s="14" t="str">
        <f>IMAGE("https://upload.wikimedia.org/wikipedia/commons/1/16/Vi%C3%B1edos_en_La_Uni%C3%B3n%2C_Valle_del_Cauca.jpg")</f>
        <v/>
      </c>
    </row>
    <row r="2287" ht="36.0" customHeight="1">
      <c r="A2287" s="16" t="str">
        <f>HYPERLINK("https://commons.wikimedia.org/wiki/User:" &amp; ENCODEURL("IvanVillacorte"), "IvanVillacorte")</f>
        <v>IvanVillacorte</v>
      </c>
      <c r="B2287" s="17" t="s">
        <v>4695</v>
      </c>
      <c r="C2287" s="18">
        <v>46162.81943287037</v>
      </c>
      <c r="D2287" s="17" t="s">
        <v>4696</v>
      </c>
      <c r="E2287" s="19" t="s">
        <v>29</v>
      </c>
      <c r="F2287" s="19" t="s">
        <v>30</v>
      </c>
      <c r="G2287" s="20" t="s">
        <v>17</v>
      </c>
      <c r="H2287" s="20" t="s">
        <v>18</v>
      </c>
      <c r="I2287" s="19" t="str">
        <f>IMAGE("https://upload.wikimedia.org/wikipedia/commons/2/2a/Vocalizaci%C3%B3n_territorial_de_Cistothorus_platensis_en_h%C3%A1bitat_boscoso.jpg")</f>
        <v/>
      </c>
    </row>
    <row r="2288" ht="36.0" customHeight="1">
      <c r="A2288" s="10" t="str">
        <f>HYPERLINK("https://commons.wikimedia.org/wiki/User:" &amp; ENCODEURL("Jose Arbelaez 78"), "Jose Arbelaez 78")</f>
        <v>Jose Arbelaez 78</v>
      </c>
      <c r="B2288" s="11" t="s">
        <v>4697</v>
      </c>
      <c r="C2288" s="12">
        <v>46202.66034722222</v>
      </c>
      <c r="D2288" s="11" t="s">
        <v>4698</v>
      </c>
      <c r="E2288" s="14" t="s">
        <v>29</v>
      </c>
      <c r="F2288" s="14" t="s">
        <v>30</v>
      </c>
      <c r="G2288" s="15" t="s">
        <v>17</v>
      </c>
      <c r="H2288" s="15" t="s">
        <v>18</v>
      </c>
      <c r="I2288" s="14" t="str">
        <f>IMAGE("https://upload.wikimedia.org/wikipedia/commons/0/04/Vuelo_esmeralda.jpg")</f>
        <v/>
      </c>
    </row>
    <row r="2289" ht="36.0" customHeight="1">
      <c r="A2289" s="16" t="str">
        <f>HYPERLINK("https://commons.wikimedia.org/wiki/User:" &amp; ENCODEURL("Halleyuncometafotografo"), "Halleyuncometafotografo")</f>
        <v>Halleyuncometafotografo</v>
      </c>
      <c r="B2289" s="17" t="s">
        <v>4699</v>
      </c>
      <c r="C2289" s="18">
        <v>46203.898518518516</v>
      </c>
      <c r="D2289" s="17" t="s">
        <v>4700</v>
      </c>
      <c r="E2289" s="19" t="s">
        <v>29</v>
      </c>
      <c r="F2289" s="19" t="s">
        <v>30</v>
      </c>
      <c r="G2289" s="20" t="s">
        <v>17</v>
      </c>
      <c r="H2289" s="20" t="s">
        <v>18</v>
      </c>
      <c r="I2289" s="19" t="str">
        <f>IMAGE("https://upload.wikimedia.org/wikipedia/commons/4/45/Vuelo_hacia_el_n%C3%A9ctar_de_vida.jpg")</f>
        <v/>
      </c>
    </row>
    <row r="2290" ht="36.0" customHeight="1">
      <c r="A2290" s="10" t="str">
        <f>HYPERLINK("https://commons.wikimedia.org/wiki/User:" &amp; ENCODEURL("Johan Andrés Toro"), "Johan Andrés Toro")</f>
        <v>Johan Andrés Toro</v>
      </c>
      <c r="B2290" s="11" t="s">
        <v>4701</v>
      </c>
      <c r="C2290" s="12">
        <v>46176.945752314816</v>
      </c>
      <c r="D2290" s="11" t="s">
        <v>4702</v>
      </c>
      <c r="E2290" s="14" t="s">
        <v>29</v>
      </c>
      <c r="F2290" s="14" t="s">
        <v>30</v>
      </c>
      <c r="G2290" s="15" t="s">
        <v>17</v>
      </c>
      <c r="H2290" s="15" t="s">
        <v>18</v>
      </c>
      <c r="I2290" s="14" t="str">
        <f>IMAGE("https://upload.wikimedia.org/wikipedia/commons/2/2d/V%C3%ADa_L%C3%A1ctea_sobre_el_horizonte_de_la_Tatacoa.jpg")</f>
        <v/>
      </c>
    </row>
    <row r="2291" ht="36.0" customHeight="1">
      <c r="A2291" s="16" t="str">
        <f>HYPERLINK("https://commons.wikimedia.org/wiki/User:" &amp; ENCODEURL("Joseeem"), "Joseeem")</f>
        <v>Joseeem</v>
      </c>
      <c r="B2291" s="17" t="s">
        <v>4703</v>
      </c>
      <c r="C2291" s="18">
        <v>46156.94497685185</v>
      </c>
      <c r="D2291" s="17" t="s">
        <v>4704</v>
      </c>
      <c r="E2291" s="19" t="s">
        <v>29</v>
      </c>
      <c r="F2291" s="19" t="s">
        <v>30</v>
      </c>
      <c r="G2291" s="20" t="s">
        <v>17</v>
      </c>
      <c r="H2291" s="20" t="s">
        <v>18</v>
      </c>
      <c r="I2291" s="19" t="str">
        <f>IMAGE("https://upload.wikimedia.org/wikipedia/commons/4/4a/Wajira_Beaches.jpg")</f>
        <v/>
      </c>
    </row>
    <row r="2292" ht="36.0" customHeight="1">
      <c r="A2292" s="10" t="str">
        <f>HYPERLINK("https://commons.wikimedia.org/wiki/User:" &amp; ENCODEURL("ColombianFibonacci"), "ColombianFibonacci")</f>
        <v>ColombianFibonacci</v>
      </c>
      <c r="B2292" s="11" t="s">
        <v>4705</v>
      </c>
      <c r="C2292" s="12">
        <v>46162.707141203704</v>
      </c>
      <c r="D2292" s="11" t="s">
        <v>4706</v>
      </c>
      <c r="E2292" s="14" t="s">
        <v>29</v>
      </c>
      <c r="F2292" s="14" t="s">
        <v>30</v>
      </c>
      <c r="G2292" s="15" t="s">
        <v>17</v>
      </c>
      <c r="H2292" s="15" t="s">
        <v>18</v>
      </c>
      <c r="I2292" s="14" t="str">
        <f>IMAGE("https://upload.wikimedia.org/wikipedia/commons/e/ed/Walking_toward_paradise_in_Palomino.jpg")</f>
        <v/>
      </c>
    </row>
    <row r="2293" ht="36.0" customHeight="1">
      <c r="A2293" s="16" t="str">
        <f>HYPERLINK("https://commons.wikimedia.org/wiki/User:" &amp; ENCODEURL("Atomini"), "Atomini")</f>
        <v>Atomini</v>
      </c>
      <c r="B2293" s="17" t="s">
        <v>4707</v>
      </c>
      <c r="C2293" s="18">
        <v>46203.445127314815</v>
      </c>
      <c r="D2293" s="17" t="s">
        <v>4708</v>
      </c>
      <c r="E2293" s="19" t="s">
        <v>29</v>
      </c>
      <c r="F2293" s="19" t="s">
        <v>30</v>
      </c>
      <c r="G2293" s="20" t="s">
        <v>17</v>
      </c>
      <c r="H2293" s="20" t="s">
        <v>18</v>
      </c>
      <c r="I2293" s="19" t="str">
        <f>IMAGE("https://upload.wikimedia.org/wikipedia/commons/1/17/Wasp_nest_in_Plinio_Purpurata.jpg")</f>
        <v/>
      </c>
    </row>
    <row r="2294" ht="36.0" customHeight="1">
      <c r="A2294" s="10" t="str">
        <f>HYPERLINK("https://commons.wikimedia.org/wiki/User:" &amp; ENCODEURL("Supertita"), "Supertita")</f>
        <v>Supertita</v>
      </c>
      <c r="B2294" s="11" t="s">
        <v>4709</v>
      </c>
      <c r="C2294" s="12">
        <v>46192.60927083333</v>
      </c>
      <c r="D2294" s="11" t="s">
        <v>3130</v>
      </c>
      <c r="E2294" s="14" t="s">
        <v>604</v>
      </c>
      <c r="F2294" s="15" t="s">
        <v>16</v>
      </c>
      <c r="G2294" s="15" t="s">
        <v>17</v>
      </c>
      <c r="H2294" s="15" t="s">
        <v>18</v>
      </c>
      <c r="I2294" s="14" t="str">
        <f>IMAGE("https://upload.wikimedia.org/wikipedia/commons/b/b3/Waterlily_or_lotus.jpg")</f>
        <v/>
      </c>
    </row>
    <row r="2295" ht="36.0" customHeight="1">
      <c r="A2295" s="16" t="str">
        <f>HYPERLINK("https://commons.wikimedia.org/wiki/User:" &amp; ENCODEURL("Mottenpriesterin"), "Mottenpriesterin")</f>
        <v>Mottenpriesterin</v>
      </c>
      <c r="B2295" s="17" t="s">
        <v>4710</v>
      </c>
      <c r="C2295" s="18">
        <v>46202.91982638889</v>
      </c>
      <c r="D2295" s="17" t="s">
        <v>4711</v>
      </c>
      <c r="E2295" s="19" t="s">
        <v>29</v>
      </c>
      <c r="F2295" s="19" t="s">
        <v>30</v>
      </c>
      <c r="G2295" s="20" t="s">
        <v>17</v>
      </c>
      <c r="H2295" s="20" t="s">
        <v>18</v>
      </c>
      <c r="I2295" s="19" t="str">
        <f>IMAGE("https://upload.wikimedia.org/wikipedia/commons/3/35/Wax_Palms_in_the_Cocora_Valley%2C_2025.jpg")</f>
        <v/>
      </c>
    </row>
    <row r="2296" ht="36.0" customHeight="1">
      <c r="A2296" s="10" t="str">
        <f>HYPERLINK("https://commons.wikimedia.org/wiki/User:" &amp; ENCODEURL("Scarlettmarie27"), "Scarlettmarie27")</f>
        <v>Scarlettmarie27</v>
      </c>
      <c r="B2296" s="11" t="s">
        <v>4712</v>
      </c>
      <c r="C2296" s="12">
        <v>46203.885925925926</v>
      </c>
      <c r="D2296" s="11" t="s">
        <v>4713</v>
      </c>
      <c r="E2296" s="14" t="s">
        <v>29</v>
      </c>
      <c r="F2296" s="14" t="s">
        <v>30</v>
      </c>
      <c r="G2296" s="15" t="s">
        <v>17</v>
      </c>
      <c r="H2296" s="15" t="s">
        <v>18</v>
      </c>
      <c r="I2296" s="14" t="str">
        <f>IMAGE("https://upload.wikimedia.org/wikipedia/commons/7/70/Wearing_Colombia_Colors.jpg")</f>
        <v/>
      </c>
    </row>
    <row r="2297" ht="36.0" customHeight="1">
      <c r="A2297" s="16" t="str">
        <f>HYPERLINK("https://commons.wikimedia.org/wiki/User:" &amp; ENCODEURL("Mottenpriesterin"), "Mottenpriesterin")</f>
        <v>Mottenpriesterin</v>
      </c>
      <c r="B2297" s="17" t="s">
        <v>4714</v>
      </c>
      <c r="C2297" s="18">
        <v>46202.92010416667</v>
      </c>
      <c r="D2297" s="17" t="s">
        <v>4715</v>
      </c>
      <c r="E2297" s="19" t="s">
        <v>29</v>
      </c>
      <c r="F2297" s="19" t="s">
        <v>30</v>
      </c>
      <c r="G2297" s="20" t="s">
        <v>17</v>
      </c>
      <c r="H2297" s="20" t="s">
        <v>18</v>
      </c>
      <c r="I2297" s="19" t="str">
        <f>IMAGE("https://upload.wikimedia.org/wikipedia/commons/c/c8/Weathered_sandstone_boulders_on_an_eroded_hillside_near_Villa_de_Leyva%2C_2026.jpg")</f>
        <v/>
      </c>
    </row>
    <row r="2298" ht="36.0" customHeight="1">
      <c r="A2298" s="10" t="str">
        <f t="shared" ref="A2298:A2300" si="289">HYPERLINK("https://commons.wikimedia.org/wiki/User:" &amp; ENCODEURL("FranciscoFajardoG"), "FranciscoFajardoG")</f>
        <v>FranciscoFajardoG</v>
      </c>
      <c r="B2298" s="11" t="s">
        <v>4716</v>
      </c>
      <c r="C2298" s="12">
        <v>46177.806597222225</v>
      </c>
      <c r="D2298" s="11" t="s">
        <v>4717</v>
      </c>
      <c r="E2298" s="14" t="s">
        <v>4718</v>
      </c>
      <c r="F2298" s="15" t="s">
        <v>16</v>
      </c>
      <c r="G2298" s="15" t="s">
        <v>17</v>
      </c>
      <c r="H2298" s="15" t="s">
        <v>18</v>
      </c>
      <c r="I2298" s="14" t="str">
        <f>IMAGE("https://upload.wikimedia.org/wikipedia/commons/a/a7/Weinmannia_mariquitae%2C_Cunoniaceae%2C_flowering_branch_01.jpg")</f>
        <v/>
      </c>
    </row>
    <row r="2299" ht="36.0" customHeight="1">
      <c r="A2299" s="16" t="str">
        <f t="shared" si="289"/>
        <v>FranciscoFajardoG</v>
      </c>
      <c r="B2299" s="17" t="s">
        <v>4719</v>
      </c>
      <c r="C2299" s="18">
        <v>46177.806597222225</v>
      </c>
      <c r="D2299" s="17" t="s">
        <v>4717</v>
      </c>
      <c r="E2299" s="19" t="s">
        <v>4718</v>
      </c>
      <c r="F2299" s="20" t="s">
        <v>16</v>
      </c>
      <c r="G2299" s="20" t="s">
        <v>17</v>
      </c>
      <c r="H2299" s="20" t="s">
        <v>18</v>
      </c>
      <c r="I2299" s="19" t="str">
        <f>IMAGE("https://upload.wikimedia.org/wikipedia/commons/c/c1/Weinmannia_mariquitae%2C_Cunoniaceae%2C_flowering_branch_02.jpg")</f>
        <v/>
      </c>
    </row>
    <row r="2300" ht="36.0" customHeight="1">
      <c r="A2300" s="10" t="str">
        <f t="shared" si="289"/>
        <v>FranciscoFajardoG</v>
      </c>
      <c r="B2300" s="11" t="s">
        <v>4720</v>
      </c>
      <c r="C2300" s="12">
        <v>46177.80658564815</v>
      </c>
      <c r="D2300" s="11" t="s">
        <v>4717</v>
      </c>
      <c r="E2300" s="14" t="s">
        <v>4718</v>
      </c>
      <c r="F2300" s="15" t="s">
        <v>16</v>
      </c>
      <c r="G2300" s="15" t="s">
        <v>17</v>
      </c>
      <c r="H2300" s="15" t="s">
        <v>18</v>
      </c>
      <c r="I2300" s="14" t="str">
        <f>IMAGE("https://upload.wikimedia.org/wikipedia/commons/9/92/Weinmannia_mariquitae%2C_Cunoniaceae%2C_flowering_branch_03.jpg")</f>
        <v/>
      </c>
    </row>
    <row r="2301" ht="36.0" customHeight="1">
      <c r="A2301" s="16" t="str">
        <f>HYPERLINK("https://commons.wikimedia.org/wiki/User:" &amp; ENCODEURL("Charlesjsharp"), "Charlesjsharp")</f>
        <v>Charlesjsharp</v>
      </c>
      <c r="B2301" s="17" t="s">
        <v>4721</v>
      </c>
      <c r="C2301" s="18">
        <v>46171.66135416667</v>
      </c>
      <c r="D2301" s="17" t="s">
        <v>4722</v>
      </c>
      <c r="E2301" s="19" t="s">
        <v>4723</v>
      </c>
      <c r="F2301" s="20" t="s">
        <v>16</v>
      </c>
      <c r="G2301" s="20" t="s">
        <v>17</v>
      </c>
      <c r="H2301" s="20" t="s">
        <v>18</v>
      </c>
      <c r="I2301" s="19" t="str">
        <f>IMAGE("https://upload.wikimedia.org/wikipedia/commons/0/06/White-tailed_deer_%28Odocoileus_virginianus_goudotii%29_male_Chingaza_2.jpg")</f>
        <v/>
      </c>
    </row>
    <row r="2302" ht="36.0" customHeight="1">
      <c r="A2302" s="10" t="str">
        <f t="shared" ref="A2302:A2317" si="290">HYPERLINK("https://commons.wikimedia.org/wiki/User:" &amp; ENCODEURL("Jedidiahhorne"), "Jedidiahhorne")</f>
        <v>Jedidiahhorne</v>
      </c>
      <c r="B2302" s="11" t="s">
        <v>4724</v>
      </c>
      <c r="C2302" s="12">
        <v>46148.57152777778</v>
      </c>
      <c r="D2302" s="11" t="s">
        <v>4725</v>
      </c>
      <c r="E2302" s="14" t="s">
        <v>29</v>
      </c>
      <c r="F2302" s="14" t="s">
        <v>30</v>
      </c>
      <c r="G2302" s="15" t="s">
        <v>17</v>
      </c>
      <c r="H2302" s="15" t="s">
        <v>18</v>
      </c>
      <c r="I2302" s="14" t="str">
        <f>IMAGE("https://upload.wikimedia.org/wikipedia/commons/2/22/WLE2026_CO_-_Acantilado_del_bosque_de_niebla%2C_Chicaque_%2884%29.jpg")</f>
        <v/>
      </c>
    </row>
    <row r="2303" ht="36.0" customHeight="1">
      <c r="A2303" s="16" t="str">
        <f t="shared" si="290"/>
        <v>Jedidiahhorne</v>
      </c>
      <c r="B2303" s="17" t="s">
        <v>4726</v>
      </c>
      <c r="C2303" s="18">
        <v>46148.57152777778</v>
      </c>
      <c r="D2303" s="17" t="s">
        <v>4727</v>
      </c>
      <c r="E2303" s="19" t="s">
        <v>29</v>
      </c>
      <c r="F2303" s="19" t="s">
        <v>30</v>
      </c>
      <c r="G2303" s="20" t="s">
        <v>17</v>
      </c>
      <c r="H2303" s="20" t="s">
        <v>18</v>
      </c>
      <c r="I2303" s="19" t="str">
        <f>IMAGE("https://upload.wikimedia.org/wikipedia/commons/7/7f/WLE2026_CO_-_Acantilado_entre_niebla%2C_PNN_Chingaza_%2846%29.jpg")</f>
        <v/>
      </c>
    </row>
    <row r="2304" ht="36.0" customHeight="1">
      <c r="A2304" s="10" t="str">
        <f t="shared" si="290"/>
        <v>Jedidiahhorne</v>
      </c>
      <c r="B2304" s="11" t="s">
        <v>4728</v>
      </c>
      <c r="C2304" s="12">
        <v>46148.5715162037</v>
      </c>
      <c r="D2304" s="11" t="s">
        <v>4729</v>
      </c>
      <c r="E2304" s="14" t="s">
        <v>29</v>
      </c>
      <c r="F2304" s="14" t="s">
        <v>30</v>
      </c>
      <c r="G2304" s="15" t="s">
        <v>17</v>
      </c>
      <c r="H2304" s="15" t="s">
        <v>18</v>
      </c>
      <c r="I2304" s="14" t="str">
        <f>IMAGE("https://upload.wikimedia.org/wikipedia/commons/7/77/WLE2026_CO_-_Altiplano_cundiboyacense_cerca_de_la_Laguna_de_Guatavita_%285%29.jpg")</f>
        <v/>
      </c>
    </row>
    <row r="2305" ht="36.0" customHeight="1">
      <c r="A2305" s="16" t="str">
        <f t="shared" si="290"/>
        <v>Jedidiahhorne</v>
      </c>
      <c r="B2305" s="17" t="s">
        <v>4730</v>
      </c>
      <c r="C2305" s="18">
        <v>46148.571550925924</v>
      </c>
      <c r="D2305" s="17" t="s">
        <v>4731</v>
      </c>
      <c r="E2305" s="19" t="s">
        <v>29</v>
      </c>
      <c r="F2305" s="19" t="s">
        <v>30</v>
      </c>
      <c r="G2305" s="20" t="s">
        <v>17</v>
      </c>
      <c r="H2305" s="20" t="s">
        <v>18</v>
      </c>
      <c r="I2305" s="19" t="str">
        <f>IMAGE("https://upload.wikimedia.org/wikipedia/commons/c/c7/WLE2026_CO_-_Bosque_alto_andino_entre_nubes%2C_PNN_Chingaza_%2844%29.jpg")</f>
        <v/>
      </c>
    </row>
    <row r="2306" ht="36.0" customHeight="1">
      <c r="A2306" s="10" t="str">
        <f t="shared" si="290"/>
        <v>Jedidiahhorne</v>
      </c>
      <c r="B2306" s="11" t="s">
        <v>4732</v>
      </c>
      <c r="C2306" s="12">
        <v>46148.57157407407</v>
      </c>
      <c r="D2306" s="11" t="s">
        <v>4733</v>
      </c>
      <c r="E2306" s="14" t="s">
        <v>29</v>
      </c>
      <c r="F2306" s="14" t="s">
        <v>30</v>
      </c>
      <c r="G2306" s="15" t="s">
        <v>17</v>
      </c>
      <c r="H2306" s="15" t="s">
        <v>18</v>
      </c>
      <c r="I2306" s="14" t="str">
        <f>IMAGE("https://upload.wikimedia.org/wikipedia/commons/c/cd/WLE2026_CO_-_Bosque_de_niebla%2C_Parque_Natural_Chicaque_%2881%29.jpg")</f>
        <v/>
      </c>
    </row>
    <row r="2307" ht="36.0" customHeight="1">
      <c r="A2307" s="16" t="str">
        <f t="shared" si="290"/>
        <v>Jedidiahhorne</v>
      </c>
      <c r="B2307" s="17" t="s">
        <v>4734</v>
      </c>
      <c r="C2307" s="18">
        <v>46148.57157407407</v>
      </c>
      <c r="D2307" s="17" t="s">
        <v>4735</v>
      </c>
      <c r="E2307" s="19" t="s">
        <v>29</v>
      </c>
      <c r="F2307" s="19" t="s">
        <v>30</v>
      </c>
      <c r="G2307" s="20" t="s">
        <v>17</v>
      </c>
      <c r="H2307" s="20" t="s">
        <v>18</v>
      </c>
      <c r="I2307" s="19" t="str">
        <f>IMAGE("https://upload.wikimedia.org/wikipedia/commons/2/27/WLE2026_CO_-_Bosque_de_niebla_cerca_del_Salto_del_Tequendama_%2856%29.jpg")</f>
        <v/>
      </c>
    </row>
    <row r="2308" ht="36.0" customHeight="1">
      <c r="A2308" s="10" t="str">
        <f t="shared" si="290"/>
        <v>Jedidiahhorne</v>
      </c>
      <c r="B2308" s="11" t="s">
        <v>4736</v>
      </c>
      <c r="C2308" s="12">
        <v>46148.571597222224</v>
      </c>
      <c r="D2308" s="11" t="s">
        <v>4737</v>
      </c>
      <c r="E2308" s="14" t="s">
        <v>29</v>
      </c>
      <c r="F2308" s="14" t="s">
        <v>30</v>
      </c>
      <c r="G2308" s="15" t="s">
        <v>17</v>
      </c>
      <c r="H2308" s="15" t="s">
        <v>18</v>
      </c>
      <c r="I2308" s="14" t="str">
        <f>IMAGE("https://upload.wikimedia.org/wikipedia/commons/8/8a/WLE2026_CO_-_Camino_entre_la_niebla_del_PNN_Chingaza_%2847%29.jpg")</f>
        <v/>
      </c>
    </row>
    <row r="2309" ht="36.0" customHeight="1">
      <c r="A2309" s="16" t="str">
        <f t="shared" si="290"/>
        <v>Jedidiahhorne</v>
      </c>
      <c r="B2309" s="17" t="s">
        <v>4738</v>
      </c>
      <c r="C2309" s="18">
        <v>46148.57163194445</v>
      </c>
      <c r="D2309" s="17" t="s">
        <v>4739</v>
      </c>
      <c r="E2309" s="19" t="s">
        <v>29</v>
      </c>
      <c r="F2309" s="19" t="s">
        <v>30</v>
      </c>
      <c r="G2309" s="20" t="s">
        <v>17</v>
      </c>
      <c r="H2309" s="20" t="s">
        <v>18</v>
      </c>
      <c r="I2309" s="19" t="str">
        <f>IMAGE("https://upload.wikimedia.org/wikipedia/commons/d/dc/WLE2026_CO_-_Capilla_en_la_niebla%2C_PNN_Chingaza_%2848%29.jpg")</f>
        <v/>
      </c>
    </row>
    <row r="2310" ht="36.0" customHeight="1">
      <c r="A2310" s="10" t="str">
        <f t="shared" si="290"/>
        <v>Jedidiahhorne</v>
      </c>
      <c r="B2310" s="11" t="s">
        <v>4740</v>
      </c>
      <c r="C2310" s="12">
        <v>46148.57162037037</v>
      </c>
      <c r="D2310" s="11" t="s">
        <v>4741</v>
      </c>
      <c r="E2310" s="14" t="s">
        <v>29</v>
      </c>
      <c r="F2310" s="14" t="s">
        <v>30</v>
      </c>
      <c r="G2310" s="15" t="s">
        <v>17</v>
      </c>
      <c r="H2310" s="15" t="s">
        <v>18</v>
      </c>
      <c r="I2310" s="14" t="str">
        <f>IMAGE("https://upload.wikimedia.org/wikipedia/commons/7/77/WLE2026_CO_-_Ca%C3%B1%C3%B3n_del_Chicamocha_desde_el_telef%C3%A9rico_%2827%29.jpg")</f>
        <v/>
      </c>
    </row>
    <row r="2311" ht="36.0" customHeight="1">
      <c r="A2311" s="16" t="str">
        <f t="shared" si="290"/>
        <v>Jedidiahhorne</v>
      </c>
      <c r="B2311" s="17" t="s">
        <v>4742</v>
      </c>
      <c r="C2311" s="18">
        <v>46148.57164351852</v>
      </c>
      <c r="D2311" s="17" t="s">
        <v>4743</v>
      </c>
      <c r="E2311" s="19" t="s">
        <v>29</v>
      </c>
      <c r="F2311" s="19" t="s">
        <v>30</v>
      </c>
      <c r="G2311" s="20" t="s">
        <v>17</v>
      </c>
      <c r="H2311" s="20" t="s">
        <v>18</v>
      </c>
      <c r="I2311" s="19" t="str">
        <f>IMAGE("https://upload.wikimedia.org/wikipedia/commons/2/21/WLE2026_CO_-_Cordillera_entre_la_niebla%2C_Salto_del_Tequendama_%2857%29.jpg")</f>
        <v/>
      </c>
    </row>
    <row r="2312" ht="36.0" customHeight="1">
      <c r="A2312" s="10" t="str">
        <f t="shared" si="290"/>
        <v>Jedidiahhorne</v>
      </c>
      <c r="B2312" s="11" t="s">
        <v>4744</v>
      </c>
      <c r="C2312" s="12">
        <v>46148.57166666666</v>
      </c>
      <c r="D2312" s="11" t="s">
        <v>4745</v>
      </c>
      <c r="E2312" s="14" t="s">
        <v>29</v>
      </c>
      <c r="F2312" s="14" t="s">
        <v>30</v>
      </c>
      <c r="G2312" s="15" t="s">
        <v>17</v>
      </c>
      <c r="H2312" s="15" t="s">
        <v>18</v>
      </c>
      <c r="I2312" s="14" t="str">
        <f>IMAGE("https://upload.wikimedia.org/wikipedia/commons/9/9d/WLE2026_CO_-_Cruz_de_la_cumbre_del_Cerro_de_Monserrate_%284%29.jpg")</f>
        <v/>
      </c>
    </row>
    <row r="2313" ht="36.0" customHeight="1">
      <c r="A2313" s="16" t="str">
        <f t="shared" si="290"/>
        <v>Jedidiahhorne</v>
      </c>
      <c r="B2313" s="17" t="s">
        <v>4746</v>
      </c>
      <c r="C2313" s="18">
        <v>46148.57167824074</v>
      </c>
      <c r="D2313" s="17" t="s">
        <v>4747</v>
      </c>
      <c r="E2313" s="19" t="s">
        <v>29</v>
      </c>
      <c r="F2313" s="19" t="s">
        <v>30</v>
      </c>
      <c r="G2313" s="20" t="s">
        <v>17</v>
      </c>
      <c r="H2313" s="20" t="s">
        <v>18</v>
      </c>
      <c r="I2313" s="19" t="str">
        <f>IMAGE("https://upload.wikimedia.org/wikipedia/commons/a/a4/WLE2026_CO_-_Detalle_de_inflorescencia_de_Puya%2C_P%C3%A1ramo_de_Guerrero_%2890%29.jpg")</f>
        <v/>
      </c>
    </row>
    <row r="2314" ht="36.0" customHeight="1">
      <c r="A2314" s="10" t="str">
        <f t="shared" si="290"/>
        <v>Jedidiahhorne</v>
      </c>
      <c r="B2314" s="11" t="s">
        <v>4748</v>
      </c>
      <c r="C2314" s="12">
        <v>46148.57168981482</v>
      </c>
      <c r="D2314" s="11" t="s">
        <v>4749</v>
      </c>
      <c r="E2314" s="14" t="s">
        <v>29</v>
      </c>
      <c r="F2314" s="14" t="s">
        <v>30</v>
      </c>
      <c r="G2314" s="15" t="s">
        <v>17</v>
      </c>
      <c r="H2314" s="15" t="s">
        <v>18</v>
      </c>
      <c r="I2314" s="14" t="str">
        <f>IMAGE("https://upload.wikimedia.org/wikipedia/commons/c/c2/WLE2026_CO_-_Ecosistema_xerof%C3%ADtico_del_Ca%C3%B1%C3%B3n_del_Chicamocha_%2828%29.jpg")</f>
        <v/>
      </c>
    </row>
    <row r="2315" ht="36.0" customHeight="1">
      <c r="A2315" s="16" t="str">
        <f t="shared" si="290"/>
        <v>Jedidiahhorne</v>
      </c>
      <c r="B2315" s="17" t="s">
        <v>4750</v>
      </c>
      <c r="C2315" s="18">
        <v>46148.57171296296</v>
      </c>
      <c r="D2315" s="17" t="s">
        <v>4751</v>
      </c>
      <c r="E2315" s="19" t="s">
        <v>29</v>
      </c>
      <c r="F2315" s="19" t="s">
        <v>30</v>
      </c>
      <c r="G2315" s="20" t="s">
        <v>17</v>
      </c>
      <c r="H2315" s="20" t="s">
        <v>18</v>
      </c>
      <c r="I2315" s="19" t="str">
        <f>IMAGE("https://upload.wikimedia.org/wikipedia/commons/3/35/WLE2026_CO_-_Embalse_de_Chuza%2C_PNN_Chingaza_%2843%29.jpg")</f>
        <v/>
      </c>
    </row>
    <row r="2316" ht="36.0" customHeight="1">
      <c r="A2316" s="10" t="str">
        <f t="shared" si="290"/>
        <v>Jedidiahhorne</v>
      </c>
      <c r="B2316" s="11" t="s">
        <v>4752</v>
      </c>
      <c r="C2316" s="12">
        <v>46148.57172453704</v>
      </c>
      <c r="D2316" s="11" t="s">
        <v>4753</v>
      </c>
      <c r="E2316" s="14" t="s">
        <v>29</v>
      </c>
      <c r="F2316" s="14" t="s">
        <v>30</v>
      </c>
      <c r="G2316" s="15" t="s">
        <v>17</v>
      </c>
      <c r="H2316" s="15" t="s">
        <v>18</v>
      </c>
      <c r="I2316" s="14" t="str">
        <f>IMAGE("https://upload.wikimedia.org/wikipedia/commons/7/7f/WLE2026_CO_-_Flor_de_Bejaria_%28familia_Ericaceae%29%2C_PNN_Chingaza_%2845%29.jpg")</f>
        <v/>
      </c>
    </row>
    <row r="2317" ht="36.0" customHeight="1">
      <c r="A2317" s="16" t="str">
        <f t="shared" si="290"/>
        <v>Jedidiahhorne</v>
      </c>
      <c r="B2317" s="17" t="s">
        <v>4754</v>
      </c>
      <c r="C2317" s="18">
        <v>46148.571747685186</v>
      </c>
      <c r="D2317" s="17" t="s">
        <v>4755</v>
      </c>
      <c r="E2317" s="19" t="s">
        <v>29</v>
      </c>
      <c r="F2317" s="19" t="s">
        <v>30</v>
      </c>
      <c r="G2317" s="20" t="s">
        <v>17</v>
      </c>
      <c r="H2317" s="20" t="s">
        <v>18</v>
      </c>
      <c r="I2317" s="19" t="str">
        <f>IMAGE("https://upload.wikimedia.org/wikipedia/commons/e/eb/WLE2026_CO_-_Floraci%C3%B3n_masiva_de_Espeletia_grandiflora_%2892%29.jpg")</f>
        <v/>
      </c>
    </row>
    <row r="2318" ht="36.0" customHeight="1">
      <c r="A2318" s="10" t="str">
        <f>HYPERLINK("https://commons.wikimedia.org/wiki/User:" &amp; ENCODEURL("Supertita"), "Supertita")</f>
        <v>Supertita</v>
      </c>
      <c r="B2318" s="11" t="s">
        <v>4756</v>
      </c>
      <c r="C2318" s="12">
        <v>46192.70755787037</v>
      </c>
      <c r="D2318" s="11" t="s">
        <v>4757</v>
      </c>
      <c r="E2318" s="14" t="s">
        <v>21</v>
      </c>
      <c r="F2318" s="15" t="s">
        <v>16</v>
      </c>
      <c r="G2318" s="15" t="s">
        <v>17</v>
      </c>
      <c r="H2318" s="15" t="s">
        <v>18</v>
      </c>
      <c r="I2318" s="14" t="str">
        <f>IMAGE("https://upload.wikimedia.org/wikipedia/commons/e/e6/White-tailed_deer_%28Odocoileus_virginianus%29_buck-goudotii.jpg")</f>
        <v/>
      </c>
    </row>
    <row r="2319" ht="36.0" customHeight="1">
      <c r="A2319" s="16" t="str">
        <f>HYPERLINK("https://commons.wikimedia.org/wiki/User:" &amp; ENCODEURL("Overlabor5010"), "Overlabor5010")</f>
        <v>Overlabor5010</v>
      </c>
      <c r="B2319" s="17" t="s">
        <v>4758</v>
      </c>
      <c r="C2319" s="18">
        <v>46161.907372685186</v>
      </c>
      <c r="D2319" s="17" t="s">
        <v>4759</v>
      </c>
      <c r="E2319" s="19" t="s">
        <v>823</v>
      </c>
      <c r="F2319" s="20" t="s">
        <v>16</v>
      </c>
      <c r="G2319" s="20" t="s">
        <v>17</v>
      </c>
      <c r="H2319" s="20" t="s">
        <v>18</v>
      </c>
      <c r="I2319" s="19" t="str">
        <f>IMAGE("https://upload.wikimedia.org/wikipedia/commons/f/f5/Whooping_Motmot_in_Tayrona_National_Park.jpg")</f>
        <v/>
      </c>
    </row>
    <row r="2320" ht="36.0" customHeight="1">
      <c r="A2320" s="10" t="str">
        <f t="shared" ref="A2320:A2321" si="291">HYPERLINK("https://commons.wikimedia.org/wiki/User:" &amp; ENCODEURL("Mottenpriesterin"), "Mottenpriesterin")</f>
        <v>Mottenpriesterin</v>
      </c>
      <c r="B2320" s="11" t="s">
        <v>4760</v>
      </c>
      <c r="C2320" s="12">
        <v>46202.91981481481</v>
      </c>
      <c r="D2320" s="11" t="s">
        <v>4761</v>
      </c>
      <c r="E2320" s="14" t="s">
        <v>29</v>
      </c>
      <c r="F2320" s="14" t="s">
        <v>30</v>
      </c>
      <c r="G2320" s="15" t="s">
        <v>17</v>
      </c>
      <c r="H2320" s="15" t="s">
        <v>18</v>
      </c>
      <c r="I2320" s="14" t="str">
        <f>IMAGE("https://upload.wikimedia.org/wikipedia/commons/3/37/Wild_Montbretia_%28Crocosmia%29%2C_near_the_way%2C_cloud_forest%2C_Minca%2C_2025.jpg")</f>
        <v/>
      </c>
    </row>
    <row r="2321" ht="36.0" customHeight="1">
      <c r="A2321" s="16" t="str">
        <f t="shared" si="291"/>
        <v>Mottenpriesterin</v>
      </c>
      <c r="B2321" s="17" t="s">
        <v>4762</v>
      </c>
      <c r="C2321" s="18">
        <v>46202.92016203704</v>
      </c>
      <c r="D2321" s="17" t="s">
        <v>4763</v>
      </c>
      <c r="E2321" s="19" t="s">
        <v>29</v>
      </c>
      <c r="F2321" s="19" t="s">
        <v>30</v>
      </c>
      <c r="G2321" s="20" t="s">
        <v>17</v>
      </c>
      <c r="H2321" s="20" t="s">
        <v>18</v>
      </c>
      <c r="I2321" s="19" t="str">
        <f>IMAGE("https://upload.wikimedia.org/wikipedia/commons/1/1d/Wild_orchid_%28Epidendrum%29_blooming_on_a_rocky_slope_near_Villa_de_Leyva%2C_2026.jpg")</f>
        <v/>
      </c>
    </row>
    <row r="2322" ht="36.0" customHeight="1">
      <c r="A2322" s="10" t="str">
        <f t="shared" ref="A2322:A2337" si="292">HYPERLINK("https://commons.wikimedia.org/wiki/User:" &amp; ENCODEURL("Jedidiahhorne"), "Jedidiahhorne")</f>
        <v>Jedidiahhorne</v>
      </c>
      <c r="B2322" s="11" t="s">
        <v>4764</v>
      </c>
      <c r="C2322" s="12">
        <v>46148.57178240741</v>
      </c>
      <c r="D2322" s="11" t="s">
        <v>4765</v>
      </c>
      <c r="E2322" s="14" t="s">
        <v>29</v>
      </c>
      <c r="F2322" s="14" t="s">
        <v>30</v>
      </c>
      <c r="G2322" s="15" t="s">
        <v>17</v>
      </c>
      <c r="H2322" s="15" t="s">
        <v>18</v>
      </c>
      <c r="I2322" s="14" t="str">
        <f>IMAGE("https://upload.wikimedia.org/wikipedia/commons/8/80/WLE2026_CO_-_Frailejones_%28Espeletia_grandiflora%29_en_flor%2C_P%C3%A1ramo_de_Guerrero_%2888%29.jpg")</f>
        <v/>
      </c>
    </row>
    <row r="2323" ht="36.0" customHeight="1">
      <c r="A2323" s="16" t="str">
        <f t="shared" si="292"/>
        <v>Jedidiahhorne</v>
      </c>
      <c r="B2323" s="17" t="s">
        <v>4766</v>
      </c>
      <c r="C2323" s="18">
        <v>46148.57175925926</v>
      </c>
      <c r="D2323" s="17" t="s">
        <v>4767</v>
      </c>
      <c r="E2323" s="19" t="s">
        <v>29</v>
      </c>
      <c r="F2323" s="19" t="s">
        <v>30</v>
      </c>
      <c r="G2323" s="20" t="s">
        <v>17</v>
      </c>
      <c r="H2323" s="20" t="s">
        <v>18</v>
      </c>
      <c r="I2323" s="19" t="str">
        <f>IMAGE("https://upload.wikimedia.org/wikipedia/commons/2/23/WLE2026_CO_-_Frailej%C3%B3n_individual%2C_P%C3%A1ramo_de_Guerrero_%2899%29.jpg")</f>
        <v/>
      </c>
    </row>
    <row r="2324" ht="36.0" customHeight="1">
      <c r="A2324" s="10" t="str">
        <f t="shared" si="292"/>
        <v>Jedidiahhorne</v>
      </c>
      <c r="B2324" s="11" t="s">
        <v>4768</v>
      </c>
      <c r="C2324" s="12">
        <v>46148.57179398148</v>
      </c>
      <c r="D2324" s="11" t="s">
        <v>4769</v>
      </c>
      <c r="E2324" s="14" t="s">
        <v>29</v>
      </c>
      <c r="F2324" s="14" t="s">
        <v>30</v>
      </c>
      <c r="G2324" s="15" t="s">
        <v>17</v>
      </c>
      <c r="H2324" s="15" t="s">
        <v>18</v>
      </c>
      <c r="I2324" s="14" t="str">
        <f>IMAGE("https://upload.wikimedia.org/wikipedia/commons/4/4d/WLE2026_CO_-_Inflorescencia_de_Puya_en_el_P%C3%A1ramo_de_Guerrero_%2889%29.jpg")</f>
        <v/>
      </c>
    </row>
    <row r="2325" ht="36.0" customHeight="1">
      <c r="A2325" s="16" t="str">
        <f t="shared" si="292"/>
        <v>Jedidiahhorne</v>
      </c>
      <c r="B2325" s="17" t="s">
        <v>4770</v>
      </c>
      <c r="C2325" s="18">
        <v>46148.5718287037</v>
      </c>
      <c r="D2325" s="17" t="s">
        <v>4771</v>
      </c>
      <c r="E2325" s="19" t="s">
        <v>29</v>
      </c>
      <c r="F2325" s="19" t="s">
        <v>30</v>
      </c>
      <c r="G2325" s="20" t="s">
        <v>17</v>
      </c>
      <c r="H2325" s="20" t="s">
        <v>18</v>
      </c>
      <c r="I2325" s="19" t="str">
        <f>IMAGE("https://upload.wikimedia.org/wikipedia/commons/4/42/WLE2026_CO_-_Inflorescencias_secas_de_Espeletia%2C_P%C3%A1ramo_de_Guerrero_%2894%29.jpg")</f>
        <v/>
      </c>
    </row>
    <row r="2326" ht="36.0" customHeight="1">
      <c r="A2326" s="10" t="str">
        <f t="shared" si="292"/>
        <v>Jedidiahhorne</v>
      </c>
      <c r="B2326" s="11" t="s">
        <v>4772</v>
      </c>
      <c r="C2326" s="12">
        <v>46148.5718287037</v>
      </c>
      <c r="D2326" s="11" t="s">
        <v>4773</v>
      </c>
      <c r="E2326" s="14" t="s">
        <v>29</v>
      </c>
      <c r="F2326" s="14" t="s">
        <v>30</v>
      </c>
      <c r="G2326" s="15" t="s">
        <v>17</v>
      </c>
      <c r="H2326" s="15" t="s">
        <v>18</v>
      </c>
      <c r="I2326" s="14" t="str">
        <f>IMAGE("https://upload.wikimedia.org/wikipedia/commons/c/c9/WLE2026_CO_-_Mirador_del_P%C3%A1ramo_de_Guerrero_%2898%29.jpg")</f>
        <v/>
      </c>
    </row>
    <row r="2327" ht="36.0" customHeight="1">
      <c r="A2327" s="16" t="str">
        <f t="shared" si="292"/>
        <v>Jedidiahhorne</v>
      </c>
      <c r="B2327" s="17" t="s">
        <v>4774</v>
      </c>
      <c r="C2327" s="18">
        <v>46148.571851851855</v>
      </c>
      <c r="D2327" s="17" t="s">
        <v>4775</v>
      </c>
      <c r="E2327" s="19" t="s">
        <v>29</v>
      </c>
      <c r="F2327" s="19" t="s">
        <v>30</v>
      </c>
      <c r="G2327" s="20" t="s">
        <v>17</v>
      </c>
      <c r="H2327" s="20" t="s">
        <v>18</v>
      </c>
      <c r="I2327" s="19" t="str">
        <f>IMAGE("https://upload.wikimedia.org/wikipedia/commons/9/9b/WLE2026_CO_-_Mirador_en_el_Parque_Natural_Chicaque_%2883%29.jpg")</f>
        <v/>
      </c>
    </row>
    <row r="2328" ht="36.0" customHeight="1">
      <c r="A2328" s="10" t="str">
        <f t="shared" si="292"/>
        <v>Jedidiahhorne</v>
      </c>
      <c r="B2328" s="11" t="s">
        <v>4776</v>
      </c>
      <c r="C2328" s="12">
        <v>46148.571863425925</v>
      </c>
      <c r="D2328" s="11" t="s">
        <v>4777</v>
      </c>
      <c r="E2328" s="14" t="s">
        <v>29</v>
      </c>
      <c r="F2328" s="14" t="s">
        <v>30</v>
      </c>
      <c r="G2328" s="15" t="s">
        <v>17</v>
      </c>
      <c r="H2328" s="15" t="s">
        <v>18</v>
      </c>
      <c r="I2328" s="14" t="str">
        <f>IMAGE("https://upload.wikimedia.org/wikipedia/commons/d/d3/WLE2026_CO_-_Palmas_de_cera_al_atardecer%2C_Valle_del_Cocora_%2835%29.jpg")</f>
        <v/>
      </c>
    </row>
    <row r="2329" ht="36.0" customHeight="1">
      <c r="A2329" s="16" t="str">
        <f t="shared" si="292"/>
        <v>Jedidiahhorne</v>
      </c>
      <c r="B2329" s="17" t="s">
        <v>4778</v>
      </c>
      <c r="C2329" s="18">
        <v>46148.571921296294</v>
      </c>
      <c r="D2329" s="17" t="s">
        <v>4779</v>
      </c>
      <c r="E2329" s="19" t="s">
        <v>29</v>
      </c>
      <c r="F2329" s="19" t="s">
        <v>30</v>
      </c>
      <c r="G2329" s="20" t="s">
        <v>17</v>
      </c>
      <c r="H2329" s="20" t="s">
        <v>18</v>
      </c>
      <c r="I2329" s="19" t="str">
        <f>IMAGE("https://upload.wikimedia.org/wikipedia/commons/8/8f/WLE2026_CO_-_P%C3%A1ramo_de_Guerrero%2C_Tausa_%2886%29.jpg")</f>
        <v/>
      </c>
    </row>
    <row r="2330" ht="36.0" customHeight="1">
      <c r="A2330" s="10" t="str">
        <f t="shared" si="292"/>
        <v>Jedidiahhorne</v>
      </c>
      <c r="B2330" s="11" t="s">
        <v>4780</v>
      </c>
      <c r="C2330" s="12">
        <v>46148.57188657407</v>
      </c>
      <c r="D2330" s="11" t="s">
        <v>4781</v>
      </c>
      <c r="E2330" s="14" t="s">
        <v>29</v>
      </c>
      <c r="F2330" s="14" t="s">
        <v>30</v>
      </c>
      <c r="G2330" s="15" t="s">
        <v>17</v>
      </c>
      <c r="H2330" s="15" t="s">
        <v>18</v>
      </c>
      <c r="I2330" s="14" t="str">
        <f>IMAGE("https://upload.wikimedia.org/wikipedia/commons/1/16/WLE2026_CO_-_P%C3%A1ramo_de_Guerrero_bajo_nubes_%2895%29.jpg")</f>
        <v/>
      </c>
    </row>
    <row r="2331" ht="36.0" customHeight="1">
      <c r="A2331" s="16" t="str">
        <f t="shared" si="292"/>
        <v>Jedidiahhorne</v>
      </c>
      <c r="B2331" s="17" t="s">
        <v>4782</v>
      </c>
      <c r="C2331" s="18">
        <v>46148.57197916666</v>
      </c>
      <c r="D2331" s="17" t="s">
        <v>4783</v>
      </c>
      <c r="E2331" s="19" t="s">
        <v>29</v>
      </c>
      <c r="F2331" s="19" t="s">
        <v>30</v>
      </c>
      <c r="G2331" s="20" t="s">
        <v>17</v>
      </c>
      <c r="H2331" s="20" t="s">
        <v>18</v>
      </c>
      <c r="I2331" s="19" t="str">
        <f>IMAGE("https://upload.wikimedia.org/wikipedia/commons/8/88/WLE2026_CO_-_P%C3%A1ramo_de_Guerrero_con_cordillera_al_fondo_%2897%29.jpg")</f>
        <v/>
      </c>
    </row>
    <row r="2332" ht="36.0" customHeight="1">
      <c r="A2332" s="10" t="str">
        <f t="shared" si="292"/>
        <v>Jedidiahhorne</v>
      </c>
      <c r="B2332" s="11" t="s">
        <v>4784</v>
      </c>
      <c r="C2332" s="12">
        <v>46148.57193287037</v>
      </c>
      <c r="D2332" s="11" t="s">
        <v>4785</v>
      </c>
      <c r="E2332" s="14" t="s">
        <v>29</v>
      </c>
      <c r="F2332" s="14" t="s">
        <v>30</v>
      </c>
      <c r="G2332" s="15" t="s">
        <v>17</v>
      </c>
      <c r="H2332" s="15" t="s">
        <v>18</v>
      </c>
      <c r="I2332" s="14" t="str">
        <f>IMAGE("https://upload.wikimedia.org/wikipedia/commons/8/8b/WLE2026_CO_-_P%C3%A1ramo_del_PNN_Chingaza_con_embalse_al_fondo_%2841%29.jpg")</f>
        <v/>
      </c>
    </row>
    <row r="2333" ht="36.0" customHeight="1">
      <c r="A2333" s="16" t="str">
        <f t="shared" si="292"/>
        <v>Jedidiahhorne</v>
      </c>
      <c r="B2333" s="17" t="s">
        <v>4786</v>
      </c>
      <c r="C2333" s="18">
        <v>46148.57210648148</v>
      </c>
      <c r="D2333" s="17" t="s">
        <v>4787</v>
      </c>
      <c r="E2333" s="19" t="s">
        <v>29</v>
      </c>
      <c r="F2333" s="19" t="s">
        <v>30</v>
      </c>
      <c r="G2333" s="20" t="s">
        <v>17</v>
      </c>
      <c r="H2333" s="20" t="s">
        <v>18</v>
      </c>
      <c r="I2333" s="19" t="str">
        <f>IMAGE("https://upload.wikimedia.org/wikipedia/commons/6/65/WLE2026_CO_-_Roseta_de_frailej%C3%B3n_en_floraci%C3%B3n_%2896%29.jpg")</f>
        <v/>
      </c>
    </row>
    <row r="2334" ht="36.0" customHeight="1">
      <c r="A2334" s="10" t="str">
        <f t="shared" si="292"/>
        <v>Jedidiahhorne</v>
      </c>
      <c r="B2334" s="11" t="s">
        <v>4788</v>
      </c>
      <c r="C2334" s="12">
        <v>46148.57200231482</v>
      </c>
      <c r="D2334" s="11" t="s">
        <v>4789</v>
      </c>
      <c r="E2334" s="14" t="s">
        <v>29</v>
      </c>
      <c r="F2334" s="14" t="s">
        <v>30</v>
      </c>
      <c r="G2334" s="15" t="s">
        <v>17</v>
      </c>
      <c r="H2334" s="15" t="s">
        <v>18</v>
      </c>
      <c r="I2334" s="14" t="str">
        <f>IMAGE("https://upload.wikimedia.org/wikipedia/commons/f/fc/WLE2026_CO_-_Senderismo_en_el_P%C3%A1ramo_de_Guerrero_%2887%29.jpg")</f>
        <v/>
      </c>
    </row>
    <row r="2335" ht="36.0" customHeight="1">
      <c r="A2335" s="16" t="str">
        <f t="shared" si="292"/>
        <v>Jedidiahhorne</v>
      </c>
      <c r="B2335" s="17" t="s">
        <v>4790</v>
      </c>
      <c r="C2335" s="18">
        <v>46148.57202546296</v>
      </c>
      <c r="D2335" s="17" t="s">
        <v>4791</v>
      </c>
      <c r="E2335" s="19" t="s">
        <v>29</v>
      </c>
      <c r="F2335" s="19" t="s">
        <v>30</v>
      </c>
      <c r="G2335" s="20" t="s">
        <v>17</v>
      </c>
      <c r="H2335" s="20" t="s">
        <v>18</v>
      </c>
      <c r="I2335" s="19" t="str">
        <f>IMAGE("https://upload.wikimedia.org/wikipedia/commons/1/1a/WLE2026_CO_-_Senderos_Suasie_en_el_PNN_Chingaza_%2842%29.jpg")</f>
        <v/>
      </c>
    </row>
    <row r="2336" ht="36.0" customHeight="1">
      <c r="A2336" s="10" t="str">
        <f t="shared" si="292"/>
        <v>Jedidiahhorne</v>
      </c>
      <c r="B2336" s="11" t="s">
        <v>4792</v>
      </c>
      <c r="C2336" s="12">
        <v>46148.57208333333</v>
      </c>
      <c r="D2336" s="11" t="s">
        <v>4793</v>
      </c>
      <c r="E2336" s="14" t="s">
        <v>29</v>
      </c>
      <c r="F2336" s="14" t="s">
        <v>30</v>
      </c>
      <c r="G2336" s="15" t="s">
        <v>17</v>
      </c>
      <c r="H2336" s="15" t="s">
        <v>18</v>
      </c>
      <c r="I2336" s="14" t="str">
        <f>IMAGE("https://upload.wikimedia.org/wikipedia/commons/c/c1/WLE2026_CO_-_Valle_de_frailejones%2C_P%C3%A1ramo_de_Guerrero_%2893%29.jpg")</f>
        <v/>
      </c>
    </row>
    <row r="2337" ht="36.0" customHeight="1">
      <c r="A2337" s="16" t="str">
        <f t="shared" si="292"/>
        <v>Jedidiahhorne</v>
      </c>
      <c r="B2337" s="17" t="s">
        <v>4794</v>
      </c>
      <c r="C2337" s="18">
        <v>46148.57208333333</v>
      </c>
      <c r="D2337" s="17" t="s">
        <v>4795</v>
      </c>
      <c r="E2337" s="19" t="s">
        <v>29</v>
      </c>
      <c r="F2337" s="19" t="s">
        <v>30</v>
      </c>
      <c r="G2337" s="20" t="s">
        <v>17</v>
      </c>
      <c r="H2337" s="20" t="s">
        <v>18</v>
      </c>
      <c r="I2337" s="19" t="str">
        <f>IMAGE("https://upload.wikimedia.org/wikipedia/commons/0/02/WLE2026_CO_-_Vista_panor%C3%A1mica_del_P%C3%A1ramo_de_Guerrero_%2891%29.jpg")</f>
        <v/>
      </c>
    </row>
    <row r="2338" ht="36.0" customHeight="1">
      <c r="A2338" s="10" t="str">
        <f>HYPERLINK("https://commons.wikimedia.org/wiki/User:" &amp; ENCODEURL("Mottenpriesterin"), "Mottenpriesterin")</f>
        <v>Mottenpriesterin</v>
      </c>
      <c r="B2338" s="11" t="s">
        <v>4796</v>
      </c>
      <c r="C2338" s="12">
        <v>46202.91978009259</v>
      </c>
      <c r="D2338" s="11" t="s">
        <v>4797</v>
      </c>
      <c r="E2338" s="14" t="s">
        <v>29</v>
      </c>
      <c r="F2338" s="14" t="s">
        <v>30</v>
      </c>
      <c r="G2338" s="15" t="s">
        <v>17</v>
      </c>
      <c r="H2338" s="15" t="s">
        <v>18</v>
      </c>
      <c r="I2338" s="14" t="str">
        <f>IMAGE("https://upload.wikimedia.org/wikipedia/commons/1/13/Woolly_Highland_Perennial%2C_near_Minca_cloudforest%2C_2025.jpg")</f>
        <v/>
      </c>
    </row>
    <row r="2339" ht="36.0" customHeight="1">
      <c r="A2339" s="16" t="str">
        <f>HYPERLINK("https://commons.wikimedia.org/wiki/User:" &amp; ENCODEURL("Diferoch"), "Diferoch")</f>
        <v>Diferoch</v>
      </c>
      <c r="B2339" s="17" t="s">
        <v>4798</v>
      </c>
      <c r="C2339" s="18">
        <v>46187.88033564815</v>
      </c>
      <c r="D2339" s="17" t="s">
        <v>4799</v>
      </c>
      <c r="E2339" s="19" t="s">
        <v>4800</v>
      </c>
      <c r="F2339" s="20" t="s">
        <v>16</v>
      </c>
      <c r="G2339" s="20" t="s">
        <v>17</v>
      </c>
      <c r="H2339" s="20" t="s">
        <v>18</v>
      </c>
      <c r="I2339" s="19" t="str">
        <f>IMAGE("https://upload.wikimedia.org/wikipedia/commons/c/c6/Xyleus_discoideus_-_Barrancabermeja%2C_Santander%2C_Colombia_-_21_Jul_2025_-_Diferoch.jpg")</f>
        <v/>
      </c>
    </row>
    <row r="2340" ht="36.0" customHeight="1">
      <c r="A2340" s="10" t="str">
        <f t="shared" ref="A2340:A2343" si="293">HYPERLINK("https://commons.wikimedia.org/wiki/User:" &amp; ENCODEURL("AmiGueko"), "AmiGueko")</f>
        <v>AmiGueko</v>
      </c>
      <c r="B2340" s="11" t="s">
        <v>4801</v>
      </c>
      <c r="C2340" s="12">
        <v>46177.89875</v>
      </c>
      <c r="D2340" s="11" t="s">
        <v>4802</v>
      </c>
      <c r="E2340" s="14" t="s">
        <v>29</v>
      </c>
      <c r="F2340" s="14" t="s">
        <v>30</v>
      </c>
      <c r="G2340" s="15" t="s">
        <v>17</v>
      </c>
      <c r="H2340" s="15" t="s">
        <v>18</v>
      </c>
      <c r="I2340" s="14" t="str">
        <f>IMAGE("https://upload.wikimedia.org/wikipedia/commons/b/b9/Yag%C3%A91.jpg")</f>
        <v/>
      </c>
    </row>
    <row r="2341" ht="36.0" customHeight="1">
      <c r="A2341" s="16" t="str">
        <f t="shared" si="293"/>
        <v>AmiGueko</v>
      </c>
      <c r="B2341" s="17" t="s">
        <v>4803</v>
      </c>
      <c r="C2341" s="18">
        <v>46177.89865740741</v>
      </c>
      <c r="D2341" s="17" t="s">
        <v>4802</v>
      </c>
      <c r="E2341" s="19" t="s">
        <v>29</v>
      </c>
      <c r="F2341" s="19" t="s">
        <v>30</v>
      </c>
      <c r="G2341" s="20" t="s">
        <v>17</v>
      </c>
      <c r="H2341" s="20" t="s">
        <v>18</v>
      </c>
      <c r="I2341" s="19" t="str">
        <f>IMAGE("https://upload.wikimedia.org/wikipedia/commons/2/2c/Yag%C3%A9_mayo_de_2026.jpg")</f>
        <v/>
      </c>
    </row>
    <row r="2342" ht="36.0" customHeight="1">
      <c r="A2342" s="10" t="str">
        <f t="shared" si="293"/>
        <v>AmiGueko</v>
      </c>
      <c r="B2342" s="11" t="s">
        <v>4804</v>
      </c>
      <c r="C2342" s="12">
        <v>46178.39597222222</v>
      </c>
      <c r="D2342" s="11" t="s">
        <v>4805</v>
      </c>
      <c r="E2342" s="14" t="s">
        <v>103</v>
      </c>
      <c r="F2342" s="15" t="s">
        <v>16</v>
      </c>
      <c r="G2342" s="15" t="s">
        <v>17</v>
      </c>
      <c r="H2342" s="15" t="s">
        <v>18</v>
      </c>
      <c r="I2342" s="14" t="str">
        <f>IMAGE("https://upload.wikimedia.org/wikipedia/commons/c/c8/Yarumo.jpg")</f>
        <v/>
      </c>
    </row>
    <row r="2343" ht="36.0" customHeight="1">
      <c r="A2343" s="16" t="str">
        <f t="shared" si="293"/>
        <v>AmiGueko</v>
      </c>
      <c r="B2343" s="17" t="s">
        <v>4806</v>
      </c>
      <c r="C2343" s="18">
        <v>46177.898668981485</v>
      </c>
      <c r="D2343" s="17" t="s">
        <v>4807</v>
      </c>
      <c r="E2343" s="19" t="s">
        <v>29</v>
      </c>
      <c r="F2343" s="19" t="s">
        <v>30</v>
      </c>
      <c r="G2343" s="20" t="s">
        <v>17</v>
      </c>
      <c r="H2343" s="20" t="s">
        <v>18</v>
      </c>
      <c r="I2343" s="19" t="str">
        <f>IMAGE("https://upload.wikimedia.org/wikipedia/commons/a/a9/Yarumo_rojo.jpg")</f>
        <v/>
      </c>
    </row>
    <row r="2344" ht="36.0" customHeight="1">
      <c r="A2344" s="10" t="str">
        <f>HYPERLINK("https://commons.wikimedia.org/wiki/User:" &amp; ENCODEURL("JJCL09"), "JJCL09")</f>
        <v>JJCL09</v>
      </c>
      <c r="B2344" s="11" t="s">
        <v>4808</v>
      </c>
      <c r="C2344" s="12">
        <v>46147.88135416667</v>
      </c>
      <c r="D2344" s="11" t="s">
        <v>4809</v>
      </c>
      <c r="E2344" s="14" t="s">
        <v>4810</v>
      </c>
      <c r="F2344" s="15" t="s">
        <v>16</v>
      </c>
      <c r="G2344" s="15" t="s">
        <v>17</v>
      </c>
      <c r="H2344" s="15" t="s">
        <v>18</v>
      </c>
      <c r="I2344" s="14" t="str">
        <f>IMAGE("https://upload.wikimedia.org/wikipedia/commons/f/f5/Yellow_spots.jpg")</f>
        <v/>
      </c>
    </row>
    <row r="2345" ht="36.0" customHeight="1">
      <c r="A2345" s="16" t="str">
        <f>HYPERLINK("https://commons.wikimedia.org/wiki/User:" &amp; ENCODEURL("Juan Antonio Liévano A"), "Juan Antonio Liévano A")</f>
        <v>Juan Antonio Liévano A</v>
      </c>
      <c r="B2345" s="17" t="s">
        <v>4811</v>
      </c>
      <c r="C2345" s="18">
        <v>46203.58005787037</v>
      </c>
      <c r="D2345" s="17" t="s">
        <v>4812</v>
      </c>
      <c r="E2345" s="19" t="s">
        <v>29</v>
      </c>
      <c r="F2345" s="19" t="s">
        <v>30</v>
      </c>
      <c r="G2345" s="20" t="s">
        <v>17</v>
      </c>
      <c r="H2345" s="20" t="s">
        <v>18</v>
      </c>
      <c r="I2345" s="19" t="str">
        <f>IMAGE("https://upload.wikimedia.org/wikipedia/commons/8/80/Yuca_Brava_Mira%C3%B1as_PNN_Cahuinari.jpg")</f>
        <v/>
      </c>
    </row>
    <row r="2346" ht="36.0" customHeight="1">
      <c r="A2346" s="10" t="str">
        <f>HYPERLINK("https://commons.wikimedia.org/wiki/User:" &amp; ENCODEURL("Natlycu"), "Natlycu")</f>
        <v>Natlycu</v>
      </c>
      <c r="B2346" s="11" t="s">
        <v>4813</v>
      </c>
      <c r="C2346" s="12">
        <v>46203.03603009259</v>
      </c>
      <c r="D2346" s="11" t="s">
        <v>4814</v>
      </c>
      <c r="E2346" s="14" t="s">
        <v>2951</v>
      </c>
      <c r="F2346" s="15" t="s">
        <v>16</v>
      </c>
      <c r="G2346" s="15" t="s">
        <v>17</v>
      </c>
      <c r="H2346" s="15" t="s">
        <v>18</v>
      </c>
      <c r="I2346" s="14" t="str">
        <f>IMAGE("https://upload.wikimedia.org/wikipedia/commons/4/45/Zambullidor_pico_grueso_%28Podilymbus_podiceps%29_en_el_Jard%C3%ADn_Bot%C3%A1nico_de_Bogot%C3%A1.jpg")</f>
        <v/>
      </c>
    </row>
    <row r="2347" ht="36.0" customHeight="1">
      <c r="A2347" s="16" t="str">
        <f>HYPERLINK("https://commons.wikimedia.org/wiki/User:" &amp; ENCODEURL("Jhon Betancur 123"), "Jhon Betancur 123")</f>
        <v>Jhon Betancur 123</v>
      </c>
      <c r="B2347" s="17" t="s">
        <v>4815</v>
      </c>
      <c r="C2347" s="18">
        <v>46201.000706018516</v>
      </c>
      <c r="D2347" s="17" t="s">
        <v>4816</v>
      </c>
      <c r="E2347" s="19" t="s">
        <v>29</v>
      </c>
      <c r="F2347" s="19" t="s">
        <v>30</v>
      </c>
      <c r="G2347" s="20" t="s">
        <v>17</v>
      </c>
      <c r="H2347" s="20" t="s">
        <v>18</v>
      </c>
      <c r="I2347" s="19" t="str">
        <f>IMAGE("https://upload.wikimedia.org/wikipedia/commons/f/f5/Zanate_mexicano.png")</f>
        <v/>
      </c>
    </row>
    <row r="2348" ht="36.0" customHeight="1">
      <c r="A2348" s="10" t="str">
        <f>HYPERLINK("https://commons.wikimedia.org/wiki/User:" &amp; ENCODEURL("Juan Carlos Sáenz Rodríguez"), "Juan Carlos Sáenz Rodríguez")</f>
        <v>Juan Carlos Sáenz Rodríguez</v>
      </c>
      <c r="B2348" s="11" t="s">
        <v>4817</v>
      </c>
      <c r="C2348" s="12">
        <v>46194.58326388889</v>
      </c>
      <c r="D2348" s="11" t="s">
        <v>4818</v>
      </c>
      <c r="E2348" s="14" t="s">
        <v>29</v>
      </c>
      <c r="F2348" s="14" t="s">
        <v>30</v>
      </c>
      <c r="G2348" s="15" t="s">
        <v>17</v>
      </c>
      <c r="H2348" s="15" t="s">
        <v>18</v>
      </c>
      <c r="I2348" s="14" t="str">
        <f>IMAGE("https://upload.wikimedia.org/wikipedia/commons/6/66/Zapatico.jpg")</f>
        <v/>
      </c>
    </row>
    <row r="2349" ht="36.0" customHeight="1">
      <c r="A2349" s="16" t="str">
        <f>HYPERLINK("https://commons.wikimedia.org/wiki/User:" &amp; ENCODEURL("Nathaly 1106"), "Nathaly 1106")</f>
        <v>Nathaly 1106</v>
      </c>
      <c r="B2349" s="17" t="s">
        <v>4819</v>
      </c>
      <c r="C2349" s="18">
        <v>46147.67103009259</v>
      </c>
      <c r="D2349" s="17" t="s">
        <v>4820</v>
      </c>
      <c r="E2349" s="19" t="s">
        <v>29</v>
      </c>
      <c r="F2349" s="19" t="s">
        <v>30</v>
      </c>
      <c r="G2349" s="20" t="s">
        <v>17</v>
      </c>
      <c r="H2349" s="20" t="s">
        <v>18</v>
      </c>
      <c r="I2349" s="19" t="str">
        <f>IMAGE("https://upload.wikimedia.org/wikipedia/commons/1/13/Zebrina_%28Tradescantia_zebrina%29.jpg")</f>
        <v/>
      </c>
    </row>
    <row r="2350" ht="36.0" customHeight="1">
      <c r="A2350" s="10" t="str">
        <f>HYPERLINK("https://commons.wikimedia.org/wiki/User:" &amp; ENCODEURL("Sigolene-jomain"), "Sigolene-jomain")</f>
        <v>Sigolene-jomain</v>
      </c>
      <c r="B2350" s="11" t="s">
        <v>4821</v>
      </c>
      <c r="C2350" s="12">
        <v>46203.84811342593</v>
      </c>
      <c r="D2350" s="11" t="s">
        <v>4822</v>
      </c>
      <c r="E2350" s="14" t="s">
        <v>4823</v>
      </c>
      <c r="F2350" s="15" t="s">
        <v>16</v>
      </c>
      <c r="G2350" s="15" t="s">
        <v>17</v>
      </c>
      <c r="H2350" s="15" t="s">
        <v>18</v>
      </c>
      <c r="I2350" s="14" t="str">
        <f>IMAGE("https://upload.wikimedia.org/wikipedia/commons/0/05/Zombie_fungus_Cordyceps.jpg")</f>
        <v/>
      </c>
    </row>
    <row r="2351" ht="36.0" customHeight="1">
      <c r="A2351" s="16" t="str">
        <f t="shared" ref="A2351:A2352" si="294">HYPERLINK("https://commons.wikimedia.org/wiki/User:" &amp; ENCODEURL("Nathaly 1106"), "Nathaly 1106")</f>
        <v>Nathaly 1106</v>
      </c>
      <c r="B2351" s="17" t="s">
        <v>4824</v>
      </c>
      <c r="C2351" s="18">
        <v>46147.67118055555</v>
      </c>
      <c r="D2351" s="17" t="s">
        <v>4825</v>
      </c>
      <c r="E2351" s="19" t="s">
        <v>29</v>
      </c>
      <c r="F2351" s="19" t="s">
        <v>30</v>
      </c>
      <c r="G2351" s="20" t="s">
        <v>17</v>
      </c>
      <c r="H2351" s="20" t="s">
        <v>18</v>
      </c>
      <c r="I2351" s="19" t="str">
        <f>IMAGE("https://upload.wikimedia.org/wikipedia/commons/7/7b/Zona_arborizada_Jard%C3%ADn_Bot%C3%A1nico_de_Bogot%C3%A1.jpg")</f>
        <v/>
      </c>
    </row>
    <row r="2352" ht="36.0" customHeight="1">
      <c r="A2352" s="10" t="str">
        <f t="shared" si="294"/>
        <v>Nathaly 1106</v>
      </c>
      <c r="B2352" s="11" t="s">
        <v>4826</v>
      </c>
      <c r="C2352" s="12">
        <v>46147.67128472222</v>
      </c>
      <c r="D2352" s="11" t="s">
        <v>4827</v>
      </c>
      <c r="E2352" s="14" t="s">
        <v>29</v>
      </c>
      <c r="F2352" s="14" t="s">
        <v>30</v>
      </c>
      <c r="G2352" s="15" t="s">
        <v>17</v>
      </c>
      <c r="H2352" s="15" t="s">
        <v>18</v>
      </c>
      <c r="I2352" s="14" t="str">
        <f>IMAGE("https://upload.wikimedia.org/wikipedia/commons/d/dc/Zona_boscosa_con_%C3%A1rboles_de_porte_alto.jpg")</f>
        <v/>
      </c>
    </row>
    <row r="2353" ht="36.0" customHeight="1">
      <c r="A2353" s="16" t="str">
        <f t="shared" ref="A2353:A2354" si="295">HYPERLINK("https://commons.wikimedia.org/wiki/User:" &amp; ENCODEURL("Diferoch"), "Diferoch")</f>
        <v>Diferoch</v>
      </c>
      <c r="B2353" s="17" t="s">
        <v>4828</v>
      </c>
      <c r="C2353" s="18">
        <v>46189.815625</v>
      </c>
      <c r="D2353" s="17" t="s">
        <v>4829</v>
      </c>
      <c r="E2353" s="19" t="s">
        <v>4830</v>
      </c>
      <c r="F2353" s="20" t="s">
        <v>16</v>
      </c>
      <c r="G2353" s="20" t="s">
        <v>17</v>
      </c>
      <c r="H2353" s="20" t="s">
        <v>18</v>
      </c>
      <c r="I2353" s="19" t="str">
        <f>IMAGE("https://upload.wikimedia.org/wikipedia/commons/5/5c/Zonotrichia_capensis_costaricensis_-_Bogot%C3%A1_D._C.%2C_Colombia_-_23_Aug_2025_-_Diferoch_-_1.jpg")</f>
        <v/>
      </c>
    </row>
    <row r="2354" ht="36.0" customHeight="1">
      <c r="A2354" s="10" t="str">
        <f t="shared" si="295"/>
        <v>Diferoch</v>
      </c>
      <c r="B2354" s="11" t="s">
        <v>4831</v>
      </c>
      <c r="C2354" s="12">
        <v>46189.81563657407</v>
      </c>
      <c r="D2354" s="11" t="s">
        <v>4829</v>
      </c>
      <c r="E2354" s="14" t="s">
        <v>4832</v>
      </c>
      <c r="F2354" s="15" t="s">
        <v>16</v>
      </c>
      <c r="G2354" s="15" t="s">
        <v>17</v>
      </c>
      <c r="H2354" s="15" t="s">
        <v>18</v>
      </c>
      <c r="I2354" s="14" t="str">
        <f>IMAGE("https://upload.wikimedia.org/wikipedia/commons/a/a6/Zonotrichia_capensis_costaricensis_-_Bogot%C3%A1_D._C.%2C_Colombia_-_23_Aug_2025_-_Diferoch_-_2.jpg")</f>
        <v/>
      </c>
    </row>
    <row r="2355" ht="36.0" customHeight="1">
      <c r="A2355" s="16" t="str">
        <f t="shared" ref="A2355:A2357" si="296">HYPERLINK("https://commons.wikimedia.org/wiki/User:" &amp; ENCODEURL("Allysami2215"), "Allysami2215")</f>
        <v>Allysami2215</v>
      </c>
      <c r="B2355" s="17" t="s">
        <v>4833</v>
      </c>
      <c r="C2355" s="18">
        <v>46147.85188657408</v>
      </c>
      <c r="D2355" s="17" t="s">
        <v>4834</v>
      </c>
      <c r="E2355" s="19" t="s">
        <v>29</v>
      </c>
      <c r="F2355" s="19" t="s">
        <v>30</v>
      </c>
      <c r="G2355" s="20" t="s">
        <v>17</v>
      </c>
      <c r="H2355" s="20" t="s">
        <v>18</v>
      </c>
      <c r="I2355" s="19" t="str">
        <f>IMAGE("https://upload.wikimedia.org/wikipedia/commons/a/ae/Zool%C3%B3gico_de_Pereira_2.jpg")</f>
        <v/>
      </c>
    </row>
    <row r="2356" ht="36.0" customHeight="1">
      <c r="A2356" s="10" t="str">
        <f t="shared" si="296"/>
        <v>Allysami2215</v>
      </c>
      <c r="B2356" s="11" t="s">
        <v>4835</v>
      </c>
      <c r="C2356" s="12">
        <v>46147.85186342592</v>
      </c>
      <c r="D2356" s="11" t="s">
        <v>4836</v>
      </c>
      <c r="E2356" s="14" t="s">
        <v>29</v>
      </c>
      <c r="F2356" s="14" t="s">
        <v>30</v>
      </c>
      <c r="G2356" s="15" t="s">
        <v>17</v>
      </c>
      <c r="H2356" s="15" t="s">
        <v>18</v>
      </c>
      <c r="I2356" s="14" t="str">
        <f>IMAGE("https://upload.wikimedia.org/wikipedia/commons/a/a0/Zool%C3%B3gico_de_pereira.jpg")</f>
        <v/>
      </c>
    </row>
    <row r="2357" ht="36.0" customHeight="1">
      <c r="A2357" s="16" t="str">
        <f t="shared" si="296"/>
        <v>Allysami2215</v>
      </c>
      <c r="B2357" s="17" t="s">
        <v>4837</v>
      </c>
      <c r="C2357" s="18">
        <v>46147.851851851854</v>
      </c>
      <c r="D2357" s="17" t="s">
        <v>4838</v>
      </c>
      <c r="E2357" s="19" t="s">
        <v>29</v>
      </c>
      <c r="F2357" s="19" t="s">
        <v>30</v>
      </c>
      <c r="G2357" s="20" t="s">
        <v>17</v>
      </c>
      <c r="H2357" s="20" t="s">
        <v>18</v>
      </c>
      <c r="I2357" s="19" t="str">
        <f>IMAGE("https://upload.wikimedia.org/wikipedia/commons/d/d6/Zool%C3%B3gico_de_santa_cruz.jpg")</f>
        <v/>
      </c>
    </row>
    <row r="2358" ht="36.0" customHeight="1">
      <c r="A2358" s="10" t="str">
        <f>HYPERLINK("https://commons.wikimedia.org/wiki/User:" &amp; ENCODEURL("Avargasc1"), "Avargasc1")</f>
        <v>Avargasc1</v>
      </c>
      <c r="B2358" s="11" t="s">
        <v>4839</v>
      </c>
      <c r="C2358" s="12">
        <v>46171.36010416667</v>
      </c>
      <c r="D2358" s="11" t="s">
        <v>4840</v>
      </c>
      <c r="E2358" s="14" t="s">
        <v>29</v>
      </c>
      <c r="F2358" s="14" t="s">
        <v>30</v>
      </c>
      <c r="G2358" s="15" t="s">
        <v>17</v>
      </c>
      <c r="H2358" s="15" t="s">
        <v>18</v>
      </c>
      <c r="I2358" s="14" t="str">
        <f>IMAGE("https://upload.wikimedia.org/wikipedia/commons/d/da/Zorzal_piquinegro.jpg")</f>
        <v/>
      </c>
    </row>
    <row r="2359" ht="36.0" customHeight="1">
      <c r="A2359" s="16" t="str">
        <f>HYPERLINK("https://commons.wikimedia.org/wiki/User:" &amp; ENCODEURL("Rodrigomacrophoto"), "Rodrigomacrophoto")</f>
        <v>Rodrigomacrophoto</v>
      </c>
      <c r="B2359" s="17" t="s">
        <v>4841</v>
      </c>
      <c r="C2359" s="18">
        <v>46146.83775462963</v>
      </c>
      <c r="D2359" s="17" t="s">
        <v>4842</v>
      </c>
      <c r="E2359" s="19" t="s">
        <v>4843</v>
      </c>
      <c r="F2359" s="20" t="s">
        <v>16</v>
      </c>
      <c r="G2359" s="20" t="s">
        <v>17</v>
      </c>
      <c r="H2359" s="20" t="s">
        <v>18</v>
      </c>
      <c r="I2359" s="19" t="str">
        <f>IMAGE("https://upload.wikimedia.org/wikipedia/commons/6/66/%C3%81fidos_aliment%C3%A1ndose_de_una_vaina_de_retamo_espinoso.jpg")</f>
        <v/>
      </c>
    </row>
    <row r="2360" ht="36.0" customHeight="1">
      <c r="A2360" s="10" t="str">
        <f>HYPERLINK("https://commons.wikimedia.org/wiki/User:" &amp; ENCODEURL("MemoOssa"), "MemoOssa")</f>
        <v>MemoOssa</v>
      </c>
      <c r="B2360" s="11" t="s">
        <v>4844</v>
      </c>
      <c r="C2360" s="12">
        <v>46176.77392361111</v>
      </c>
      <c r="D2360" s="11" t="s">
        <v>4845</v>
      </c>
      <c r="E2360" s="14" t="s">
        <v>29</v>
      </c>
      <c r="F2360" s="14" t="s">
        <v>30</v>
      </c>
      <c r="G2360" s="15" t="s">
        <v>17</v>
      </c>
      <c r="H2360" s="15" t="s">
        <v>18</v>
      </c>
      <c r="I2360" s="14" t="str">
        <f>IMAGE("https://upload.wikimedia.org/wikipedia/commons/8/88/%C3%81guila_Real_de_Monta%C3%B1a_%28Spizaetus_isidori%29.jpg")</f>
        <v/>
      </c>
    </row>
    <row r="2361" ht="36.0" customHeight="1">
      <c r="A2361" s="16" t="str">
        <f t="shared" ref="A2361:A2368" si="297">HYPERLINK("https://commons.wikimedia.org/wiki/User:" &amp; ENCODEURL("Nathaly 1106"), "Nathaly 1106")</f>
        <v>Nathaly 1106</v>
      </c>
      <c r="B2361" s="17" t="s">
        <v>4846</v>
      </c>
      <c r="C2361" s="18">
        <v>46147.67122685185</v>
      </c>
      <c r="D2361" s="17" t="s">
        <v>4847</v>
      </c>
      <c r="E2361" s="19" t="s">
        <v>29</v>
      </c>
      <c r="F2361" s="19" t="s">
        <v>30</v>
      </c>
      <c r="G2361" s="20" t="s">
        <v>17</v>
      </c>
      <c r="H2361" s="20" t="s">
        <v>18</v>
      </c>
      <c r="I2361" s="19" t="str">
        <f>IMAGE("https://upload.wikimedia.org/wikipedia/commons/9/9f/%C3%81rbol_bifurcado.jpg")</f>
        <v/>
      </c>
    </row>
    <row r="2362" ht="36.0" customHeight="1">
      <c r="A2362" s="10" t="str">
        <f t="shared" si="297"/>
        <v>Nathaly 1106</v>
      </c>
      <c r="B2362" s="11" t="s">
        <v>4848</v>
      </c>
      <c r="C2362" s="12">
        <v>46147.67125</v>
      </c>
      <c r="D2362" s="11" t="s">
        <v>4849</v>
      </c>
      <c r="E2362" s="14" t="s">
        <v>29</v>
      </c>
      <c r="F2362" s="14" t="s">
        <v>30</v>
      </c>
      <c r="G2362" s="15" t="s">
        <v>17</v>
      </c>
      <c r="H2362" s="15" t="s">
        <v>18</v>
      </c>
      <c r="I2362" s="14" t="str">
        <f>IMAGE("https://upload.wikimedia.org/wikipedia/commons/4/4b/%C3%81rbol_Borrachero_%28Solanaceae%29.jpg")</f>
        <v/>
      </c>
    </row>
    <row r="2363" ht="36.0" customHeight="1">
      <c r="A2363" s="16" t="str">
        <f t="shared" si="297"/>
        <v>Nathaly 1106</v>
      </c>
      <c r="B2363" s="17" t="s">
        <v>4850</v>
      </c>
      <c r="C2363" s="18">
        <v>46148.61938657407</v>
      </c>
      <c r="D2363" s="17" t="s">
        <v>4851</v>
      </c>
      <c r="E2363" s="19" t="s">
        <v>29</v>
      </c>
      <c r="F2363" s="19" t="s">
        <v>30</v>
      </c>
      <c r="G2363" s="20" t="s">
        <v>17</v>
      </c>
      <c r="H2363" s="20" t="s">
        <v>18</v>
      </c>
      <c r="I2363" s="19" t="str">
        <f>IMAGE("https://upload.wikimedia.org/wikipedia/commons/9/96/%C3%81rbol_Cedro_cebolla_%28Meliaceae%29.jpg")</f>
        <v/>
      </c>
    </row>
    <row r="2364" ht="36.0" customHeight="1">
      <c r="A2364" s="10" t="str">
        <f t="shared" si="297"/>
        <v>Nathaly 1106</v>
      </c>
      <c r="B2364" s="11" t="s">
        <v>4852</v>
      </c>
      <c r="C2364" s="12">
        <v>46148.61944444444</v>
      </c>
      <c r="D2364" s="11" t="s">
        <v>972</v>
      </c>
      <c r="E2364" s="14" t="s">
        <v>29</v>
      </c>
      <c r="F2364" s="14" t="s">
        <v>30</v>
      </c>
      <c r="G2364" s="15" t="s">
        <v>17</v>
      </c>
      <c r="H2364" s="15" t="s">
        <v>18</v>
      </c>
      <c r="I2364" s="14" t="str">
        <f>IMAGE("https://upload.wikimedia.org/wikipedia/commons/9/93/%C3%81rbol_Cedro_de_cebolla.jpg")</f>
        <v/>
      </c>
    </row>
    <row r="2365" ht="36.0" customHeight="1">
      <c r="A2365" s="16" t="str">
        <f t="shared" si="297"/>
        <v>Nathaly 1106</v>
      </c>
      <c r="B2365" s="17" t="s">
        <v>4853</v>
      </c>
      <c r="C2365" s="18">
        <v>46148.61935185185</v>
      </c>
      <c r="D2365" s="17" t="s">
        <v>4854</v>
      </c>
      <c r="E2365" s="19" t="s">
        <v>29</v>
      </c>
      <c r="F2365" s="19" t="s">
        <v>30</v>
      </c>
      <c r="G2365" s="20" t="s">
        <v>17</v>
      </c>
      <c r="H2365" s="20" t="s">
        <v>18</v>
      </c>
      <c r="I2365" s="19" t="str">
        <f>IMAGE("https://upload.wikimedia.org/wikipedia/commons/3/32/%C3%81rbol_Corono_%28Salicaceae%29.jpg")</f>
        <v/>
      </c>
    </row>
    <row r="2366" ht="36.0" customHeight="1">
      <c r="A2366" s="10" t="str">
        <f t="shared" si="297"/>
        <v>Nathaly 1106</v>
      </c>
      <c r="B2366" s="11" t="s">
        <v>4855</v>
      </c>
      <c r="C2366" s="12">
        <v>46148.619259259256</v>
      </c>
      <c r="D2366" s="11" t="s">
        <v>4854</v>
      </c>
      <c r="E2366" s="14" t="s">
        <v>29</v>
      </c>
      <c r="F2366" s="14" t="s">
        <v>30</v>
      </c>
      <c r="G2366" s="15" t="s">
        <v>17</v>
      </c>
      <c r="H2366" s="15" t="s">
        <v>18</v>
      </c>
      <c r="I2366" s="14" t="str">
        <f>IMAGE("https://upload.wikimedia.org/wikipedia/commons/8/88/%C3%81rbol_Corono_%28Salicaceae%291.jpg")</f>
        <v/>
      </c>
    </row>
    <row r="2367" ht="36.0" customHeight="1">
      <c r="A2367" s="16" t="str">
        <f t="shared" si="297"/>
        <v>Nathaly 1106</v>
      </c>
      <c r="B2367" s="17" t="s">
        <v>4856</v>
      </c>
      <c r="C2367" s="18">
        <v>46147.671168981484</v>
      </c>
      <c r="D2367" s="17" t="s">
        <v>4857</v>
      </c>
      <c r="E2367" s="19" t="s">
        <v>29</v>
      </c>
      <c r="F2367" s="19" t="s">
        <v>30</v>
      </c>
      <c r="G2367" s="20" t="s">
        <v>17</v>
      </c>
      <c r="H2367" s="20" t="s">
        <v>18</v>
      </c>
      <c r="I2367" s="19" t="str">
        <f>IMAGE("https://upload.wikimedia.org/wikipedia/commons/1/19/%C3%81rbol_Cucharo_%28Primulaceae%29.jpg")</f>
        <v/>
      </c>
    </row>
    <row r="2368" ht="36.0" customHeight="1">
      <c r="A2368" s="10" t="str">
        <f t="shared" si="297"/>
        <v>Nathaly 1106</v>
      </c>
      <c r="B2368" s="11" t="s">
        <v>4858</v>
      </c>
      <c r="C2368" s="12">
        <v>46148.631423611114</v>
      </c>
      <c r="D2368" s="11" t="s">
        <v>4859</v>
      </c>
      <c r="E2368" s="14" t="s">
        <v>29</v>
      </c>
      <c r="F2368" s="14" t="s">
        <v>30</v>
      </c>
      <c r="G2368" s="15" t="s">
        <v>17</v>
      </c>
      <c r="H2368" s="15" t="s">
        <v>18</v>
      </c>
      <c r="I2368" s="14" t="str">
        <f>IMAGE("https://upload.wikimedia.org/wikipedia/commons/4/4c/%C3%81rbol_Guayac%C3%A1n_de_Manizales_%28Lafoensia_acuminata%29.jpg")</f>
        <v/>
      </c>
    </row>
    <row r="2369" ht="36.0" customHeight="1">
      <c r="A2369" s="16" t="str">
        <f>HYPERLINK("https://commons.wikimedia.org/wiki/User:" &amp; ENCODEURL("NMontoya (WMCO)"), "NMontoya (WMCO)")</f>
        <v>NMontoya (WMCO)</v>
      </c>
      <c r="B2369" s="17" t="s">
        <v>4860</v>
      </c>
      <c r="C2369" s="18">
        <v>46191.807708333334</v>
      </c>
      <c r="D2369" s="17" t="s">
        <v>4861</v>
      </c>
      <c r="E2369" s="19" t="s">
        <v>683</v>
      </c>
      <c r="F2369" s="20" t="s">
        <v>16</v>
      </c>
      <c r="G2369" s="20" t="s">
        <v>17</v>
      </c>
      <c r="H2369" s="20" t="s">
        <v>18</v>
      </c>
      <c r="I2369" s="19" t="str">
        <f>IMAGE("https://upload.wikimedia.org/wikipedia/commons/3/33/%C3%81rbol_Guayusa_-_Ilex_guayusa_-_Aquifoliaceae.jpg")</f>
        <v/>
      </c>
    </row>
    <row r="2370" ht="36.0" customHeight="1">
      <c r="A2370" s="10" t="str">
        <f>HYPERLINK("https://commons.wikimedia.org/wiki/User:" &amp; ENCODEURL("Nathaly 1106"), "Nathaly 1106")</f>
        <v>Nathaly 1106</v>
      </c>
      <c r="B2370" s="11" t="s">
        <v>4862</v>
      </c>
      <c r="C2370" s="12">
        <v>46148.619421296295</v>
      </c>
      <c r="D2370" s="11" t="s">
        <v>1741</v>
      </c>
      <c r="E2370" s="14" t="s">
        <v>29</v>
      </c>
      <c r="F2370" s="14" t="s">
        <v>30</v>
      </c>
      <c r="G2370" s="15" t="s">
        <v>17</v>
      </c>
      <c r="H2370" s="15" t="s">
        <v>18</v>
      </c>
      <c r="I2370" s="14" t="str">
        <f>IMAGE("https://upload.wikimedia.org/wikipedia/commons/3/3e/%C3%81rbol_Hueso_%28Salicaceae%29.jpg")</f>
        <v/>
      </c>
    </row>
    <row r="2371" ht="36.0" customHeight="1">
      <c r="A2371" s="16" t="str">
        <f>HYPERLINK("https://commons.wikimedia.org/wiki/User:" &amp; ENCODEURL("Karumain"), "Karumain")</f>
        <v>Karumain</v>
      </c>
      <c r="B2371" s="17" t="s">
        <v>4863</v>
      </c>
      <c r="C2371" s="18">
        <v>46163.515439814815</v>
      </c>
      <c r="D2371" s="17" t="s">
        <v>4864</v>
      </c>
      <c r="E2371" s="19" t="s">
        <v>29</v>
      </c>
      <c r="F2371" s="19" t="s">
        <v>30</v>
      </c>
      <c r="G2371" s="20" t="s">
        <v>17</v>
      </c>
      <c r="H2371" s="20" t="s">
        <v>18</v>
      </c>
      <c r="I2371" s="19" t="str">
        <f>IMAGE("https://upload.wikimedia.org/wikipedia/commons/3/3c/%C3%81rbol_con_mono.jpg")</f>
        <v/>
      </c>
    </row>
    <row r="2372" ht="36.0" customHeight="1">
      <c r="A2372" s="10" t="str">
        <f t="shared" ref="A2372:A2374" si="298">HYPERLINK("https://commons.wikimedia.org/wiki/User:" &amp; ENCODEURL("Nathaly 1106"), "Nathaly 1106")</f>
        <v>Nathaly 1106</v>
      </c>
      <c r="B2372" s="11" t="s">
        <v>4865</v>
      </c>
      <c r="C2372" s="12">
        <v>46148.63140046296</v>
      </c>
      <c r="D2372" s="11" t="s">
        <v>1001</v>
      </c>
      <c r="E2372" s="14" t="s">
        <v>29</v>
      </c>
      <c r="F2372" s="14" t="s">
        <v>30</v>
      </c>
      <c r="G2372" s="15" t="s">
        <v>17</v>
      </c>
      <c r="H2372" s="15" t="s">
        <v>18</v>
      </c>
      <c r="I2372" s="14" t="str">
        <f>IMAGE("https://upload.wikimedia.org/wikipedia/commons/b/bb/%C3%81rbol_de_Cerezo_%28Rosaceae%29.jpg")</f>
        <v/>
      </c>
    </row>
    <row r="2373" ht="36.0" customHeight="1">
      <c r="A2373" s="16" t="str">
        <f t="shared" si="298"/>
        <v>Nathaly 1106</v>
      </c>
      <c r="B2373" s="17" t="s">
        <v>4866</v>
      </c>
      <c r="C2373" s="18">
        <v>46148.61935185185</v>
      </c>
      <c r="D2373" s="17" t="s">
        <v>4867</v>
      </c>
      <c r="E2373" s="19" t="s">
        <v>29</v>
      </c>
      <c r="F2373" s="19" t="s">
        <v>30</v>
      </c>
      <c r="G2373" s="20" t="s">
        <v>17</v>
      </c>
      <c r="H2373" s="20" t="s">
        <v>18</v>
      </c>
      <c r="I2373" s="19" t="str">
        <f>IMAGE("https://upload.wikimedia.org/wikipedia/commons/4/4c/%C3%81rbol_de_Corono_%28Xylosma_spiculifera%29.jpg")</f>
        <v/>
      </c>
    </row>
    <row r="2374" ht="36.0" customHeight="1">
      <c r="A2374" s="10" t="str">
        <f t="shared" si="298"/>
        <v>Nathaly 1106</v>
      </c>
      <c r="B2374" s="11" t="s">
        <v>4868</v>
      </c>
      <c r="C2374" s="12">
        <v>46148.61922453704</v>
      </c>
      <c r="D2374" s="11" t="s">
        <v>4869</v>
      </c>
      <c r="E2374" s="14" t="s">
        <v>29</v>
      </c>
      <c r="F2374" s="14" t="s">
        <v>30</v>
      </c>
      <c r="G2374" s="15" t="s">
        <v>17</v>
      </c>
      <c r="H2374" s="15" t="s">
        <v>18</v>
      </c>
      <c r="I2374" s="14" t="str">
        <f>IMAGE("https://upload.wikimedia.org/wikipedia/commons/7/73/%C3%81rbol_de_alto_porte.jpg")</f>
        <v/>
      </c>
    </row>
    <row r="2375" ht="36.0" customHeight="1">
      <c r="A2375" s="16" t="str">
        <f>HYPERLINK("https://commons.wikimedia.org/wiki/User:" &amp; ENCODEURL("NMontoya (WMCO)"), "NMontoya (WMCO)")</f>
        <v>NMontoya (WMCO)</v>
      </c>
      <c r="B2375" s="17" t="s">
        <v>4870</v>
      </c>
      <c r="C2375" s="18">
        <v>46177.80658564815</v>
      </c>
      <c r="D2375" s="17" t="s">
        <v>4871</v>
      </c>
      <c r="E2375" s="19" t="s">
        <v>103</v>
      </c>
      <c r="F2375" s="20" t="s">
        <v>16</v>
      </c>
      <c r="G2375" s="20" t="s">
        <v>17</v>
      </c>
      <c r="H2375" s="20" t="s">
        <v>18</v>
      </c>
      <c r="I2375" s="19" t="str">
        <f>IMAGE("https://upload.wikimedia.org/wikipedia/commons/5/5b/%C3%81rbol_de_araza_-_Eugenia_stipitata.jpg")</f>
        <v/>
      </c>
    </row>
    <row r="2376" ht="36.0" customHeight="1">
      <c r="A2376" s="10" t="str">
        <f>HYPERLINK("https://commons.wikimedia.org/wiki/User:" &amp; ENCODEURL("Karumain"), "Karumain")</f>
        <v>Karumain</v>
      </c>
      <c r="B2376" s="11" t="s">
        <v>4872</v>
      </c>
      <c r="C2376" s="12">
        <v>46163.515439814815</v>
      </c>
      <c r="D2376" s="11" t="s">
        <v>4873</v>
      </c>
      <c r="E2376" s="14" t="s">
        <v>29</v>
      </c>
      <c r="F2376" s="14" t="s">
        <v>30</v>
      </c>
      <c r="G2376" s="15" t="s">
        <v>17</v>
      </c>
      <c r="H2376" s="15" t="s">
        <v>18</v>
      </c>
      <c r="I2376" s="14" t="str">
        <f>IMAGE("https://upload.wikimedia.org/wikipedia/commons/0/05/%C3%81rbol_de_flores_rosadas.jpg")</f>
        <v/>
      </c>
    </row>
    <row r="2377" ht="36.0" customHeight="1">
      <c r="A2377" s="16" t="str">
        <f t="shared" ref="A2377:A2380" si="299">HYPERLINK("https://commons.wikimedia.org/wiki/User:" &amp; ENCODEURL("Nathaly 1106"), "Nathaly 1106")</f>
        <v>Nathaly 1106</v>
      </c>
      <c r="B2377" s="17" t="s">
        <v>4874</v>
      </c>
      <c r="C2377" s="18">
        <v>46148.619097222225</v>
      </c>
      <c r="D2377" s="17" t="s">
        <v>359</v>
      </c>
      <c r="E2377" s="19" t="s">
        <v>29</v>
      </c>
      <c r="F2377" s="19" t="s">
        <v>30</v>
      </c>
      <c r="G2377" s="20" t="s">
        <v>17</v>
      </c>
      <c r="H2377" s="20" t="s">
        <v>18</v>
      </c>
      <c r="I2377" s="19" t="str">
        <f>IMAGE("https://upload.wikimedia.org/wikipedia/commons/b/bc/%C3%81rbol_de_guayabo_%28Psidium_guajava%29.jpg")</f>
        <v/>
      </c>
    </row>
    <row r="2378" ht="36.0" customHeight="1">
      <c r="A2378" s="10" t="str">
        <f t="shared" si="299"/>
        <v>Nathaly 1106</v>
      </c>
      <c r="B2378" s="11" t="s">
        <v>4875</v>
      </c>
      <c r="C2378" s="12">
        <v>46148.61913194445</v>
      </c>
      <c r="D2378" s="11" t="s">
        <v>4876</v>
      </c>
      <c r="E2378" s="14" t="s">
        <v>29</v>
      </c>
      <c r="F2378" s="14" t="s">
        <v>30</v>
      </c>
      <c r="G2378" s="15" t="s">
        <v>17</v>
      </c>
      <c r="H2378" s="15" t="s">
        <v>18</v>
      </c>
      <c r="I2378" s="14" t="str">
        <f>IMAGE("https://upload.wikimedia.org/wikipedia/commons/1/15/%C3%81rbol_de_la_vida_%28Cupressaceae%29.jpg")</f>
        <v/>
      </c>
    </row>
    <row r="2379" ht="36.0" customHeight="1">
      <c r="A2379" s="16" t="str">
        <f t="shared" si="299"/>
        <v>Nathaly 1106</v>
      </c>
      <c r="B2379" s="17" t="s">
        <v>4877</v>
      </c>
      <c r="C2379" s="18">
        <v>46147.671377314815</v>
      </c>
      <c r="D2379" s="17" t="s">
        <v>4878</v>
      </c>
      <c r="E2379" s="19" t="s">
        <v>29</v>
      </c>
      <c r="F2379" s="19" t="s">
        <v>30</v>
      </c>
      <c r="G2379" s="20" t="s">
        <v>17</v>
      </c>
      <c r="H2379" s="20" t="s">
        <v>18</v>
      </c>
      <c r="I2379" s="19" t="str">
        <f>IMAGE("https://upload.wikimedia.org/wikipedia/commons/a/a5/%C3%81rbol_de_m%C3%BAltiples_troncos.jpg")</f>
        <v/>
      </c>
    </row>
    <row r="2380" ht="36.0" customHeight="1">
      <c r="A2380" s="10" t="str">
        <f t="shared" si="299"/>
        <v>Nathaly 1106</v>
      </c>
      <c r="B2380" s="11" t="s">
        <v>4879</v>
      </c>
      <c r="C2380" s="12">
        <v>46147.6712962963</v>
      </c>
      <c r="D2380" s="11" t="s">
        <v>4869</v>
      </c>
      <c r="E2380" s="14" t="s">
        <v>29</v>
      </c>
      <c r="F2380" s="14" t="s">
        <v>30</v>
      </c>
      <c r="G2380" s="15" t="s">
        <v>17</v>
      </c>
      <c r="H2380" s="15" t="s">
        <v>18</v>
      </c>
      <c r="I2380" s="14" t="str">
        <f>IMAGE("https://upload.wikimedia.org/wikipedia/commons/1/1c/%C3%81rbol_de_porte_alto.jpg")</f>
        <v/>
      </c>
    </row>
    <row r="2381" ht="36.0" customHeight="1">
      <c r="A2381" s="16" t="str">
        <f>HYPERLINK("https://commons.wikimedia.org/wiki/User:" &amp; ENCODEURL("Jukaper23"), "Jukaper23")</f>
        <v>Jukaper23</v>
      </c>
      <c r="B2381" s="17" t="s">
        <v>4880</v>
      </c>
      <c r="C2381" s="18">
        <v>46201.53690972222</v>
      </c>
      <c r="D2381" s="17" t="s">
        <v>4881</v>
      </c>
      <c r="E2381" s="19" t="s">
        <v>29</v>
      </c>
      <c r="F2381" s="19" t="s">
        <v>30</v>
      </c>
      <c r="G2381" s="20" t="s">
        <v>17</v>
      </c>
      <c r="H2381" s="20" t="s">
        <v>18</v>
      </c>
      <c r="I2381" s="19" t="str">
        <f>IMAGE("https://upload.wikimedia.org/wikipedia/commons/0/00/%C3%81rbol_en_apego.jpg")</f>
        <v/>
      </c>
    </row>
    <row r="2382" ht="36.0" customHeight="1">
      <c r="A2382" s="10" t="str">
        <f>HYPERLINK("https://commons.wikimedia.org/wiki/User:" &amp; ENCODEURL("Nathaly 1106"), "Nathaly 1106")</f>
        <v>Nathaly 1106</v>
      </c>
      <c r="B2382" s="11" t="s">
        <v>4882</v>
      </c>
      <c r="C2382" s="12">
        <v>46147.67107638889</v>
      </c>
      <c r="D2382" s="11" t="s">
        <v>4883</v>
      </c>
      <c r="E2382" s="14" t="s">
        <v>29</v>
      </c>
      <c r="F2382" s="14" t="s">
        <v>30</v>
      </c>
      <c r="G2382" s="15" t="s">
        <v>17</v>
      </c>
      <c r="H2382" s="15" t="s">
        <v>18</v>
      </c>
      <c r="I2382" s="14" t="str">
        <f>IMAGE("https://upload.wikimedia.org/wikipedia/commons/6/68/%C3%81rbol_Melastomataceae_de_flores_blancas.jpg")</f>
        <v/>
      </c>
    </row>
    <row r="2383" ht="36.0" customHeight="1">
      <c r="A2383" s="16" t="str">
        <f>HYPERLINK("https://commons.wikimedia.org/wiki/User:" &amp; ENCODEURL("NMontoya (WMCO)"), "NMontoya (WMCO)")</f>
        <v>NMontoya (WMCO)</v>
      </c>
      <c r="B2383" s="17" t="s">
        <v>4884</v>
      </c>
      <c r="C2383" s="18">
        <v>46177.80658564815</v>
      </c>
      <c r="D2383" s="17" t="s">
        <v>4885</v>
      </c>
      <c r="E2383" s="19" t="s">
        <v>103</v>
      </c>
      <c r="F2383" s="20" t="s">
        <v>16</v>
      </c>
      <c r="G2383" s="20" t="s">
        <v>17</v>
      </c>
      <c r="H2383" s="20" t="s">
        <v>18</v>
      </c>
      <c r="I2383" s="19" t="str">
        <f>IMAGE("https://upload.wikimedia.org/wikipedia/commons/5/59/%C3%81rbol_Pereskia_bleo.jpg")</f>
        <v/>
      </c>
    </row>
    <row r="2384" ht="36.0" customHeight="1">
      <c r="A2384" s="10" t="str">
        <f t="shared" ref="A2384:A2385" si="300">HYPERLINK("https://commons.wikimedia.org/wiki/User:" &amp; ENCODEURL("Nathaly 1106"), "Nathaly 1106")</f>
        <v>Nathaly 1106</v>
      </c>
      <c r="B2384" s="11" t="s">
        <v>4886</v>
      </c>
      <c r="C2384" s="12">
        <v>46147.67145833333</v>
      </c>
      <c r="D2384" s="11" t="s">
        <v>2664</v>
      </c>
      <c r="E2384" s="14" t="s">
        <v>29</v>
      </c>
      <c r="F2384" s="14" t="s">
        <v>30</v>
      </c>
      <c r="G2384" s="15" t="s">
        <v>17</v>
      </c>
      <c r="H2384" s="15" t="s">
        <v>18</v>
      </c>
      <c r="I2384" s="14" t="str">
        <f>IMAGE("https://upload.wikimedia.org/wikipedia/commons/5/5e/%C3%81rbol_Rabo_de_gallo_%28Lauraceae%29.jpg")</f>
        <v/>
      </c>
    </row>
    <row r="2385" ht="36.0" customHeight="1">
      <c r="A2385" s="16" t="str">
        <f t="shared" si="300"/>
        <v>Nathaly 1106</v>
      </c>
      <c r="B2385" s="17" t="s">
        <v>4887</v>
      </c>
      <c r="C2385" s="18">
        <v>46147.671215277776</v>
      </c>
      <c r="D2385" s="17" t="s">
        <v>4888</v>
      </c>
      <c r="E2385" s="19" t="s">
        <v>29</v>
      </c>
      <c r="F2385" s="19" t="s">
        <v>30</v>
      </c>
      <c r="G2385" s="20" t="s">
        <v>17</v>
      </c>
      <c r="H2385" s="20" t="s">
        <v>18</v>
      </c>
      <c r="I2385" s="19" t="str">
        <f>IMAGE("https://upload.wikimedia.org/wikipedia/commons/c/c3/%C3%81rbol_llamado_Cariseco_%28Sapindaceae%29.jpg")</f>
        <v/>
      </c>
    </row>
    <row r="2386" ht="36.0" customHeight="1">
      <c r="A2386" s="10" t="str">
        <f>HYPERLINK("https://commons.wikimedia.org/wiki/User:" &amp; ENCODEURL("Johan Andrés Toro"), "Johan Andrés Toro")</f>
        <v>Johan Andrés Toro</v>
      </c>
      <c r="B2386" s="11" t="s">
        <v>4889</v>
      </c>
      <c r="C2386" s="12">
        <v>46171.73945601852</v>
      </c>
      <c r="D2386" s="11" t="s">
        <v>4890</v>
      </c>
      <c r="E2386" s="14" t="s">
        <v>29</v>
      </c>
      <c r="F2386" s="14" t="s">
        <v>30</v>
      </c>
      <c r="G2386" s="15" t="s">
        <v>17</v>
      </c>
      <c r="H2386" s="15" t="s">
        <v>18</v>
      </c>
      <c r="I2386" s="14" t="str">
        <f>IMAGE("https://upload.wikimedia.org/wikipedia/commons/5/52/%C3%81rbol_solitario_en_las_colinas_de_la_zona_andina_alta.jpg")</f>
        <v/>
      </c>
    </row>
    <row r="2387" ht="36.0" customHeight="1">
      <c r="A2387" s="16" t="str">
        <f>HYPERLINK("https://commons.wikimedia.org/wiki/User:" &amp; ENCODEURL("Nathaly 1106"), "Nathaly 1106")</f>
        <v>Nathaly 1106</v>
      </c>
      <c r="B2387" s="17" t="s">
        <v>4891</v>
      </c>
      <c r="C2387" s="18">
        <v>46148.619467592594</v>
      </c>
      <c r="D2387" s="17" t="s">
        <v>611</v>
      </c>
      <c r="E2387" s="19" t="s">
        <v>29</v>
      </c>
      <c r="F2387" s="19" t="s">
        <v>30</v>
      </c>
      <c r="G2387" s="20" t="s">
        <v>17</v>
      </c>
      <c r="H2387" s="20" t="s">
        <v>18</v>
      </c>
      <c r="I2387" s="19" t="str">
        <f>IMAGE("https://upload.wikimedia.org/wikipedia/commons/a/ab/%C3%81rbol_tinto_%28Solanaceae%29.jpg")</f>
        <v/>
      </c>
    </row>
    <row r="2388" ht="36.0" customHeight="1">
      <c r="A2388" s="10" t="str">
        <f>HYPERLINK("https://commons.wikimedia.org/wiki/User:" &amp; ENCODEURL("AntonioEliseo"), "AntonioEliseo")</f>
        <v>AntonioEliseo</v>
      </c>
      <c r="B2388" s="11" t="s">
        <v>4892</v>
      </c>
      <c r="C2388" s="12">
        <v>46203.851006944446</v>
      </c>
      <c r="D2388" s="11" t="s">
        <v>4893</v>
      </c>
      <c r="E2388" s="14" t="s">
        <v>4894</v>
      </c>
      <c r="F2388" s="15" t="s">
        <v>16</v>
      </c>
      <c r="G2388" s="15" t="s">
        <v>17</v>
      </c>
      <c r="H2388" s="15" t="s">
        <v>18</v>
      </c>
      <c r="I2388" s="14" t="str">
        <f>IMAGE("https://upload.wikimedia.org/wikipedia/commons/8/8a/%C3%91eque_comiendo_Mango.jpg")</f>
        <v/>
      </c>
    </row>
  </sheetData>
  <hyperlinks>
    <hyperlink r:id="rId1" ref="F2"/>
    <hyperlink r:id="rId2" ref="G2"/>
    <hyperlink r:id="rId3" ref="H2"/>
    <hyperlink r:id="rId4" ref="F3"/>
    <hyperlink r:id="rId5" ref="G3"/>
    <hyperlink r:id="rId6" ref="H3"/>
    <hyperlink r:id="rId7" ref="F4"/>
    <hyperlink r:id="rId8" ref="G4"/>
    <hyperlink r:id="rId9" ref="H4"/>
    <hyperlink r:id="rId10" ref="F5"/>
    <hyperlink r:id="rId11" ref="G5"/>
    <hyperlink r:id="rId12" ref="H5"/>
    <hyperlink r:id="rId13" ref="G6"/>
    <hyperlink r:id="rId14" ref="H6"/>
    <hyperlink r:id="rId15" ref="F7"/>
    <hyperlink r:id="rId16" ref="G7"/>
    <hyperlink r:id="rId17" ref="H7"/>
    <hyperlink r:id="rId18" ref="F8"/>
    <hyperlink r:id="rId19" ref="G8"/>
    <hyperlink r:id="rId20" ref="H8"/>
    <hyperlink r:id="rId21" ref="F9"/>
    <hyperlink r:id="rId22" ref="G9"/>
    <hyperlink r:id="rId23" ref="H9"/>
    <hyperlink r:id="rId24" ref="G10"/>
    <hyperlink r:id="rId25" ref="H10"/>
    <hyperlink r:id="rId26" ref="F11"/>
    <hyperlink r:id="rId27" ref="G11"/>
    <hyperlink r:id="rId28" ref="H11"/>
    <hyperlink r:id="rId29" ref="F12"/>
    <hyperlink r:id="rId30" ref="G12"/>
    <hyperlink r:id="rId31" ref="H12"/>
    <hyperlink r:id="rId32" ref="F13"/>
    <hyperlink r:id="rId33" ref="G13"/>
    <hyperlink r:id="rId34" ref="H13"/>
    <hyperlink r:id="rId35" ref="F14"/>
    <hyperlink r:id="rId36" ref="G14"/>
    <hyperlink r:id="rId37" ref="H14"/>
    <hyperlink r:id="rId38" ref="F15"/>
    <hyperlink r:id="rId39" ref="G15"/>
    <hyperlink r:id="rId40" ref="H15"/>
    <hyperlink r:id="rId41" ref="F16"/>
    <hyperlink r:id="rId42" ref="G16"/>
    <hyperlink r:id="rId43" ref="H16"/>
    <hyperlink r:id="rId44" ref="F17"/>
    <hyperlink r:id="rId45" ref="G17"/>
    <hyperlink r:id="rId46" ref="H17"/>
    <hyperlink r:id="rId47" ref="F18"/>
    <hyperlink r:id="rId48" ref="G18"/>
    <hyperlink r:id="rId49" ref="H18"/>
    <hyperlink r:id="rId50" ref="G19"/>
    <hyperlink r:id="rId51" ref="H19"/>
    <hyperlink r:id="rId52" ref="F20"/>
    <hyperlink r:id="rId53" ref="G20"/>
    <hyperlink r:id="rId54" ref="H20"/>
    <hyperlink r:id="rId55" ref="G21"/>
    <hyperlink r:id="rId56" ref="H21"/>
    <hyperlink r:id="rId57" ref="F22"/>
    <hyperlink r:id="rId58" ref="G22"/>
    <hyperlink r:id="rId59" ref="H22"/>
    <hyperlink r:id="rId60" ref="F23"/>
    <hyperlink r:id="rId61" ref="G23"/>
    <hyperlink r:id="rId62" ref="H23"/>
    <hyperlink r:id="rId63" ref="F24"/>
    <hyperlink r:id="rId64" ref="G24"/>
    <hyperlink r:id="rId65" ref="H24"/>
    <hyperlink r:id="rId66" ref="G25"/>
    <hyperlink r:id="rId67" ref="H25"/>
    <hyperlink r:id="rId68" ref="G26"/>
    <hyperlink r:id="rId69" ref="H26"/>
    <hyperlink r:id="rId70" ref="F27"/>
    <hyperlink r:id="rId71" ref="G27"/>
    <hyperlink r:id="rId72" ref="H27"/>
    <hyperlink r:id="rId73" ref="G28"/>
    <hyperlink r:id="rId74" ref="H28"/>
    <hyperlink r:id="rId75" ref="G29"/>
    <hyperlink r:id="rId76" ref="H29"/>
    <hyperlink r:id="rId77" ref="G30"/>
    <hyperlink r:id="rId78" ref="H30"/>
    <hyperlink r:id="rId79" ref="G31"/>
    <hyperlink r:id="rId80" ref="H31"/>
    <hyperlink r:id="rId81" ref="F32"/>
    <hyperlink r:id="rId82" ref="G32"/>
    <hyperlink r:id="rId83" ref="H32"/>
    <hyperlink r:id="rId84" ref="F33"/>
    <hyperlink r:id="rId85" ref="G33"/>
    <hyperlink r:id="rId86" ref="H33"/>
    <hyperlink r:id="rId87" ref="F34"/>
    <hyperlink r:id="rId88" ref="G34"/>
    <hyperlink r:id="rId89" ref="H34"/>
    <hyperlink r:id="rId90" ref="G35"/>
    <hyperlink r:id="rId91" ref="H35"/>
    <hyperlink r:id="rId92" ref="F36"/>
    <hyperlink r:id="rId93" ref="G36"/>
    <hyperlink r:id="rId94" ref="H36"/>
    <hyperlink r:id="rId95" ref="F37"/>
    <hyperlink r:id="rId96" ref="G37"/>
    <hyperlink r:id="rId97" ref="H37"/>
    <hyperlink r:id="rId98" ref="F38"/>
    <hyperlink r:id="rId99" ref="G38"/>
    <hyperlink r:id="rId100" ref="H38"/>
    <hyperlink r:id="rId101" ref="G39"/>
    <hyperlink r:id="rId102" ref="H39"/>
    <hyperlink r:id="rId103" ref="G40"/>
    <hyperlink r:id="rId104" ref="H40"/>
    <hyperlink r:id="rId105" ref="G41"/>
    <hyperlink r:id="rId106" ref="H41"/>
    <hyperlink r:id="rId107" ref="G42"/>
    <hyperlink r:id="rId108" ref="H42"/>
    <hyperlink r:id="rId109" ref="F43"/>
    <hyperlink r:id="rId110" ref="G43"/>
    <hyperlink r:id="rId111" ref="H43"/>
    <hyperlink r:id="rId112" ref="F44"/>
    <hyperlink r:id="rId113" ref="G44"/>
    <hyperlink r:id="rId114" ref="H44"/>
    <hyperlink r:id="rId115" ref="G45"/>
    <hyperlink r:id="rId116" ref="H45"/>
    <hyperlink r:id="rId117" ref="G46"/>
    <hyperlink r:id="rId118" ref="H46"/>
    <hyperlink r:id="rId119" ref="F47"/>
    <hyperlink r:id="rId120" ref="G47"/>
    <hyperlink r:id="rId121" ref="H47"/>
    <hyperlink r:id="rId122" ref="G48"/>
    <hyperlink r:id="rId123" ref="H48"/>
    <hyperlink r:id="rId124" ref="G49"/>
    <hyperlink r:id="rId125" ref="H49"/>
    <hyperlink r:id="rId126" ref="G50"/>
    <hyperlink r:id="rId127" ref="H50"/>
    <hyperlink r:id="rId128" ref="G51"/>
    <hyperlink r:id="rId129" ref="H51"/>
    <hyperlink r:id="rId130" ref="G52"/>
    <hyperlink r:id="rId131" ref="H52"/>
    <hyperlink r:id="rId132" ref="G53"/>
    <hyperlink r:id="rId133" ref="H53"/>
    <hyperlink r:id="rId134" ref="G54"/>
    <hyperlink r:id="rId135" ref="H54"/>
    <hyperlink r:id="rId136" ref="G55"/>
    <hyperlink r:id="rId137" ref="H55"/>
    <hyperlink r:id="rId138" ref="G56"/>
    <hyperlink r:id="rId139" ref="H56"/>
    <hyperlink r:id="rId140" ref="G57"/>
    <hyperlink r:id="rId141" ref="H57"/>
    <hyperlink r:id="rId142" ref="G58"/>
    <hyperlink r:id="rId143" ref="H58"/>
    <hyperlink r:id="rId144" ref="G59"/>
    <hyperlink r:id="rId145" ref="H59"/>
    <hyperlink r:id="rId146" ref="G60"/>
    <hyperlink r:id="rId147" ref="H60"/>
    <hyperlink r:id="rId148" ref="G61"/>
    <hyperlink r:id="rId149" ref="H61"/>
    <hyperlink r:id="rId150" ref="G62"/>
    <hyperlink r:id="rId151" ref="H62"/>
    <hyperlink r:id="rId152" ref="F63"/>
    <hyperlink r:id="rId153" ref="G63"/>
    <hyperlink r:id="rId154" ref="H63"/>
    <hyperlink r:id="rId155" ref="F64"/>
    <hyperlink r:id="rId156" ref="G64"/>
    <hyperlink r:id="rId157" ref="H64"/>
    <hyperlink r:id="rId158" ref="G65"/>
    <hyperlink r:id="rId159" ref="H65"/>
    <hyperlink r:id="rId160" ref="G66"/>
    <hyperlink r:id="rId161" ref="H66"/>
    <hyperlink r:id="rId162" ref="G67"/>
    <hyperlink r:id="rId163" ref="H67"/>
    <hyperlink r:id="rId164" ref="F68"/>
    <hyperlink r:id="rId165" ref="G68"/>
    <hyperlink r:id="rId166" ref="H68"/>
    <hyperlink r:id="rId167" ref="F69"/>
    <hyperlink r:id="rId168" ref="G69"/>
    <hyperlink r:id="rId169" ref="H69"/>
    <hyperlink r:id="rId170" ref="F70"/>
    <hyperlink r:id="rId171" ref="G70"/>
    <hyperlink r:id="rId172" ref="H70"/>
    <hyperlink r:id="rId173" ref="G71"/>
    <hyperlink r:id="rId174" ref="H71"/>
    <hyperlink r:id="rId175" ref="F72"/>
    <hyperlink r:id="rId176" ref="G72"/>
    <hyperlink r:id="rId177" ref="H72"/>
    <hyperlink r:id="rId178" ref="F73"/>
    <hyperlink r:id="rId179" ref="G73"/>
    <hyperlink r:id="rId180" ref="H73"/>
    <hyperlink r:id="rId181" ref="G74"/>
    <hyperlink r:id="rId182" ref="H74"/>
    <hyperlink r:id="rId183" ref="G75"/>
    <hyperlink r:id="rId184" ref="H75"/>
    <hyperlink r:id="rId185" ref="G76"/>
    <hyperlink r:id="rId186" ref="H76"/>
    <hyperlink r:id="rId187" ref="G77"/>
    <hyperlink r:id="rId188" ref="H77"/>
    <hyperlink r:id="rId189" ref="G78"/>
    <hyperlink r:id="rId190" ref="H78"/>
    <hyperlink r:id="rId191" ref="G79"/>
    <hyperlink r:id="rId192" ref="H79"/>
    <hyperlink r:id="rId193" ref="F80"/>
    <hyperlink r:id="rId194" ref="G80"/>
    <hyperlink r:id="rId195" ref="H80"/>
    <hyperlink r:id="rId196" ref="G81"/>
    <hyperlink r:id="rId197" ref="H81"/>
    <hyperlink r:id="rId198" ref="G82"/>
    <hyperlink r:id="rId199" ref="H82"/>
    <hyperlink r:id="rId200" ref="G83"/>
    <hyperlink r:id="rId201" ref="H83"/>
    <hyperlink r:id="rId202" ref="G84"/>
    <hyperlink r:id="rId203" ref="H84"/>
    <hyperlink r:id="rId204" ref="F85"/>
    <hyperlink r:id="rId205" ref="G85"/>
    <hyperlink r:id="rId206" ref="H85"/>
    <hyperlink r:id="rId207" ref="F86"/>
    <hyperlink r:id="rId208" ref="G86"/>
    <hyperlink r:id="rId209" ref="H86"/>
    <hyperlink r:id="rId210" ref="F87"/>
    <hyperlink r:id="rId211" ref="G87"/>
    <hyperlink r:id="rId212" ref="H87"/>
    <hyperlink r:id="rId213" ref="F88"/>
    <hyperlink r:id="rId214" ref="G88"/>
    <hyperlink r:id="rId215" ref="H88"/>
    <hyperlink r:id="rId216" ref="F89"/>
    <hyperlink r:id="rId217" ref="G89"/>
    <hyperlink r:id="rId218" ref="H89"/>
    <hyperlink r:id="rId219" ref="F90"/>
    <hyperlink r:id="rId220" ref="G90"/>
    <hyperlink r:id="rId221" ref="H90"/>
    <hyperlink r:id="rId222" ref="F91"/>
    <hyperlink r:id="rId223" ref="G91"/>
    <hyperlink r:id="rId224" ref="H91"/>
    <hyperlink r:id="rId225" ref="F92"/>
    <hyperlink r:id="rId226" ref="G92"/>
    <hyperlink r:id="rId227" ref="H92"/>
    <hyperlink r:id="rId228" ref="F93"/>
    <hyperlink r:id="rId229" ref="G93"/>
    <hyperlink r:id="rId230" ref="H93"/>
    <hyperlink r:id="rId231" ref="F94"/>
    <hyperlink r:id="rId232" ref="G94"/>
    <hyperlink r:id="rId233" ref="H94"/>
    <hyperlink r:id="rId234" ref="F95"/>
    <hyperlink r:id="rId235" ref="G95"/>
    <hyperlink r:id="rId236" ref="H95"/>
    <hyperlink r:id="rId237" ref="F96"/>
    <hyperlink r:id="rId238" ref="G96"/>
    <hyperlink r:id="rId239" ref="H96"/>
    <hyperlink r:id="rId240" ref="F97"/>
    <hyperlink r:id="rId241" ref="G97"/>
    <hyperlink r:id="rId242" ref="H97"/>
    <hyperlink r:id="rId243" ref="F98"/>
    <hyperlink r:id="rId244" ref="G98"/>
    <hyperlink r:id="rId245" ref="H98"/>
    <hyperlink r:id="rId246" ref="F99"/>
    <hyperlink r:id="rId247" ref="G99"/>
    <hyperlink r:id="rId248" ref="H99"/>
    <hyperlink r:id="rId249" ref="F100"/>
    <hyperlink r:id="rId250" ref="G100"/>
    <hyperlink r:id="rId251" ref="H100"/>
    <hyperlink r:id="rId252" ref="G101"/>
    <hyperlink r:id="rId253" ref="H101"/>
    <hyperlink r:id="rId254" ref="G102"/>
    <hyperlink r:id="rId255" ref="H102"/>
    <hyperlink r:id="rId256" ref="F103"/>
    <hyperlink r:id="rId257" ref="G103"/>
    <hyperlink r:id="rId258" ref="H103"/>
    <hyperlink r:id="rId259" ref="F104"/>
    <hyperlink r:id="rId260" ref="G104"/>
    <hyperlink r:id="rId261" ref="H104"/>
    <hyperlink r:id="rId262" ref="F105"/>
    <hyperlink r:id="rId263" ref="G105"/>
    <hyperlink r:id="rId264" ref="H105"/>
    <hyperlink r:id="rId265" ref="F106"/>
    <hyperlink r:id="rId266" ref="G106"/>
    <hyperlink r:id="rId267" ref="H106"/>
    <hyperlink r:id="rId268" ref="G107"/>
    <hyperlink r:id="rId269" ref="H107"/>
    <hyperlink r:id="rId270" ref="F108"/>
    <hyperlink r:id="rId271" ref="G108"/>
    <hyperlink r:id="rId272" ref="H108"/>
    <hyperlink r:id="rId273" ref="G109"/>
    <hyperlink r:id="rId274" ref="H109"/>
    <hyperlink r:id="rId275" ref="F110"/>
    <hyperlink r:id="rId276" ref="G110"/>
    <hyperlink r:id="rId277" ref="H110"/>
    <hyperlink r:id="rId278" ref="F111"/>
    <hyperlink r:id="rId279" ref="G111"/>
    <hyperlink r:id="rId280" ref="H111"/>
    <hyperlink r:id="rId281" ref="F112"/>
    <hyperlink r:id="rId282" ref="G112"/>
    <hyperlink r:id="rId283" ref="H112"/>
    <hyperlink r:id="rId284" ref="F113"/>
    <hyperlink r:id="rId285" ref="G113"/>
    <hyperlink r:id="rId286" ref="H113"/>
    <hyperlink r:id="rId287" ref="F114"/>
    <hyperlink r:id="rId288" ref="G114"/>
    <hyperlink r:id="rId289" ref="H114"/>
    <hyperlink r:id="rId290" ref="F115"/>
    <hyperlink r:id="rId291" ref="G115"/>
    <hyperlink r:id="rId292" ref="H115"/>
    <hyperlink r:id="rId293" ref="G116"/>
    <hyperlink r:id="rId294" ref="H116"/>
    <hyperlink r:id="rId295" ref="G117"/>
    <hyperlink r:id="rId296" ref="H117"/>
    <hyperlink r:id="rId297" ref="G118"/>
    <hyperlink r:id="rId298" ref="H118"/>
    <hyperlink r:id="rId299" ref="G119"/>
    <hyperlink r:id="rId300" ref="H119"/>
    <hyperlink r:id="rId301" ref="F120"/>
    <hyperlink r:id="rId302" ref="G120"/>
    <hyperlink r:id="rId303" ref="H120"/>
    <hyperlink r:id="rId304" ref="F121"/>
    <hyperlink r:id="rId305" ref="G121"/>
    <hyperlink r:id="rId306" ref="H121"/>
    <hyperlink r:id="rId307" ref="G122"/>
    <hyperlink r:id="rId308" ref="H122"/>
    <hyperlink r:id="rId309" ref="G123"/>
    <hyperlink r:id="rId310" ref="H123"/>
    <hyperlink r:id="rId311" ref="G124"/>
    <hyperlink r:id="rId312" ref="H124"/>
    <hyperlink r:id="rId313" ref="F125"/>
    <hyperlink r:id="rId314" ref="G125"/>
    <hyperlink r:id="rId315" ref="H125"/>
    <hyperlink r:id="rId316" ref="G126"/>
    <hyperlink r:id="rId317" ref="H126"/>
    <hyperlink r:id="rId318" ref="G127"/>
    <hyperlink r:id="rId319" ref="H127"/>
    <hyperlink r:id="rId320" ref="G128"/>
    <hyperlink r:id="rId321" ref="H128"/>
    <hyperlink r:id="rId322" ref="G129"/>
    <hyperlink r:id="rId323" ref="H129"/>
    <hyperlink r:id="rId324" ref="G130"/>
    <hyperlink r:id="rId325" ref="H130"/>
    <hyperlink r:id="rId326" ref="F131"/>
    <hyperlink r:id="rId327" ref="G131"/>
    <hyperlink r:id="rId328" ref="H131"/>
    <hyperlink r:id="rId329" ref="F132"/>
    <hyperlink r:id="rId330" ref="G132"/>
    <hyperlink r:id="rId331" ref="H132"/>
    <hyperlink r:id="rId332" ref="F133"/>
    <hyperlink r:id="rId333" ref="G133"/>
    <hyperlink r:id="rId334" ref="H133"/>
    <hyperlink r:id="rId335" ref="F134"/>
    <hyperlink r:id="rId336" ref="G134"/>
    <hyperlink r:id="rId337" ref="H134"/>
    <hyperlink r:id="rId338" ref="G135"/>
    <hyperlink r:id="rId339" ref="H135"/>
    <hyperlink r:id="rId340" ref="G136"/>
    <hyperlink r:id="rId341" ref="H136"/>
    <hyperlink r:id="rId342" ref="G137"/>
    <hyperlink r:id="rId343" ref="H137"/>
    <hyperlink r:id="rId344" ref="F138"/>
    <hyperlink r:id="rId345" ref="G138"/>
    <hyperlink r:id="rId346" ref="H138"/>
    <hyperlink r:id="rId347" ref="G139"/>
    <hyperlink r:id="rId348" ref="H139"/>
    <hyperlink r:id="rId349" ref="G140"/>
    <hyperlink r:id="rId350" ref="H140"/>
    <hyperlink r:id="rId351" ref="F141"/>
    <hyperlink r:id="rId352" ref="G141"/>
    <hyperlink r:id="rId353" ref="H141"/>
    <hyperlink r:id="rId354" ref="F142"/>
    <hyperlink r:id="rId355" ref="G142"/>
    <hyperlink r:id="rId356" ref="H142"/>
    <hyperlink r:id="rId357" ref="F143"/>
    <hyperlink r:id="rId358" ref="G143"/>
    <hyperlink r:id="rId359" ref="H143"/>
    <hyperlink r:id="rId360" ref="F144"/>
    <hyperlink r:id="rId361" ref="G144"/>
    <hyperlink r:id="rId362" ref="H144"/>
    <hyperlink r:id="rId363" ref="F145"/>
    <hyperlink r:id="rId364" ref="G145"/>
    <hyperlink r:id="rId365" ref="H145"/>
    <hyperlink r:id="rId366" ref="F146"/>
    <hyperlink r:id="rId367" ref="G146"/>
    <hyperlink r:id="rId368" ref="H146"/>
    <hyperlink r:id="rId369" ref="F147"/>
    <hyperlink r:id="rId370" ref="G147"/>
    <hyperlink r:id="rId371" ref="H147"/>
    <hyperlink r:id="rId372" ref="F148"/>
    <hyperlink r:id="rId373" ref="G148"/>
    <hyperlink r:id="rId374" ref="H148"/>
    <hyperlink r:id="rId375" ref="G149"/>
    <hyperlink r:id="rId376" ref="H149"/>
    <hyperlink r:id="rId377" ref="G150"/>
    <hyperlink r:id="rId378" ref="H150"/>
    <hyperlink r:id="rId379" ref="G151"/>
    <hyperlink r:id="rId380" ref="H151"/>
    <hyperlink r:id="rId381" ref="G152"/>
    <hyperlink r:id="rId382" ref="H152"/>
    <hyperlink r:id="rId383" ref="G153"/>
    <hyperlink r:id="rId384" ref="H153"/>
    <hyperlink r:id="rId385" ref="F154"/>
    <hyperlink r:id="rId386" ref="G154"/>
    <hyperlink r:id="rId387" ref="H154"/>
    <hyperlink r:id="rId388" ref="G155"/>
    <hyperlink r:id="rId389" ref="H155"/>
    <hyperlink r:id="rId390" ref="G156"/>
    <hyperlink r:id="rId391" ref="H156"/>
    <hyperlink r:id="rId392" ref="G157"/>
    <hyperlink r:id="rId393" ref="H157"/>
    <hyperlink r:id="rId394" ref="G158"/>
    <hyperlink r:id="rId395" ref="H158"/>
    <hyperlink r:id="rId396" ref="G159"/>
    <hyperlink r:id="rId397" ref="H159"/>
    <hyperlink r:id="rId398" ref="G160"/>
    <hyperlink r:id="rId399" ref="H160"/>
    <hyperlink r:id="rId400" ref="G161"/>
    <hyperlink r:id="rId401" ref="H161"/>
    <hyperlink r:id="rId402" ref="G162"/>
    <hyperlink r:id="rId403" ref="H162"/>
    <hyperlink r:id="rId404" ref="G163"/>
    <hyperlink r:id="rId405" ref="H163"/>
    <hyperlink r:id="rId406" ref="G164"/>
    <hyperlink r:id="rId407" ref="H164"/>
    <hyperlink r:id="rId408" ref="G165"/>
    <hyperlink r:id="rId409" ref="H165"/>
    <hyperlink r:id="rId410" ref="G166"/>
    <hyperlink r:id="rId411" ref="H166"/>
    <hyperlink r:id="rId412" ref="G167"/>
    <hyperlink r:id="rId413" ref="H167"/>
    <hyperlink r:id="rId414" ref="G168"/>
    <hyperlink r:id="rId415" ref="H168"/>
    <hyperlink r:id="rId416" ref="F169"/>
    <hyperlink r:id="rId417" ref="G169"/>
    <hyperlink r:id="rId418" ref="H169"/>
    <hyperlink r:id="rId419" ref="F170"/>
    <hyperlink r:id="rId420" ref="G170"/>
    <hyperlink r:id="rId421" ref="H170"/>
    <hyperlink r:id="rId422" ref="F171"/>
    <hyperlink r:id="rId423" ref="G171"/>
    <hyperlink r:id="rId424" ref="H171"/>
    <hyperlink r:id="rId425" ref="G172"/>
    <hyperlink r:id="rId426" ref="H172"/>
    <hyperlink r:id="rId427" ref="G173"/>
    <hyperlink r:id="rId428" ref="H173"/>
    <hyperlink r:id="rId429" ref="G174"/>
    <hyperlink r:id="rId430" ref="H174"/>
    <hyperlink r:id="rId431" ref="F175"/>
    <hyperlink r:id="rId432" ref="G175"/>
    <hyperlink r:id="rId433" ref="H175"/>
    <hyperlink r:id="rId434" ref="G176"/>
    <hyperlink r:id="rId435" ref="H176"/>
    <hyperlink r:id="rId436" ref="G177"/>
    <hyperlink r:id="rId437" ref="H177"/>
    <hyperlink r:id="rId438" ref="G178"/>
    <hyperlink r:id="rId439" ref="H178"/>
    <hyperlink r:id="rId440" ref="F179"/>
    <hyperlink r:id="rId441" ref="G179"/>
    <hyperlink r:id="rId442" ref="H179"/>
    <hyperlink r:id="rId443" ref="G180"/>
    <hyperlink r:id="rId444" ref="H180"/>
    <hyperlink r:id="rId445" ref="G181"/>
    <hyperlink r:id="rId446" ref="H181"/>
    <hyperlink r:id="rId447" ref="G182"/>
    <hyperlink r:id="rId448" ref="H182"/>
    <hyperlink r:id="rId449" ref="F183"/>
    <hyperlink r:id="rId450" ref="G183"/>
    <hyperlink r:id="rId451" ref="H183"/>
    <hyperlink r:id="rId452" ref="G184"/>
    <hyperlink r:id="rId453" ref="H184"/>
    <hyperlink r:id="rId454" ref="F185"/>
    <hyperlink r:id="rId455" ref="G185"/>
    <hyperlink r:id="rId456" ref="H185"/>
    <hyperlink r:id="rId457" ref="G186"/>
    <hyperlink r:id="rId458" ref="H186"/>
    <hyperlink r:id="rId459" ref="G187"/>
    <hyperlink r:id="rId460" ref="H187"/>
    <hyperlink r:id="rId461" ref="G188"/>
    <hyperlink r:id="rId462" ref="H188"/>
    <hyperlink r:id="rId463" ref="G189"/>
    <hyperlink r:id="rId464" ref="H189"/>
    <hyperlink r:id="rId465" ref="G190"/>
    <hyperlink r:id="rId466" ref="H190"/>
    <hyperlink r:id="rId467" ref="G191"/>
    <hyperlink r:id="rId468" ref="H191"/>
    <hyperlink r:id="rId469" ref="F192"/>
    <hyperlink r:id="rId470" ref="G192"/>
    <hyperlink r:id="rId471" ref="H192"/>
    <hyperlink r:id="rId472" ref="G193"/>
    <hyperlink r:id="rId473" ref="H193"/>
    <hyperlink r:id="rId474" ref="F194"/>
    <hyperlink r:id="rId475" ref="G194"/>
    <hyperlink r:id="rId476" ref="H194"/>
    <hyperlink r:id="rId477" ref="F195"/>
    <hyperlink r:id="rId478" ref="G195"/>
    <hyperlink r:id="rId479" ref="H195"/>
    <hyperlink r:id="rId480" ref="F196"/>
    <hyperlink r:id="rId481" ref="G196"/>
    <hyperlink r:id="rId482" ref="H196"/>
    <hyperlink r:id="rId483" ref="F197"/>
    <hyperlink r:id="rId484" ref="G197"/>
    <hyperlink r:id="rId485" ref="H197"/>
    <hyperlink r:id="rId486" ref="F198"/>
    <hyperlink r:id="rId487" ref="G198"/>
    <hyperlink r:id="rId488" ref="H198"/>
    <hyperlink r:id="rId489" ref="G199"/>
    <hyperlink r:id="rId490" ref="H199"/>
    <hyperlink r:id="rId491" ref="F200"/>
    <hyperlink r:id="rId492" ref="G200"/>
    <hyperlink r:id="rId493" ref="H200"/>
    <hyperlink r:id="rId494" ref="F201"/>
    <hyperlink r:id="rId495" ref="G201"/>
    <hyperlink r:id="rId496" ref="H201"/>
    <hyperlink r:id="rId497" ref="G202"/>
    <hyperlink r:id="rId498" ref="H202"/>
    <hyperlink r:id="rId499" ref="G203"/>
    <hyperlink r:id="rId500" ref="H203"/>
    <hyperlink r:id="rId501" ref="G204"/>
    <hyperlink r:id="rId502" ref="H204"/>
    <hyperlink r:id="rId503" ref="G205"/>
    <hyperlink r:id="rId504" ref="H205"/>
    <hyperlink r:id="rId505" ref="G206"/>
    <hyperlink r:id="rId506" ref="H206"/>
    <hyperlink r:id="rId507" ref="G207"/>
    <hyperlink r:id="rId508" ref="H207"/>
    <hyperlink r:id="rId509" ref="G208"/>
    <hyperlink r:id="rId510" ref="H208"/>
    <hyperlink r:id="rId511" ref="G209"/>
    <hyperlink r:id="rId512" ref="H209"/>
    <hyperlink r:id="rId513" ref="G210"/>
    <hyperlink r:id="rId514" ref="H210"/>
    <hyperlink r:id="rId515" ref="G211"/>
    <hyperlink r:id="rId516" ref="H211"/>
    <hyperlink r:id="rId517" ref="G212"/>
    <hyperlink r:id="rId518" ref="H212"/>
    <hyperlink r:id="rId519" ref="F213"/>
    <hyperlink r:id="rId520" ref="G213"/>
    <hyperlink r:id="rId521" ref="H213"/>
    <hyperlink r:id="rId522" ref="F214"/>
    <hyperlink r:id="rId523" ref="G214"/>
    <hyperlink r:id="rId524" ref="H214"/>
    <hyperlink r:id="rId525" ref="G215"/>
    <hyperlink r:id="rId526" ref="H215"/>
    <hyperlink r:id="rId527" ref="G216"/>
    <hyperlink r:id="rId528" ref="H216"/>
    <hyperlink r:id="rId529" ref="F217"/>
    <hyperlink r:id="rId530" ref="G217"/>
    <hyperlink r:id="rId531" ref="H217"/>
    <hyperlink r:id="rId532" ref="G218"/>
    <hyperlink r:id="rId533" ref="H218"/>
    <hyperlink r:id="rId534" ref="G219"/>
    <hyperlink r:id="rId535" ref="H219"/>
    <hyperlink r:id="rId536" ref="G220"/>
    <hyperlink r:id="rId537" ref="H220"/>
    <hyperlink r:id="rId538" ref="G221"/>
    <hyperlink r:id="rId539" ref="H221"/>
    <hyperlink r:id="rId540" ref="F222"/>
    <hyperlink r:id="rId541" ref="G222"/>
    <hyperlink r:id="rId542" ref="H222"/>
    <hyperlink r:id="rId543" ref="F223"/>
    <hyperlink r:id="rId544" ref="G223"/>
    <hyperlink r:id="rId545" ref="H223"/>
    <hyperlink r:id="rId546" ref="G224"/>
    <hyperlink r:id="rId547" ref="H224"/>
    <hyperlink r:id="rId548" ref="F225"/>
    <hyperlink r:id="rId549" ref="G225"/>
    <hyperlink r:id="rId550" ref="H225"/>
    <hyperlink r:id="rId551" ref="F226"/>
    <hyperlink r:id="rId552" ref="G226"/>
    <hyperlink r:id="rId553" ref="H226"/>
    <hyperlink r:id="rId554" ref="F227"/>
    <hyperlink r:id="rId555" ref="G227"/>
    <hyperlink r:id="rId556" ref="H227"/>
    <hyperlink r:id="rId557" ref="G228"/>
    <hyperlink r:id="rId558" ref="H228"/>
    <hyperlink r:id="rId559" ref="F229"/>
    <hyperlink r:id="rId560" ref="G229"/>
    <hyperlink r:id="rId561" ref="H229"/>
    <hyperlink r:id="rId562" ref="G230"/>
    <hyperlink r:id="rId563" ref="H230"/>
    <hyperlink r:id="rId564" ref="G231"/>
    <hyperlink r:id="rId565" ref="H231"/>
    <hyperlink r:id="rId566" ref="G232"/>
    <hyperlink r:id="rId567" ref="H232"/>
    <hyperlink r:id="rId568" ref="F233"/>
    <hyperlink r:id="rId569" ref="G233"/>
    <hyperlink r:id="rId570" ref="H233"/>
    <hyperlink r:id="rId571" ref="G234"/>
    <hyperlink r:id="rId572" ref="H234"/>
    <hyperlink r:id="rId573" ref="G235"/>
    <hyperlink r:id="rId574" ref="H235"/>
    <hyperlink r:id="rId575" ref="G236"/>
    <hyperlink r:id="rId576" ref="H236"/>
    <hyperlink r:id="rId577" ref="G237"/>
    <hyperlink r:id="rId578" ref="H237"/>
    <hyperlink r:id="rId579" ref="G238"/>
    <hyperlink r:id="rId580" ref="H238"/>
    <hyperlink r:id="rId581" ref="G239"/>
    <hyperlink r:id="rId582" ref="H239"/>
    <hyperlink r:id="rId583" ref="G240"/>
    <hyperlink r:id="rId584" ref="H240"/>
    <hyperlink r:id="rId585" ref="F241"/>
    <hyperlink r:id="rId586" ref="G241"/>
    <hyperlink r:id="rId587" ref="H241"/>
    <hyperlink r:id="rId588" ref="G242"/>
    <hyperlink r:id="rId589" ref="H242"/>
    <hyperlink r:id="rId590" ref="F243"/>
    <hyperlink r:id="rId591" ref="G243"/>
    <hyperlink r:id="rId592" ref="H243"/>
    <hyperlink r:id="rId593" ref="F244"/>
    <hyperlink r:id="rId594" ref="G244"/>
    <hyperlink r:id="rId595" ref="H244"/>
    <hyperlink r:id="rId596" ref="G245"/>
    <hyperlink r:id="rId597" ref="H245"/>
    <hyperlink r:id="rId598" ref="G246"/>
    <hyperlink r:id="rId599" ref="H246"/>
    <hyperlink r:id="rId600" ref="G247"/>
    <hyperlink r:id="rId601" ref="H247"/>
    <hyperlink r:id="rId602" ref="G248"/>
    <hyperlink r:id="rId603" ref="H248"/>
    <hyperlink r:id="rId604" ref="G249"/>
    <hyperlink r:id="rId605" ref="H249"/>
    <hyperlink r:id="rId606" ref="G250"/>
    <hyperlink r:id="rId607" ref="H250"/>
    <hyperlink r:id="rId608" ref="G251"/>
    <hyperlink r:id="rId609" ref="H251"/>
    <hyperlink r:id="rId610" ref="G252"/>
    <hyperlink r:id="rId611" ref="H252"/>
    <hyperlink r:id="rId612" ref="G253"/>
    <hyperlink r:id="rId613" ref="H253"/>
    <hyperlink r:id="rId614" ref="F254"/>
    <hyperlink r:id="rId615" ref="G254"/>
    <hyperlink r:id="rId616" ref="H254"/>
    <hyperlink r:id="rId617" ref="G255"/>
    <hyperlink r:id="rId618" ref="H255"/>
    <hyperlink r:id="rId619" ref="G256"/>
    <hyperlink r:id="rId620" ref="H256"/>
    <hyperlink r:id="rId621" ref="G257"/>
    <hyperlink r:id="rId622" ref="H257"/>
    <hyperlink r:id="rId623" ref="F258"/>
    <hyperlink r:id="rId624" ref="G258"/>
    <hyperlink r:id="rId625" ref="H258"/>
    <hyperlink r:id="rId626" ref="G259"/>
    <hyperlink r:id="rId627" ref="H259"/>
    <hyperlink r:id="rId628" ref="F260"/>
    <hyperlink r:id="rId629" ref="G260"/>
    <hyperlink r:id="rId630" ref="H260"/>
    <hyperlink r:id="rId631" ref="F261"/>
    <hyperlink r:id="rId632" ref="G261"/>
    <hyperlink r:id="rId633" ref="H261"/>
    <hyperlink r:id="rId634" ref="F262"/>
    <hyperlink r:id="rId635" ref="G262"/>
    <hyperlink r:id="rId636" ref="H262"/>
    <hyperlink r:id="rId637" ref="G263"/>
    <hyperlink r:id="rId638" ref="H263"/>
    <hyperlink r:id="rId639" ref="G264"/>
    <hyperlink r:id="rId640" ref="H264"/>
    <hyperlink r:id="rId641" ref="F265"/>
    <hyperlink r:id="rId642" ref="G265"/>
    <hyperlink r:id="rId643" ref="H265"/>
    <hyperlink r:id="rId644" ref="F266"/>
    <hyperlink r:id="rId645" ref="G266"/>
    <hyperlink r:id="rId646" ref="H266"/>
    <hyperlink r:id="rId647" ref="F267"/>
    <hyperlink r:id="rId648" ref="G267"/>
    <hyperlink r:id="rId649" ref="H267"/>
    <hyperlink r:id="rId650" ref="F268"/>
    <hyperlink r:id="rId651" ref="G268"/>
    <hyperlink r:id="rId652" ref="H268"/>
    <hyperlink r:id="rId653" ref="G269"/>
    <hyperlink r:id="rId654" ref="H269"/>
    <hyperlink r:id="rId655" ref="F270"/>
    <hyperlink r:id="rId656" ref="G270"/>
    <hyperlink r:id="rId657" ref="H270"/>
    <hyperlink r:id="rId658" ref="F271"/>
    <hyperlink r:id="rId659" ref="G271"/>
    <hyperlink r:id="rId660" ref="H271"/>
    <hyperlink r:id="rId661" ref="F272"/>
    <hyperlink r:id="rId662" ref="G272"/>
    <hyperlink r:id="rId663" ref="H272"/>
    <hyperlink r:id="rId664" ref="F273"/>
    <hyperlink r:id="rId665" ref="G273"/>
    <hyperlink r:id="rId666" ref="H273"/>
    <hyperlink r:id="rId667" ref="G274"/>
    <hyperlink r:id="rId668" ref="H274"/>
    <hyperlink r:id="rId669" ref="G275"/>
    <hyperlink r:id="rId670" ref="H275"/>
    <hyperlink r:id="rId671" ref="G276"/>
    <hyperlink r:id="rId672" ref="H276"/>
    <hyperlink r:id="rId673" ref="G277"/>
    <hyperlink r:id="rId674" ref="H277"/>
    <hyperlink r:id="rId675" ref="G278"/>
    <hyperlink r:id="rId676" ref="H278"/>
    <hyperlink r:id="rId677" ref="G279"/>
    <hyperlink r:id="rId678" ref="H279"/>
    <hyperlink r:id="rId679" ref="G280"/>
    <hyperlink r:id="rId680" ref="H280"/>
    <hyperlink r:id="rId681" ref="G281"/>
    <hyperlink r:id="rId682" ref="H281"/>
    <hyperlink r:id="rId683" ref="F282"/>
    <hyperlink r:id="rId684" ref="G282"/>
    <hyperlink r:id="rId685" ref="H282"/>
    <hyperlink r:id="rId686" ref="F283"/>
    <hyperlink r:id="rId687" ref="G283"/>
    <hyperlink r:id="rId688" ref="H283"/>
    <hyperlink r:id="rId689" ref="G284"/>
    <hyperlink r:id="rId690" ref="H284"/>
    <hyperlink r:id="rId691" ref="G285"/>
    <hyperlink r:id="rId692" ref="H285"/>
    <hyperlink r:id="rId693" ref="F286"/>
    <hyperlink r:id="rId694" ref="G286"/>
    <hyperlink r:id="rId695" ref="H286"/>
    <hyperlink r:id="rId696" ref="G287"/>
    <hyperlink r:id="rId697" ref="H287"/>
    <hyperlink r:id="rId698" ref="G288"/>
    <hyperlink r:id="rId699" ref="H288"/>
    <hyperlink r:id="rId700" ref="G289"/>
    <hyperlink r:id="rId701" ref="H289"/>
    <hyperlink r:id="rId702" ref="G290"/>
    <hyperlink r:id="rId703" ref="H290"/>
    <hyperlink r:id="rId704" ref="G291"/>
    <hyperlink r:id="rId705" ref="H291"/>
    <hyperlink r:id="rId706" ref="G292"/>
    <hyperlink r:id="rId707" ref="H292"/>
    <hyperlink r:id="rId708" ref="F293"/>
    <hyperlink r:id="rId709" ref="G293"/>
    <hyperlink r:id="rId710" ref="H293"/>
    <hyperlink r:id="rId711" ref="G294"/>
    <hyperlink r:id="rId712" ref="H294"/>
    <hyperlink r:id="rId713" ref="G295"/>
    <hyperlink r:id="rId714" ref="H295"/>
    <hyperlink r:id="rId715" ref="G296"/>
    <hyperlink r:id="rId716" ref="H296"/>
    <hyperlink r:id="rId717" ref="G297"/>
    <hyperlink r:id="rId718" ref="H297"/>
    <hyperlink r:id="rId719" ref="G298"/>
    <hyperlink r:id="rId720" ref="H298"/>
    <hyperlink r:id="rId721" ref="G299"/>
    <hyperlink r:id="rId722" ref="H299"/>
    <hyperlink r:id="rId723" ref="G300"/>
    <hyperlink r:id="rId724" ref="H300"/>
    <hyperlink r:id="rId725" ref="G301"/>
    <hyperlink r:id="rId726" ref="H301"/>
    <hyperlink r:id="rId727" ref="F302"/>
    <hyperlink r:id="rId728" ref="G302"/>
    <hyperlink r:id="rId729" ref="H302"/>
    <hyperlink r:id="rId730" ref="F303"/>
    <hyperlink r:id="rId731" ref="G303"/>
    <hyperlink r:id="rId732" ref="H303"/>
    <hyperlink r:id="rId733" ref="G304"/>
    <hyperlink r:id="rId734" ref="H304"/>
    <hyperlink r:id="rId735" ref="G305"/>
    <hyperlink r:id="rId736" ref="H305"/>
    <hyperlink r:id="rId737" ref="G306"/>
    <hyperlink r:id="rId738" ref="H306"/>
    <hyperlink r:id="rId739" ref="F307"/>
    <hyperlink r:id="rId740" ref="G307"/>
    <hyperlink r:id="rId741" ref="H307"/>
    <hyperlink r:id="rId742" ref="F308"/>
    <hyperlink r:id="rId743" ref="G308"/>
    <hyperlink r:id="rId744" ref="H308"/>
    <hyperlink r:id="rId745" ref="F309"/>
    <hyperlink r:id="rId746" ref="G309"/>
    <hyperlink r:id="rId747" ref="H309"/>
    <hyperlink r:id="rId748" ref="G310"/>
    <hyperlink r:id="rId749" ref="H310"/>
    <hyperlink r:id="rId750" ref="G311"/>
    <hyperlink r:id="rId751" ref="H311"/>
    <hyperlink r:id="rId752" ref="F312"/>
    <hyperlink r:id="rId753" ref="G312"/>
    <hyperlink r:id="rId754" ref="H312"/>
    <hyperlink r:id="rId755" ref="F313"/>
    <hyperlink r:id="rId756" ref="G313"/>
    <hyperlink r:id="rId757" ref="H313"/>
    <hyperlink r:id="rId758" ref="F314"/>
    <hyperlink r:id="rId759" ref="G314"/>
    <hyperlink r:id="rId760" ref="H314"/>
    <hyperlink r:id="rId761" ref="F315"/>
    <hyperlink r:id="rId762" ref="G315"/>
    <hyperlink r:id="rId763" ref="H315"/>
    <hyperlink r:id="rId764" ref="F316"/>
    <hyperlink r:id="rId765" ref="G316"/>
    <hyperlink r:id="rId766" ref="H316"/>
    <hyperlink r:id="rId767" ref="F317"/>
    <hyperlink r:id="rId768" ref="G317"/>
    <hyperlink r:id="rId769" ref="H317"/>
    <hyperlink r:id="rId770" ref="G318"/>
    <hyperlink r:id="rId771" ref="H318"/>
    <hyperlink r:id="rId772" ref="G319"/>
    <hyperlink r:id="rId773" ref="H319"/>
    <hyperlink r:id="rId774" ref="F320"/>
    <hyperlink r:id="rId775" ref="G320"/>
    <hyperlink r:id="rId776" ref="H320"/>
    <hyperlink r:id="rId777" ref="F321"/>
    <hyperlink r:id="rId778" ref="G321"/>
    <hyperlink r:id="rId779" ref="H321"/>
    <hyperlink r:id="rId780" ref="G322"/>
    <hyperlink r:id="rId781" ref="H322"/>
    <hyperlink r:id="rId782" ref="F323"/>
    <hyperlink r:id="rId783" ref="G323"/>
    <hyperlink r:id="rId784" ref="H323"/>
    <hyperlink r:id="rId785" ref="G324"/>
    <hyperlink r:id="rId786" ref="H324"/>
    <hyperlink r:id="rId787" ref="G325"/>
    <hyperlink r:id="rId788" ref="H325"/>
    <hyperlink r:id="rId789" ref="G326"/>
    <hyperlink r:id="rId790" ref="H326"/>
    <hyperlink r:id="rId791" ref="G327"/>
    <hyperlink r:id="rId792" ref="H327"/>
    <hyperlink r:id="rId793" ref="F328"/>
    <hyperlink r:id="rId794" ref="G328"/>
    <hyperlink r:id="rId795" ref="H328"/>
    <hyperlink r:id="rId796" ref="G329"/>
    <hyperlink r:id="rId797" ref="H329"/>
    <hyperlink r:id="rId798" ref="G330"/>
    <hyperlink r:id="rId799" ref="H330"/>
    <hyperlink r:id="rId800" ref="G331"/>
    <hyperlink r:id="rId801" ref="H331"/>
    <hyperlink r:id="rId802" ref="G332"/>
    <hyperlink r:id="rId803" ref="H332"/>
    <hyperlink r:id="rId804" ref="G333"/>
    <hyperlink r:id="rId805" ref="H333"/>
    <hyperlink r:id="rId806" ref="G334"/>
    <hyperlink r:id="rId807" ref="H334"/>
    <hyperlink r:id="rId808" ref="G335"/>
    <hyperlink r:id="rId809" ref="H335"/>
    <hyperlink r:id="rId810" ref="G336"/>
    <hyperlink r:id="rId811" ref="H336"/>
    <hyperlink r:id="rId812" ref="G337"/>
    <hyperlink r:id="rId813" ref="H337"/>
    <hyperlink r:id="rId814" ref="G338"/>
    <hyperlink r:id="rId815" ref="H338"/>
    <hyperlink r:id="rId816" ref="G339"/>
    <hyperlink r:id="rId817" ref="H339"/>
    <hyperlink r:id="rId818" ref="G340"/>
    <hyperlink r:id="rId819" ref="H340"/>
    <hyperlink r:id="rId820" ref="G341"/>
    <hyperlink r:id="rId821" ref="H341"/>
    <hyperlink r:id="rId822" ref="G342"/>
    <hyperlink r:id="rId823" ref="H342"/>
    <hyperlink r:id="rId824" ref="G343"/>
    <hyperlink r:id="rId825" ref="H343"/>
    <hyperlink r:id="rId826" ref="G344"/>
    <hyperlink r:id="rId827" ref="H344"/>
    <hyperlink r:id="rId828" ref="F345"/>
    <hyperlink r:id="rId829" ref="G345"/>
    <hyperlink r:id="rId830" ref="H345"/>
    <hyperlink r:id="rId831" ref="F346"/>
    <hyperlink r:id="rId832" ref="G346"/>
    <hyperlink r:id="rId833" ref="H346"/>
    <hyperlink r:id="rId834" ref="G347"/>
    <hyperlink r:id="rId835" ref="H347"/>
    <hyperlink r:id="rId836" ref="F348"/>
    <hyperlink r:id="rId837" ref="G348"/>
    <hyperlink r:id="rId838" ref="H348"/>
    <hyperlink r:id="rId839" ref="G349"/>
    <hyperlink r:id="rId840" ref="H349"/>
    <hyperlink r:id="rId841" ref="G350"/>
    <hyperlink r:id="rId842" ref="H350"/>
    <hyperlink r:id="rId843" ref="G351"/>
    <hyperlink r:id="rId844" ref="H351"/>
    <hyperlink r:id="rId845" ref="F352"/>
    <hyperlink r:id="rId846" ref="G352"/>
    <hyperlink r:id="rId847" ref="H352"/>
    <hyperlink r:id="rId848" ref="G353"/>
    <hyperlink r:id="rId849" ref="H353"/>
    <hyperlink r:id="rId850" ref="G354"/>
    <hyperlink r:id="rId851" ref="H354"/>
    <hyperlink r:id="rId852" ref="G355"/>
    <hyperlink r:id="rId853" ref="H355"/>
    <hyperlink r:id="rId854" ref="F356"/>
    <hyperlink r:id="rId855" ref="G356"/>
    <hyperlink r:id="rId856" ref="H356"/>
    <hyperlink r:id="rId857" ref="G357"/>
    <hyperlink r:id="rId858" ref="H357"/>
    <hyperlink r:id="rId859" ref="G358"/>
    <hyperlink r:id="rId860" ref="H358"/>
    <hyperlink r:id="rId861" ref="F359"/>
    <hyperlink r:id="rId862" ref="G359"/>
    <hyperlink r:id="rId863" ref="H359"/>
    <hyperlink r:id="rId864" ref="F360"/>
    <hyperlink r:id="rId865" ref="G360"/>
    <hyperlink r:id="rId866" ref="H360"/>
    <hyperlink r:id="rId867" ref="G361"/>
    <hyperlink r:id="rId868" ref="H361"/>
    <hyperlink r:id="rId869" ref="G362"/>
    <hyperlink r:id="rId870" ref="H362"/>
    <hyperlink r:id="rId871" ref="G363"/>
    <hyperlink r:id="rId872" ref="H363"/>
    <hyperlink r:id="rId873" ref="G364"/>
    <hyperlink r:id="rId874" ref="H364"/>
    <hyperlink r:id="rId875" ref="G365"/>
    <hyperlink r:id="rId876" ref="H365"/>
    <hyperlink r:id="rId877" ref="G366"/>
    <hyperlink r:id="rId878" ref="H366"/>
    <hyperlink r:id="rId879" ref="G367"/>
    <hyperlink r:id="rId880" ref="H367"/>
    <hyperlink r:id="rId881" ref="G368"/>
    <hyperlink r:id="rId882" ref="H368"/>
    <hyperlink r:id="rId883" ref="F369"/>
    <hyperlink r:id="rId884" ref="G369"/>
    <hyperlink r:id="rId885" ref="H369"/>
    <hyperlink r:id="rId886" ref="G370"/>
    <hyperlink r:id="rId887" ref="H370"/>
    <hyperlink r:id="rId888" ref="G371"/>
    <hyperlink r:id="rId889" ref="H371"/>
    <hyperlink r:id="rId890" ref="G372"/>
    <hyperlink r:id="rId891" ref="H372"/>
    <hyperlink r:id="rId892" ref="G373"/>
    <hyperlink r:id="rId893" ref="H373"/>
    <hyperlink r:id="rId894" ref="F374"/>
    <hyperlink r:id="rId895" ref="G374"/>
    <hyperlink r:id="rId896" ref="H374"/>
    <hyperlink r:id="rId897" ref="G375"/>
    <hyperlink r:id="rId898" ref="H375"/>
    <hyperlink r:id="rId899" ref="F376"/>
    <hyperlink r:id="rId900" ref="G376"/>
    <hyperlink r:id="rId901" ref="H376"/>
    <hyperlink r:id="rId902" ref="G377"/>
    <hyperlink r:id="rId903" ref="H377"/>
    <hyperlink r:id="rId904" ref="G378"/>
    <hyperlink r:id="rId905" ref="H378"/>
    <hyperlink r:id="rId906" ref="G379"/>
    <hyperlink r:id="rId907" ref="H379"/>
    <hyperlink r:id="rId908" ref="G380"/>
    <hyperlink r:id="rId909" ref="H380"/>
    <hyperlink r:id="rId910" ref="F381"/>
    <hyperlink r:id="rId911" ref="G381"/>
    <hyperlink r:id="rId912" ref="H381"/>
    <hyperlink r:id="rId913" ref="F382"/>
    <hyperlink r:id="rId914" ref="G382"/>
    <hyperlink r:id="rId915" ref="H382"/>
    <hyperlink r:id="rId916" ref="G383"/>
    <hyperlink r:id="rId917" ref="H383"/>
    <hyperlink r:id="rId918" ref="F384"/>
    <hyperlink r:id="rId919" ref="G384"/>
    <hyperlink r:id="rId920" ref="H384"/>
    <hyperlink r:id="rId921" ref="G385"/>
    <hyperlink r:id="rId922" ref="H385"/>
    <hyperlink r:id="rId923" ref="F386"/>
    <hyperlink r:id="rId924" ref="G386"/>
    <hyperlink r:id="rId925" ref="H386"/>
    <hyperlink r:id="rId926" ref="F387"/>
    <hyperlink r:id="rId927" ref="G387"/>
    <hyperlink r:id="rId928" ref="H387"/>
    <hyperlink r:id="rId929" ref="G388"/>
    <hyperlink r:id="rId930" ref="H388"/>
    <hyperlink r:id="rId931" ref="F389"/>
    <hyperlink r:id="rId932" ref="G389"/>
    <hyperlink r:id="rId933" ref="H389"/>
    <hyperlink r:id="rId934" ref="F390"/>
    <hyperlink r:id="rId935" ref="G390"/>
    <hyperlink r:id="rId936" ref="H390"/>
    <hyperlink r:id="rId937" ref="F391"/>
    <hyperlink r:id="rId938" ref="G391"/>
    <hyperlink r:id="rId939" ref="H391"/>
    <hyperlink r:id="rId940" ref="F392"/>
    <hyperlink r:id="rId941" ref="G392"/>
    <hyperlink r:id="rId942" ref="H392"/>
    <hyperlink r:id="rId943" ref="F393"/>
    <hyperlink r:id="rId944" ref="G393"/>
    <hyperlink r:id="rId945" ref="H393"/>
    <hyperlink r:id="rId946" ref="G394"/>
    <hyperlink r:id="rId947" ref="H394"/>
    <hyperlink r:id="rId948" ref="G395"/>
    <hyperlink r:id="rId949" ref="H395"/>
    <hyperlink r:id="rId950" ref="F396"/>
    <hyperlink r:id="rId951" ref="G396"/>
    <hyperlink r:id="rId952" ref="H396"/>
    <hyperlink r:id="rId953" ref="F397"/>
    <hyperlink r:id="rId954" ref="G397"/>
    <hyperlink r:id="rId955" ref="H397"/>
    <hyperlink r:id="rId956" ref="F398"/>
    <hyperlink r:id="rId957" ref="G398"/>
    <hyperlink r:id="rId958" ref="H398"/>
    <hyperlink r:id="rId959" ref="F399"/>
    <hyperlink r:id="rId960" ref="G399"/>
    <hyperlink r:id="rId961" ref="H399"/>
    <hyperlink r:id="rId962" ref="F400"/>
    <hyperlink r:id="rId963" ref="G400"/>
    <hyperlink r:id="rId964" ref="H400"/>
    <hyperlink r:id="rId965" ref="F401"/>
    <hyperlink r:id="rId966" ref="G401"/>
    <hyperlink r:id="rId967" ref="H401"/>
    <hyperlink r:id="rId968" ref="F402"/>
    <hyperlink r:id="rId969" ref="G402"/>
    <hyperlink r:id="rId970" ref="H402"/>
    <hyperlink r:id="rId971" ref="F403"/>
    <hyperlink r:id="rId972" ref="G403"/>
    <hyperlink r:id="rId973" ref="H403"/>
    <hyperlink r:id="rId974" ref="G404"/>
    <hyperlink r:id="rId975" ref="H404"/>
    <hyperlink r:id="rId976" ref="F405"/>
    <hyperlink r:id="rId977" ref="G405"/>
    <hyperlink r:id="rId978" ref="H405"/>
    <hyperlink r:id="rId979" ref="G406"/>
    <hyperlink r:id="rId980" ref="H406"/>
    <hyperlink r:id="rId981" ref="G407"/>
    <hyperlink r:id="rId982" ref="H407"/>
    <hyperlink r:id="rId983" ref="F408"/>
    <hyperlink r:id="rId984" ref="G408"/>
    <hyperlink r:id="rId985" ref="H408"/>
    <hyperlink r:id="rId986" ref="F409"/>
    <hyperlink r:id="rId987" ref="G409"/>
    <hyperlink r:id="rId988" ref="H409"/>
    <hyperlink r:id="rId989" ref="G410"/>
    <hyperlink r:id="rId990" ref="H410"/>
    <hyperlink r:id="rId991" ref="G411"/>
    <hyperlink r:id="rId992" ref="H411"/>
    <hyperlink r:id="rId993" ref="G412"/>
    <hyperlink r:id="rId994" ref="H412"/>
    <hyperlink r:id="rId995" ref="G413"/>
    <hyperlink r:id="rId996" ref="H413"/>
    <hyperlink r:id="rId997" ref="F414"/>
    <hyperlink r:id="rId998" ref="G414"/>
    <hyperlink r:id="rId999" ref="H414"/>
    <hyperlink r:id="rId1000" ref="F415"/>
    <hyperlink r:id="rId1001" ref="G415"/>
    <hyperlink r:id="rId1002" ref="H415"/>
    <hyperlink r:id="rId1003" ref="G416"/>
    <hyperlink r:id="rId1004" ref="H416"/>
    <hyperlink r:id="rId1005" ref="G417"/>
    <hyperlink r:id="rId1006" ref="H417"/>
    <hyperlink r:id="rId1007" ref="G418"/>
    <hyperlink r:id="rId1008" ref="H418"/>
    <hyperlink r:id="rId1009" ref="F419"/>
    <hyperlink r:id="rId1010" ref="G419"/>
    <hyperlink r:id="rId1011" ref="H419"/>
    <hyperlink r:id="rId1012" ref="G420"/>
    <hyperlink r:id="rId1013" ref="H420"/>
    <hyperlink r:id="rId1014" ref="F421"/>
    <hyperlink r:id="rId1015" ref="G421"/>
    <hyperlink r:id="rId1016" ref="H421"/>
    <hyperlink r:id="rId1017" ref="F422"/>
    <hyperlink r:id="rId1018" ref="G422"/>
    <hyperlink r:id="rId1019" ref="H422"/>
    <hyperlink r:id="rId1020" ref="F423"/>
    <hyperlink r:id="rId1021" ref="G423"/>
    <hyperlink r:id="rId1022" ref="H423"/>
    <hyperlink r:id="rId1023" ref="F424"/>
    <hyperlink r:id="rId1024" ref="G424"/>
    <hyperlink r:id="rId1025" ref="H424"/>
    <hyperlink r:id="rId1026" ref="G425"/>
    <hyperlink r:id="rId1027" ref="H425"/>
    <hyperlink r:id="rId1028" ref="F426"/>
    <hyperlink r:id="rId1029" ref="G426"/>
    <hyperlink r:id="rId1030" ref="H426"/>
    <hyperlink r:id="rId1031" ref="G427"/>
    <hyperlink r:id="rId1032" ref="H427"/>
    <hyperlink r:id="rId1033" ref="F428"/>
    <hyperlink r:id="rId1034" ref="G428"/>
    <hyperlink r:id="rId1035" ref="H428"/>
    <hyperlink r:id="rId1036" ref="F429"/>
    <hyperlink r:id="rId1037" ref="G429"/>
    <hyperlink r:id="rId1038" ref="H429"/>
    <hyperlink r:id="rId1039" ref="G430"/>
    <hyperlink r:id="rId1040" ref="H430"/>
    <hyperlink r:id="rId1041" ref="F431"/>
    <hyperlink r:id="rId1042" ref="G431"/>
    <hyperlink r:id="rId1043" ref="H431"/>
    <hyperlink r:id="rId1044" ref="F432"/>
    <hyperlink r:id="rId1045" ref="G432"/>
    <hyperlink r:id="rId1046" ref="H432"/>
    <hyperlink r:id="rId1047" ref="F433"/>
    <hyperlink r:id="rId1048" ref="G433"/>
    <hyperlink r:id="rId1049" ref="H433"/>
    <hyperlink r:id="rId1050" ref="F434"/>
    <hyperlink r:id="rId1051" ref="G434"/>
    <hyperlink r:id="rId1052" ref="H434"/>
    <hyperlink r:id="rId1053" ref="F435"/>
    <hyperlink r:id="rId1054" ref="G435"/>
    <hyperlink r:id="rId1055" ref="H435"/>
    <hyperlink r:id="rId1056" ref="F436"/>
    <hyperlink r:id="rId1057" ref="G436"/>
    <hyperlink r:id="rId1058" ref="H436"/>
    <hyperlink r:id="rId1059" ref="G437"/>
    <hyperlink r:id="rId1060" ref="H437"/>
    <hyperlink r:id="rId1061" ref="G438"/>
    <hyperlink r:id="rId1062" ref="H438"/>
    <hyperlink r:id="rId1063" ref="F439"/>
    <hyperlink r:id="rId1064" ref="G439"/>
    <hyperlink r:id="rId1065" ref="H439"/>
    <hyperlink r:id="rId1066" ref="G440"/>
    <hyperlink r:id="rId1067" ref="H440"/>
    <hyperlink r:id="rId1068" ref="G441"/>
    <hyperlink r:id="rId1069" ref="H441"/>
    <hyperlink r:id="rId1070" ref="G442"/>
    <hyperlink r:id="rId1071" ref="H442"/>
    <hyperlink r:id="rId1072" ref="G443"/>
    <hyperlink r:id="rId1073" ref="H443"/>
    <hyperlink r:id="rId1074" ref="F444"/>
    <hyperlink r:id="rId1075" ref="G444"/>
    <hyperlink r:id="rId1076" ref="H444"/>
    <hyperlink r:id="rId1077" ref="G445"/>
    <hyperlink r:id="rId1078" ref="H445"/>
    <hyperlink r:id="rId1079" ref="F446"/>
    <hyperlink r:id="rId1080" ref="G446"/>
    <hyperlink r:id="rId1081" ref="H446"/>
    <hyperlink r:id="rId1082" ref="G447"/>
    <hyperlink r:id="rId1083" ref="H447"/>
    <hyperlink r:id="rId1084" ref="F448"/>
    <hyperlink r:id="rId1085" ref="G448"/>
    <hyperlink r:id="rId1086" ref="H448"/>
    <hyperlink r:id="rId1087" ref="F449"/>
    <hyperlink r:id="rId1088" ref="G449"/>
    <hyperlink r:id="rId1089" ref="H449"/>
    <hyperlink r:id="rId1090" ref="G450"/>
    <hyperlink r:id="rId1091" ref="H450"/>
    <hyperlink r:id="rId1092" ref="G451"/>
    <hyperlink r:id="rId1093" ref="H451"/>
    <hyperlink r:id="rId1094" ref="G452"/>
    <hyperlink r:id="rId1095" ref="H452"/>
    <hyperlink r:id="rId1096" ref="G453"/>
    <hyperlink r:id="rId1097" ref="H453"/>
    <hyperlink r:id="rId1098" ref="F454"/>
    <hyperlink r:id="rId1099" ref="G454"/>
    <hyperlink r:id="rId1100" ref="H454"/>
    <hyperlink r:id="rId1101" ref="F455"/>
    <hyperlink r:id="rId1102" ref="G455"/>
    <hyperlink r:id="rId1103" ref="H455"/>
    <hyperlink r:id="rId1104" ref="G456"/>
    <hyperlink r:id="rId1105" ref="H456"/>
    <hyperlink r:id="rId1106" ref="G457"/>
    <hyperlink r:id="rId1107" ref="H457"/>
    <hyperlink r:id="rId1108" ref="F458"/>
    <hyperlink r:id="rId1109" ref="G458"/>
    <hyperlink r:id="rId1110" ref="H458"/>
    <hyperlink r:id="rId1111" ref="G459"/>
    <hyperlink r:id="rId1112" ref="H459"/>
    <hyperlink r:id="rId1113" ref="G460"/>
    <hyperlink r:id="rId1114" ref="H460"/>
    <hyperlink r:id="rId1115" ref="F461"/>
    <hyperlink r:id="rId1116" ref="G461"/>
    <hyperlink r:id="rId1117" ref="H461"/>
    <hyperlink r:id="rId1118" ref="G462"/>
    <hyperlink r:id="rId1119" ref="H462"/>
    <hyperlink r:id="rId1120" ref="G463"/>
    <hyperlink r:id="rId1121" ref="H463"/>
    <hyperlink r:id="rId1122" ref="G464"/>
    <hyperlink r:id="rId1123" ref="H464"/>
    <hyperlink r:id="rId1124" ref="G465"/>
    <hyperlink r:id="rId1125" ref="H465"/>
    <hyperlink r:id="rId1126" ref="F466"/>
    <hyperlink r:id="rId1127" ref="G466"/>
    <hyperlink r:id="rId1128" ref="H466"/>
    <hyperlink r:id="rId1129" ref="F467"/>
    <hyperlink r:id="rId1130" ref="G467"/>
    <hyperlink r:id="rId1131" ref="H467"/>
    <hyperlink r:id="rId1132" ref="G468"/>
    <hyperlink r:id="rId1133" ref="H468"/>
    <hyperlink r:id="rId1134" ref="G469"/>
    <hyperlink r:id="rId1135" ref="H469"/>
    <hyperlink r:id="rId1136" ref="G470"/>
    <hyperlink r:id="rId1137" ref="H470"/>
    <hyperlink r:id="rId1138" ref="F471"/>
    <hyperlink r:id="rId1139" ref="G471"/>
    <hyperlink r:id="rId1140" ref="H471"/>
    <hyperlink r:id="rId1141" ref="F472"/>
    <hyperlink r:id="rId1142" ref="G472"/>
    <hyperlink r:id="rId1143" ref="H472"/>
    <hyperlink r:id="rId1144" ref="F473"/>
    <hyperlink r:id="rId1145" ref="G473"/>
    <hyperlink r:id="rId1146" ref="H473"/>
    <hyperlink r:id="rId1147" ref="F474"/>
    <hyperlink r:id="rId1148" ref="G474"/>
    <hyperlink r:id="rId1149" ref="H474"/>
    <hyperlink r:id="rId1150" ref="F475"/>
    <hyperlink r:id="rId1151" ref="G475"/>
    <hyperlink r:id="rId1152" ref="H475"/>
    <hyperlink r:id="rId1153" ref="G476"/>
    <hyperlink r:id="rId1154" ref="H476"/>
    <hyperlink r:id="rId1155" ref="G477"/>
    <hyperlink r:id="rId1156" ref="H477"/>
    <hyperlink r:id="rId1157" ref="F478"/>
    <hyperlink r:id="rId1158" ref="G478"/>
    <hyperlink r:id="rId1159" ref="H478"/>
    <hyperlink r:id="rId1160" ref="F479"/>
    <hyperlink r:id="rId1161" ref="G479"/>
    <hyperlink r:id="rId1162" ref="H479"/>
    <hyperlink r:id="rId1163" ref="F480"/>
    <hyperlink r:id="rId1164" ref="G480"/>
    <hyperlink r:id="rId1165" ref="H480"/>
    <hyperlink r:id="rId1166" ref="G481"/>
    <hyperlink r:id="rId1167" ref="H481"/>
    <hyperlink r:id="rId1168" ref="G482"/>
    <hyperlink r:id="rId1169" ref="H482"/>
    <hyperlink r:id="rId1170" ref="F483"/>
    <hyperlink r:id="rId1171" ref="G483"/>
    <hyperlink r:id="rId1172" ref="H483"/>
    <hyperlink r:id="rId1173" ref="F484"/>
    <hyperlink r:id="rId1174" ref="G484"/>
    <hyperlink r:id="rId1175" ref="H484"/>
    <hyperlink r:id="rId1176" ref="G485"/>
    <hyperlink r:id="rId1177" ref="H485"/>
    <hyperlink r:id="rId1178" ref="F486"/>
    <hyperlink r:id="rId1179" ref="G486"/>
    <hyperlink r:id="rId1180" ref="H486"/>
    <hyperlink r:id="rId1181" ref="F487"/>
    <hyperlink r:id="rId1182" ref="G487"/>
    <hyperlink r:id="rId1183" ref="H487"/>
    <hyperlink r:id="rId1184" ref="F488"/>
    <hyperlink r:id="rId1185" ref="G488"/>
    <hyperlink r:id="rId1186" ref="H488"/>
    <hyperlink r:id="rId1187" ref="F489"/>
    <hyperlink r:id="rId1188" ref="G489"/>
    <hyperlink r:id="rId1189" ref="H489"/>
    <hyperlink r:id="rId1190" ref="G490"/>
    <hyperlink r:id="rId1191" ref="H490"/>
    <hyperlink r:id="rId1192" ref="G491"/>
    <hyperlink r:id="rId1193" ref="H491"/>
    <hyperlink r:id="rId1194" ref="F492"/>
    <hyperlink r:id="rId1195" ref="G492"/>
    <hyperlink r:id="rId1196" ref="H492"/>
    <hyperlink r:id="rId1197" ref="G493"/>
    <hyperlink r:id="rId1198" ref="H493"/>
    <hyperlink r:id="rId1199" ref="G494"/>
    <hyperlink r:id="rId1200" ref="H494"/>
    <hyperlink r:id="rId1201" ref="G495"/>
    <hyperlink r:id="rId1202" ref="H495"/>
    <hyperlink r:id="rId1203" ref="G496"/>
    <hyperlink r:id="rId1204" ref="H496"/>
    <hyperlink r:id="rId1205" ref="G497"/>
    <hyperlink r:id="rId1206" ref="H497"/>
    <hyperlink r:id="rId1207" ref="G498"/>
    <hyperlink r:id="rId1208" ref="H498"/>
    <hyperlink r:id="rId1209" ref="G499"/>
    <hyperlink r:id="rId1210" ref="H499"/>
    <hyperlink r:id="rId1211" ref="G500"/>
    <hyperlink r:id="rId1212" ref="H500"/>
    <hyperlink r:id="rId1213" ref="G501"/>
    <hyperlink r:id="rId1214" ref="H501"/>
    <hyperlink r:id="rId1215" ref="G502"/>
    <hyperlink r:id="rId1216" ref="H502"/>
    <hyperlink r:id="rId1217" ref="G503"/>
    <hyperlink r:id="rId1218" ref="H503"/>
    <hyperlink r:id="rId1219" ref="G504"/>
    <hyperlink r:id="rId1220" ref="H504"/>
    <hyperlink r:id="rId1221" ref="G505"/>
    <hyperlink r:id="rId1222" ref="H505"/>
    <hyperlink r:id="rId1223" ref="F506"/>
    <hyperlink r:id="rId1224" ref="G506"/>
    <hyperlink r:id="rId1225" ref="H506"/>
    <hyperlink r:id="rId1226" ref="G507"/>
    <hyperlink r:id="rId1227" ref="H507"/>
    <hyperlink r:id="rId1228" ref="G508"/>
    <hyperlink r:id="rId1229" ref="H508"/>
    <hyperlink r:id="rId1230" ref="G509"/>
    <hyperlink r:id="rId1231" ref="H509"/>
    <hyperlink r:id="rId1232" ref="G510"/>
    <hyperlink r:id="rId1233" ref="H510"/>
    <hyperlink r:id="rId1234" ref="G511"/>
    <hyperlink r:id="rId1235" ref="H511"/>
    <hyperlink r:id="rId1236" ref="F512"/>
    <hyperlink r:id="rId1237" ref="G512"/>
    <hyperlink r:id="rId1238" ref="H512"/>
    <hyperlink r:id="rId1239" ref="F513"/>
    <hyperlink r:id="rId1240" ref="G513"/>
    <hyperlink r:id="rId1241" ref="H513"/>
    <hyperlink r:id="rId1242" ref="F514"/>
    <hyperlink r:id="rId1243" ref="G514"/>
    <hyperlink r:id="rId1244" ref="H514"/>
    <hyperlink r:id="rId1245" ref="F515"/>
    <hyperlink r:id="rId1246" ref="G515"/>
    <hyperlink r:id="rId1247" ref="H515"/>
    <hyperlink r:id="rId1248" ref="F516"/>
    <hyperlink r:id="rId1249" ref="G516"/>
    <hyperlink r:id="rId1250" ref="H516"/>
    <hyperlink r:id="rId1251" ref="G517"/>
    <hyperlink r:id="rId1252" ref="H517"/>
    <hyperlink r:id="rId1253" ref="G518"/>
    <hyperlink r:id="rId1254" ref="H518"/>
    <hyperlink r:id="rId1255" ref="F519"/>
    <hyperlink r:id="rId1256" ref="G519"/>
    <hyperlink r:id="rId1257" ref="H519"/>
    <hyperlink r:id="rId1258" ref="F520"/>
    <hyperlink r:id="rId1259" ref="G520"/>
    <hyperlink r:id="rId1260" ref="H520"/>
    <hyperlink r:id="rId1261" ref="F521"/>
    <hyperlink r:id="rId1262" ref="G521"/>
    <hyperlink r:id="rId1263" ref="H521"/>
    <hyperlink r:id="rId1264" ref="F522"/>
    <hyperlink r:id="rId1265" ref="G522"/>
    <hyperlink r:id="rId1266" ref="H522"/>
    <hyperlink r:id="rId1267" ref="G523"/>
    <hyperlink r:id="rId1268" ref="H523"/>
    <hyperlink r:id="rId1269" ref="F524"/>
    <hyperlink r:id="rId1270" ref="G524"/>
    <hyperlink r:id="rId1271" ref="H524"/>
    <hyperlink r:id="rId1272" ref="G525"/>
    <hyperlink r:id="rId1273" ref="H525"/>
    <hyperlink r:id="rId1274" ref="G526"/>
    <hyperlink r:id="rId1275" ref="H526"/>
    <hyperlink r:id="rId1276" ref="F527"/>
    <hyperlink r:id="rId1277" ref="G527"/>
    <hyperlink r:id="rId1278" ref="H527"/>
    <hyperlink r:id="rId1279" ref="G528"/>
    <hyperlink r:id="rId1280" ref="H528"/>
    <hyperlink r:id="rId1281" ref="F529"/>
    <hyperlink r:id="rId1282" ref="G529"/>
    <hyperlink r:id="rId1283" ref="H529"/>
    <hyperlink r:id="rId1284" ref="F530"/>
    <hyperlink r:id="rId1285" ref="G530"/>
    <hyperlink r:id="rId1286" ref="H530"/>
    <hyperlink r:id="rId1287" ref="F531"/>
    <hyperlink r:id="rId1288" ref="G531"/>
    <hyperlink r:id="rId1289" ref="H531"/>
    <hyperlink r:id="rId1290" ref="G532"/>
    <hyperlink r:id="rId1291" ref="H532"/>
    <hyperlink r:id="rId1292" ref="F533"/>
    <hyperlink r:id="rId1293" ref="G533"/>
    <hyperlink r:id="rId1294" ref="H533"/>
    <hyperlink r:id="rId1295" ref="F534"/>
    <hyperlink r:id="rId1296" ref="G534"/>
    <hyperlink r:id="rId1297" ref="H534"/>
    <hyperlink r:id="rId1298" ref="F535"/>
    <hyperlink r:id="rId1299" ref="G535"/>
    <hyperlink r:id="rId1300" ref="H535"/>
    <hyperlink r:id="rId1301" ref="F536"/>
    <hyperlink r:id="rId1302" ref="G536"/>
    <hyperlink r:id="rId1303" ref="H536"/>
    <hyperlink r:id="rId1304" ref="F537"/>
    <hyperlink r:id="rId1305" ref="G537"/>
    <hyperlink r:id="rId1306" ref="H537"/>
    <hyperlink r:id="rId1307" ref="G538"/>
    <hyperlink r:id="rId1308" ref="H538"/>
    <hyperlink r:id="rId1309" ref="F539"/>
    <hyperlink r:id="rId1310" ref="G539"/>
    <hyperlink r:id="rId1311" ref="H539"/>
    <hyperlink r:id="rId1312" ref="F540"/>
    <hyperlink r:id="rId1313" ref="G540"/>
    <hyperlink r:id="rId1314" ref="H540"/>
    <hyperlink r:id="rId1315" ref="G541"/>
    <hyperlink r:id="rId1316" ref="H541"/>
    <hyperlink r:id="rId1317" ref="F542"/>
    <hyperlink r:id="rId1318" ref="G542"/>
    <hyperlink r:id="rId1319" ref="H542"/>
    <hyperlink r:id="rId1320" ref="F543"/>
    <hyperlink r:id="rId1321" ref="G543"/>
    <hyperlink r:id="rId1322" ref="H543"/>
    <hyperlink r:id="rId1323" ref="F544"/>
    <hyperlink r:id="rId1324" ref="G544"/>
    <hyperlink r:id="rId1325" ref="H544"/>
    <hyperlink r:id="rId1326" ref="F545"/>
    <hyperlink r:id="rId1327" ref="G545"/>
    <hyperlink r:id="rId1328" ref="H545"/>
    <hyperlink r:id="rId1329" ref="F546"/>
    <hyperlink r:id="rId1330" ref="G546"/>
    <hyperlink r:id="rId1331" ref="H546"/>
    <hyperlink r:id="rId1332" ref="G547"/>
    <hyperlink r:id="rId1333" ref="H547"/>
    <hyperlink r:id="rId1334" ref="F548"/>
    <hyperlink r:id="rId1335" ref="G548"/>
    <hyperlink r:id="rId1336" ref="H548"/>
    <hyperlink r:id="rId1337" ref="G549"/>
    <hyperlink r:id="rId1338" ref="H549"/>
    <hyperlink r:id="rId1339" ref="G550"/>
    <hyperlink r:id="rId1340" ref="H550"/>
    <hyperlink r:id="rId1341" ref="G551"/>
    <hyperlink r:id="rId1342" ref="H551"/>
    <hyperlink r:id="rId1343" ref="G552"/>
    <hyperlink r:id="rId1344" ref="H552"/>
    <hyperlink r:id="rId1345" ref="F553"/>
    <hyperlink r:id="rId1346" ref="G553"/>
    <hyperlink r:id="rId1347" ref="H553"/>
    <hyperlink r:id="rId1348" ref="F554"/>
    <hyperlink r:id="rId1349" ref="G554"/>
    <hyperlink r:id="rId1350" ref="H554"/>
    <hyperlink r:id="rId1351" ref="F555"/>
    <hyperlink r:id="rId1352" ref="G555"/>
    <hyperlink r:id="rId1353" ref="H555"/>
    <hyperlink r:id="rId1354" ref="F556"/>
    <hyperlink r:id="rId1355" ref="G556"/>
    <hyperlink r:id="rId1356" ref="H556"/>
    <hyperlink r:id="rId1357" ref="F557"/>
    <hyperlink r:id="rId1358" ref="G557"/>
    <hyperlink r:id="rId1359" ref="H557"/>
    <hyperlink r:id="rId1360" ref="G558"/>
    <hyperlink r:id="rId1361" ref="H558"/>
    <hyperlink r:id="rId1362" ref="F559"/>
    <hyperlink r:id="rId1363" ref="G559"/>
    <hyperlink r:id="rId1364" ref="H559"/>
    <hyperlink r:id="rId1365" ref="G560"/>
    <hyperlink r:id="rId1366" ref="H560"/>
    <hyperlink r:id="rId1367" ref="F561"/>
    <hyperlink r:id="rId1368" ref="G561"/>
    <hyperlink r:id="rId1369" ref="H561"/>
    <hyperlink r:id="rId1370" ref="G562"/>
    <hyperlink r:id="rId1371" ref="H562"/>
    <hyperlink r:id="rId1372" ref="F563"/>
    <hyperlink r:id="rId1373" ref="G563"/>
    <hyperlink r:id="rId1374" ref="H563"/>
    <hyperlink r:id="rId1375" ref="F564"/>
    <hyperlink r:id="rId1376" ref="G564"/>
    <hyperlink r:id="rId1377" ref="H564"/>
    <hyperlink r:id="rId1378" ref="F565"/>
    <hyperlink r:id="rId1379" ref="G565"/>
    <hyperlink r:id="rId1380" ref="H565"/>
    <hyperlink r:id="rId1381" ref="F566"/>
    <hyperlink r:id="rId1382" ref="G566"/>
    <hyperlink r:id="rId1383" ref="H566"/>
    <hyperlink r:id="rId1384" ref="F567"/>
    <hyperlink r:id="rId1385" ref="G567"/>
    <hyperlink r:id="rId1386" ref="H567"/>
    <hyperlink r:id="rId1387" ref="F568"/>
    <hyperlink r:id="rId1388" ref="G568"/>
    <hyperlink r:id="rId1389" ref="H568"/>
    <hyperlink r:id="rId1390" ref="G569"/>
    <hyperlink r:id="rId1391" ref="H569"/>
    <hyperlink r:id="rId1392" ref="G570"/>
    <hyperlink r:id="rId1393" ref="H570"/>
    <hyperlink r:id="rId1394" ref="G571"/>
    <hyperlink r:id="rId1395" ref="H571"/>
    <hyperlink r:id="rId1396" ref="G572"/>
    <hyperlink r:id="rId1397" ref="H572"/>
    <hyperlink r:id="rId1398" ref="F573"/>
    <hyperlink r:id="rId1399" ref="G573"/>
    <hyperlink r:id="rId1400" ref="H573"/>
    <hyperlink r:id="rId1401" ref="G574"/>
    <hyperlink r:id="rId1402" ref="H574"/>
    <hyperlink r:id="rId1403" ref="F575"/>
    <hyperlink r:id="rId1404" ref="G575"/>
    <hyperlink r:id="rId1405" ref="H575"/>
    <hyperlink r:id="rId1406" ref="F576"/>
    <hyperlink r:id="rId1407" ref="G576"/>
    <hyperlink r:id="rId1408" ref="H576"/>
    <hyperlink r:id="rId1409" ref="F577"/>
    <hyperlink r:id="rId1410" ref="G577"/>
    <hyperlink r:id="rId1411" ref="H577"/>
    <hyperlink r:id="rId1412" ref="G578"/>
    <hyperlink r:id="rId1413" ref="H578"/>
    <hyperlink r:id="rId1414" ref="G579"/>
    <hyperlink r:id="rId1415" ref="H579"/>
    <hyperlink r:id="rId1416" ref="G580"/>
    <hyperlink r:id="rId1417" ref="H580"/>
    <hyperlink r:id="rId1418" ref="G581"/>
    <hyperlink r:id="rId1419" ref="H581"/>
    <hyperlink r:id="rId1420" ref="G582"/>
    <hyperlink r:id="rId1421" ref="H582"/>
    <hyperlink r:id="rId1422" ref="G583"/>
    <hyperlink r:id="rId1423" ref="H583"/>
    <hyperlink r:id="rId1424" ref="F584"/>
    <hyperlink r:id="rId1425" ref="G584"/>
    <hyperlink r:id="rId1426" ref="H584"/>
    <hyperlink r:id="rId1427" ref="G585"/>
    <hyperlink r:id="rId1428" ref="H585"/>
    <hyperlink r:id="rId1429" ref="G586"/>
    <hyperlink r:id="rId1430" ref="H586"/>
    <hyperlink r:id="rId1431" ref="G587"/>
    <hyperlink r:id="rId1432" ref="H587"/>
    <hyperlink r:id="rId1433" ref="F588"/>
    <hyperlink r:id="rId1434" ref="G588"/>
    <hyperlink r:id="rId1435" ref="H588"/>
    <hyperlink r:id="rId1436" ref="F589"/>
    <hyperlink r:id="rId1437" ref="G589"/>
    <hyperlink r:id="rId1438" ref="H589"/>
    <hyperlink r:id="rId1439" ref="F590"/>
    <hyperlink r:id="rId1440" ref="G590"/>
    <hyperlink r:id="rId1441" ref="H590"/>
    <hyperlink r:id="rId1442" ref="G591"/>
    <hyperlink r:id="rId1443" ref="H591"/>
    <hyperlink r:id="rId1444" ref="G592"/>
    <hyperlink r:id="rId1445" ref="H592"/>
    <hyperlink r:id="rId1446" ref="G593"/>
    <hyperlink r:id="rId1447" ref="H593"/>
    <hyperlink r:id="rId1448" ref="G594"/>
    <hyperlink r:id="rId1449" ref="H594"/>
    <hyperlink r:id="rId1450" ref="F595"/>
    <hyperlink r:id="rId1451" ref="G595"/>
    <hyperlink r:id="rId1452" ref="H595"/>
    <hyperlink r:id="rId1453" ref="F596"/>
    <hyperlink r:id="rId1454" ref="G596"/>
    <hyperlink r:id="rId1455" ref="H596"/>
    <hyperlink r:id="rId1456" ref="G597"/>
    <hyperlink r:id="rId1457" ref="H597"/>
    <hyperlink r:id="rId1458" ref="G598"/>
    <hyperlink r:id="rId1459" ref="H598"/>
    <hyperlink r:id="rId1460" ref="G599"/>
    <hyperlink r:id="rId1461" ref="H599"/>
    <hyperlink r:id="rId1462" ref="F600"/>
    <hyperlink r:id="rId1463" ref="G600"/>
    <hyperlink r:id="rId1464" ref="H600"/>
    <hyperlink r:id="rId1465" ref="F601"/>
    <hyperlink r:id="rId1466" ref="G601"/>
    <hyperlink r:id="rId1467" ref="H601"/>
    <hyperlink r:id="rId1468" ref="F602"/>
    <hyperlink r:id="rId1469" ref="G602"/>
    <hyperlink r:id="rId1470" ref="H602"/>
    <hyperlink r:id="rId1471" ref="G603"/>
    <hyperlink r:id="rId1472" ref="H603"/>
    <hyperlink r:id="rId1473" ref="G604"/>
    <hyperlink r:id="rId1474" ref="H604"/>
    <hyperlink r:id="rId1475" ref="G605"/>
    <hyperlink r:id="rId1476" ref="H605"/>
    <hyperlink r:id="rId1477" ref="G606"/>
    <hyperlink r:id="rId1478" ref="H606"/>
    <hyperlink r:id="rId1479" ref="G607"/>
    <hyperlink r:id="rId1480" ref="H607"/>
    <hyperlink r:id="rId1481" ref="G608"/>
    <hyperlink r:id="rId1482" ref="H608"/>
    <hyperlink r:id="rId1483" ref="G609"/>
    <hyperlink r:id="rId1484" ref="H609"/>
    <hyperlink r:id="rId1485" ref="G610"/>
    <hyperlink r:id="rId1486" ref="H610"/>
    <hyperlink r:id="rId1487" ref="G611"/>
    <hyperlink r:id="rId1488" ref="H611"/>
    <hyperlink r:id="rId1489" ref="G612"/>
    <hyperlink r:id="rId1490" ref="H612"/>
    <hyperlink r:id="rId1491" ref="G613"/>
    <hyperlink r:id="rId1492" ref="H613"/>
    <hyperlink r:id="rId1493" ref="F614"/>
    <hyperlink r:id="rId1494" ref="G614"/>
    <hyperlink r:id="rId1495" ref="H614"/>
    <hyperlink r:id="rId1496" ref="F615"/>
    <hyperlink r:id="rId1497" ref="G615"/>
    <hyperlink r:id="rId1498" ref="H615"/>
    <hyperlink r:id="rId1499" ref="F616"/>
    <hyperlink r:id="rId1500" ref="G616"/>
    <hyperlink r:id="rId1501" ref="H616"/>
    <hyperlink r:id="rId1502" ref="F617"/>
    <hyperlink r:id="rId1503" ref="G617"/>
    <hyperlink r:id="rId1504" ref="H617"/>
    <hyperlink r:id="rId1505" ref="F618"/>
    <hyperlink r:id="rId1506" ref="G618"/>
    <hyperlink r:id="rId1507" ref="H618"/>
    <hyperlink r:id="rId1508" ref="F619"/>
    <hyperlink r:id="rId1509" ref="G619"/>
    <hyperlink r:id="rId1510" ref="H619"/>
    <hyperlink r:id="rId1511" ref="F620"/>
    <hyperlink r:id="rId1512" ref="G620"/>
    <hyperlink r:id="rId1513" ref="H620"/>
    <hyperlink r:id="rId1514" ref="F621"/>
    <hyperlink r:id="rId1515" ref="G621"/>
    <hyperlink r:id="rId1516" ref="H621"/>
    <hyperlink r:id="rId1517" ref="F622"/>
    <hyperlink r:id="rId1518" ref="G622"/>
    <hyperlink r:id="rId1519" ref="H622"/>
    <hyperlink r:id="rId1520" ref="F623"/>
    <hyperlink r:id="rId1521" ref="G623"/>
    <hyperlink r:id="rId1522" ref="H623"/>
    <hyperlink r:id="rId1523" ref="F624"/>
    <hyperlink r:id="rId1524" ref="G624"/>
    <hyperlink r:id="rId1525" ref="H624"/>
    <hyperlink r:id="rId1526" ref="F625"/>
    <hyperlink r:id="rId1527" ref="G625"/>
    <hyperlink r:id="rId1528" ref="H625"/>
    <hyperlink r:id="rId1529" ref="F626"/>
    <hyperlink r:id="rId1530" ref="G626"/>
    <hyperlink r:id="rId1531" ref="H626"/>
    <hyperlink r:id="rId1532" ref="F627"/>
    <hyperlink r:id="rId1533" ref="G627"/>
    <hyperlink r:id="rId1534" ref="H627"/>
    <hyperlink r:id="rId1535" ref="F628"/>
    <hyperlink r:id="rId1536" ref="G628"/>
    <hyperlink r:id="rId1537" ref="H628"/>
    <hyperlink r:id="rId1538" ref="F629"/>
    <hyperlink r:id="rId1539" ref="G629"/>
    <hyperlink r:id="rId1540" ref="H629"/>
    <hyperlink r:id="rId1541" ref="F630"/>
    <hyperlink r:id="rId1542" ref="G630"/>
    <hyperlink r:id="rId1543" ref="H630"/>
    <hyperlink r:id="rId1544" ref="F631"/>
    <hyperlink r:id="rId1545" ref="G631"/>
    <hyperlink r:id="rId1546" ref="H631"/>
    <hyperlink r:id="rId1547" ref="F632"/>
    <hyperlink r:id="rId1548" ref="G632"/>
    <hyperlink r:id="rId1549" ref="H632"/>
    <hyperlink r:id="rId1550" ref="G633"/>
    <hyperlink r:id="rId1551" ref="H633"/>
    <hyperlink r:id="rId1552" ref="F634"/>
    <hyperlink r:id="rId1553" ref="G634"/>
    <hyperlink r:id="rId1554" ref="H634"/>
    <hyperlink r:id="rId1555" ref="F635"/>
    <hyperlink r:id="rId1556" ref="G635"/>
    <hyperlink r:id="rId1557" ref="H635"/>
    <hyperlink r:id="rId1558" ref="F636"/>
    <hyperlink r:id="rId1559" ref="G636"/>
    <hyperlink r:id="rId1560" ref="H636"/>
    <hyperlink r:id="rId1561" ref="F637"/>
    <hyperlink r:id="rId1562" ref="G637"/>
    <hyperlink r:id="rId1563" ref="H637"/>
    <hyperlink r:id="rId1564" ref="F638"/>
    <hyperlink r:id="rId1565" ref="G638"/>
    <hyperlink r:id="rId1566" ref="H638"/>
    <hyperlink r:id="rId1567" ref="F639"/>
    <hyperlink r:id="rId1568" ref="G639"/>
    <hyperlink r:id="rId1569" ref="H639"/>
    <hyperlink r:id="rId1570" ref="F640"/>
    <hyperlink r:id="rId1571" ref="G640"/>
    <hyperlink r:id="rId1572" ref="H640"/>
    <hyperlink r:id="rId1573" ref="G641"/>
    <hyperlink r:id="rId1574" ref="H641"/>
    <hyperlink r:id="rId1575" ref="F642"/>
    <hyperlink r:id="rId1576" ref="G642"/>
    <hyperlink r:id="rId1577" ref="H642"/>
    <hyperlink r:id="rId1578" ref="F643"/>
    <hyperlink r:id="rId1579" ref="G643"/>
    <hyperlink r:id="rId1580" ref="H643"/>
    <hyperlink r:id="rId1581" ref="G644"/>
    <hyperlink r:id="rId1582" ref="H644"/>
    <hyperlink r:id="rId1583" ref="G645"/>
    <hyperlink r:id="rId1584" ref="H645"/>
    <hyperlink r:id="rId1585" ref="F646"/>
    <hyperlink r:id="rId1586" ref="G646"/>
    <hyperlink r:id="rId1587" ref="H646"/>
    <hyperlink r:id="rId1588" ref="G647"/>
    <hyperlink r:id="rId1589" ref="H647"/>
    <hyperlink r:id="rId1590" ref="F648"/>
    <hyperlink r:id="rId1591" ref="G648"/>
    <hyperlink r:id="rId1592" ref="H648"/>
    <hyperlink r:id="rId1593" ref="G649"/>
    <hyperlink r:id="rId1594" ref="H649"/>
    <hyperlink r:id="rId1595" ref="G650"/>
    <hyperlink r:id="rId1596" ref="H650"/>
    <hyperlink r:id="rId1597" ref="G651"/>
    <hyperlink r:id="rId1598" ref="H651"/>
    <hyperlink r:id="rId1599" ref="F652"/>
    <hyperlink r:id="rId1600" ref="G652"/>
    <hyperlink r:id="rId1601" ref="H652"/>
    <hyperlink r:id="rId1602" ref="G653"/>
    <hyperlink r:id="rId1603" ref="H653"/>
    <hyperlink r:id="rId1604" ref="G654"/>
    <hyperlink r:id="rId1605" ref="H654"/>
    <hyperlink r:id="rId1606" ref="G655"/>
    <hyperlink r:id="rId1607" ref="H655"/>
    <hyperlink r:id="rId1608" ref="G656"/>
    <hyperlink r:id="rId1609" ref="H656"/>
    <hyperlink r:id="rId1610" ref="G657"/>
    <hyperlink r:id="rId1611" ref="H657"/>
    <hyperlink r:id="rId1612" ref="G658"/>
    <hyperlink r:id="rId1613" ref="H658"/>
    <hyperlink r:id="rId1614" ref="G659"/>
    <hyperlink r:id="rId1615" ref="H659"/>
    <hyperlink r:id="rId1616" ref="G660"/>
    <hyperlink r:id="rId1617" ref="H660"/>
    <hyperlink r:id="rId1618" ref="G661"/>
    <hyperlink r:id="rId1619" ref="H661"/>
    <hyperlink r:id="rId1620" ref="G662"/>
    <hyperlink r:id="rId1621" ref="H662"/>
    <hyperlink r:id="rId1622" ref="G663"/>
    <hyperlink r:id="rId1623" ref="H663"/>
    <hyperlink r:id="rId1624" ref="G664"/>
    <hyperlink r:id="rId1625" ref="H664"/>
    <hyperlink r:id="rId1626" ref="G665"/>
    <hyperlink r:id="rId1627" ref="H665"/>
    <hyperlink r:id="rId1628" ref="G666"/>
    <hyperlink r:id="rId1629" ref="H666"/>
    <hyperlink r:id="rId1630" ref="G667"/>
    <hyperlink r:id="rId1631" ref="H667"/>
    <hyperlink r:id="rId1632" ref="G668"/>
    <hyperlink r:id="rId1633" ref="H668"/>
    <hyperlink r:id="rId1634" ref="G669"/>
    <hyperlink r:id="rId1635" ref="H669"/>
    <hyperlink r:id="rId1636" ref="G670"/>
    <hyperlink r:id="rId1637" ref="H670"/>
    <hyperlink r:id="rId1638" ref="G671"/>
    <hyperlink r:id="rId1639" ref="H671"/>
    <hyperlink r:id="rId1640" ref="F672"/>
    <hyperlink r:id="rId1641" ref="G672"/>
    <hyperlink r:id="rId1642" ref="H672"/>
    <hyperlink r:id="rId1643" ref="G673"/>
    <hyperlink r:id="rId1644" ref="H673"/>
    <hyperlink r:id="rId1645" ref="G674"/>
    <hyperlink r:id="rId1646" ref="H674"/>
    <hyperlink r:id="rId1647" ref="G675"/>
    <hyperlink r:id="rId1648" ref="H675"/>
    <hyperlink r:id="rId1649" ref="G676"/>
    <hyperlink r:id="rId1650" ref="H676"/>
    <hyperlink r:id="rId1651" ref="G677"/>
    <hyperlink r:id="rId1652" ref="H677"/>
    <hyperlink r:id="rId1653" ref="G678"/>
    <hyperlink r:id="rId1654" ref="H678"/>
    <hyperlink r:id="rId1655" ref="G679"/>
    <hyperlink r:id="rId1656" ref="H679"/>
    <hyperlink r:id="rId1657" ref="G680"/>
    <hyperlink r:id="rId1658" ref="H680"/>
    <hyperlink r:id="rId1659" ref="G681"/>
    <hyperlink r:id="rId1660" ref="H681"/>
    <hyperlink r:id="rId1661" ref="F682"/>
    <hyperlink r:id="rId1662" ref="G682"/>
    <hyperlink r:id="rId1663" ref="H682"/>
    <hyperlink r:id="rId1664" ref="G683"/>
    <hyperlink r:id="rId1665" ref="H683"/>
    <hyperlink r:id="rId1666" ref="G684"/>
    <hyperlink r:id="rId1667" ref="H684"/>
    <hyperlink r:id="rId1668" ref="F685"/>
    <hyperlink r:id="rId1669" ref="G685"/>
    <hyperlink r:id="rId1670" ref="H685"/>
    <hyperlink r:id="rId1671" ref="G686"/>
    <hyperlink r:id="rId1672" ref="H686"/>
    <hyperlink r:id="rId1673" ref="F687"/>
    <hyperlink r:id="rId1674" ref="G687"/>
    <hyperlink r:id="rId1675" ref="H687"/>
    <hyperlink r:id="rId1676" ref="F688"/>
    <hyperlink r:id="rId1677" ref="G688"/>
    <hyperlink r:id="rId1678" ref="H688"/>
    <hyperlink r:id="rId1679" ref="G689"/>
    <hyperlink r:id="rId1680" ref="H689"/>
    <hyperlink r:id="rId1681" ref="G690"/>
    <hyperlink r:id="rId1682" ref="H690"/>
    <hyperlink r:id="rId1683" ref="G691"/>
    <hyperlink r:id="rId1684" ref="H691"/>
    <hyperlink r:id="rId1685" ref="G692"/>
    <hyperlink r:id="rId1686" ref="H692"/>
    <hyperlink r:id="rId1687" ref="G693"/>
    <hyperlink r:id="rId1688" ref="H693"/>
    <hyperlink r:id="rId1689" ref="F694"/>
    <hyperlink r:id="rId1690" ref="G694"/>
    <hyperlink r:id="rId1691" ref="H694"/>
    <hyperlink r:id="rId1692" ref="F695"/>
    <hyperlink r:id="rId1693" ref="G695"/>
    <hyperlink r:id="rId1694" ref="H695"/>
    <hyperlink r:id="rId1695" ref="G696"/>
    <hyperlink r:id="rId1696" ref="H696"/>
    <hyperlink r:id="rId1697" ref="F697"/>
    <hyperlink r:id="rId1698" ref="G697"/>
    <hyperlink r:id="rId1699" ref="H697"/>
    <hyperlink r:id="rId1700" ref="F698"/>
    <hyperlink r:id="rId1701" ref="G698"/>
    <hyperlink r:id="rId1702" ref="H698"/>
    <hyperlink r:id="rId1703" ref="G699"/>
    <hyperlink r:id="rId1704" ref="H699"/>
    <hyperlink r:id="rId1705" ref="F700"/>
    <hyperlink r:id="rId1706" ref="G700"/>
    <hyperlink r:id="rId1707" ref="H700"/>
    <hyperlink r:id="rId1708" ref="F701"/>
    <hyperlink r:id="rId1709" ref="G701"/>
    <hyperlink r:id="rId1710" ref="H701"/>
    <hyperlink r:id="rId1711" ref="F702"/>
    <hyperlink r:id="rId1712" ref="G702"/>
    <hyperlink r:id="rId1713" ref="H702"/>
    <hyperlink r:id="rId1714" ref="G703"/>
    <hyperlink r:id="rId1715" ref="H703"/>
    <hyperlink r:id="rId1716" ref="G704"/>
    <hyperlink r:id="rId1717" ref="H704"/>
    <hyperlink r:id="rId1718" ref="G705"/>
    <hyperlink r:id="rId1719" ref="H705"/>
    <hyperlink r:id="rId1720" ref="G706"/>
    <hyperlink r:id="rId1721" ref="H706"/>
    <hyperlink r:id="rId1722" ref="G707"/>
    <hyperlink r:id="rId1723" ref="H707"/>
    <hyperlink r:id="rId1724" ref="F708"/>
    <hyperlink r:id="rId1725" ref="G708"/>
    <hyperlink r:id="rId1726" ref="H708"/>
    <hyperlink r:id="rId1727" ref="G709"/>
    <hyperlink r:id="rId1728" ref="H709"/>
    <hyperlink r:id="rId1729" ref="F710"/>
    <hyperlink r:id="rId1730" ref="G710"/>
    <hyperlink r:id="rId1731" ref="H710"/>
    <hyperlink r:id="rId1732" ref="G711"/>
    <hyperlink r:id="rId1733" ref="H711"/>
    <hyperlink r:id="rId1734" ref="G712"/>
    <hyperlink r:id="rId1735" ref="H712"/>
    <hyperlink r:id="rId1736" ref="G713"/>
    <hyperlink r:id="rId1737" ref="H713"/>
    <hyperlink r:id="rId1738" ref="G714"/>
    <hyperlink r:id="rId1739" ref="H714"/>
    <hyperlink r:id="rId1740" ref="G715"/>
    <hyperlink r:id="rId1741" ref="H715"/>
    <hyperlink r:id="rId1742" ref="G716"/>
    <hyperlink r:id="rId1743" ref="H716"/>
    <hyperlink r:id="rId1744" ref="G717"/>
    <hyperlink r:id="rId1745" ref="H717"/>
    <hyperlink r:id="rId1746" ref="G718"/>
    <hyperlink r:id="rId1747" ref="H718"/>
    <hyperlink r:id="rId1748" ref="G719"/>
    <hyperlink r:id="rId1749" ref="H719"/>
    <hyperlink r:id="rId1750" ref="G720"/>
    <hyperlink r:id="rId1751" ref="H720"/>
    <hyperlink r:id="rId1752" ref="G721"/>
    <hyperlink r:id="rId1753" ref="H721"/>
    <hyperlink r:id="rId1754" ref="G722"/>
    <hyperlink r:id="rId1755" ref="H722"/>
    <hyperlink r:id="rId1756" ref="F723"/>
    <hyperlink r:id="rId1757" ref="G723"/>
    <hyperlink r:id="rId1758" ref="H723"/>
    <hyperlink r:id="rId1759" ref="G724"/>
    <hyperlink r:id="rId1760" ref="H724"/>
    <hyperlink r:id="rId1761" ref="F725"/>
    <hyperlink r:id="rId1762" ref="G725"/>
    <hyperlink r:id="rId1763" ref="H725"/>
    <hyperlink r:id="rId1764" ref="G726"/>
    <hyperlink r:id="rId1765" ref="H726"/>
    <hyperlink r:id="rId1766" ref="F727"/>
    <hyperlink r:id="rId1767" ref="G727"/>
    <hyperlink r:id="rId1768" ref="H727"/>
    <hyperlink r:id="rId1769" ref="F728"/>
    <hyperlink r:id="rId1770" ref="G728"/>
    <hyperlink r:id="rId1771" ref="H728"/>
    <hyperlink r:id="rId1772" ref="F729"/>
    <hyperlink r:id="rId1773" ref="G729"/>
    <hyperlink r:id="rId1774" ref="H729"/>
    <hyperlink r:id="rId1775" ref="F730"/>
    <hyperlink r:id="rId1776" ref="G730"/>
    <hyperlink r:id="rId1777" ref="H730"/>
    <hyperlink r:id="rId1778" ref="G731"/>
    <hyperlink r:id="rId1779" ref="H731"/>
    <hyperlink r:id="rId1780" ref="F732"/>
    <hyperlink r:id="rId1781" ref="G732"/>
    <hyperlink r:id="rId1782" ref="H732"/>
    <hyperlink r:id="rId1783" ref="F733"/>
    <hyperlink r:id="rId1784" ref="G733"/>
    <hyperlink r:id="rId1785" ref="H733"/>
    <hyperlink r:id="rId1786" ref="F734"/>
    <hyperlink r:id="rId1787" ref="G734"/>
    <hyperlink r:id="rId1788" ref="H734"/>
    <hyperlink r:id="rId1789" ref="G735"/>
    <hyperlink r:id="rId1790" ref="H735"/>
    <hyperlink r:id="rId1791" ref="G736"/>
    <hyperlink r:id="rId1792" ref="H736"/>
    <hyperlink r:id="rId1793" ref="G737"/>
    <hyperlink r:id="rId1794" ref="H737"/>
    <hyperlink r:id="rId1795" ref="F738"/>
    <hyperlink r:id="rId1796" ref="G738"/>
    <hyperlink r:id="rId1797" ref="H738"/>
    <hyperlink r:id="rId1798" ref="G739"/>
    <hyperlink r:id="rId1799" ref="H739"/>
    <hyperlink r:id="rId1800" ref="G740"/>
    <hyperlink r:id="rId1801" ref="H740"/>
    <hyperlink r:id="rId1802" ref="G741"/>
    <hyperlink r:id="rId1803" ref="H741"/>
    <hyperlink r:id="rId1804" ref="G742"/>
    <hyperlink r:id="rId1805" ref="H742"/>
    <hyperlink r:id="rId1806" ref="G743"/>
    <hyperlink r:id="rId1807" ref="H743"/>
    <hyperlink r:id="rId1808" ref="F744"/>
    <hyperlink r:id="rId1809" ref="G744"/>
    <hyperlink r:id="rId1810" ref="H744"/>
    <hyperlink r:id="rId1811" ref="F745"/>
    <hyperlink r:id="rId1812" ref="G745"/>
    <hyperlink r:id="rId1813" ref="H745"/>
    <hyperlink r:id="rId1814" ref="F746"/>
    <hyperlink r:id="rId1815" ref="G746"/>
    <hyperlink r:id="rId1816" ref="H746"/>
    <hyperlink r:id="rId1817" ref="F747"/>
    <hyperlink r:id="rId1818" ref="G747"/>
    <hyperlink r:id="rId1819" ref="H747"/>
    <hyperlink r:id="rId1820" ref="F748"/>
    <hyperlink r:id="rId1821" ref="G748"/>
    <hyperlink r:id="rId1822" ref="H748"/>
    <hyperlink r:id="rId1823" ref="F749"/>
    <hyperlink r:id="rId1824" ref="G749"/>
    <hyperlink r:id="rId1825" ref="H749"/>
    <hyperlink r:id="rId1826" ref="F750"/>
    <hyperlink r:id="rId1827" ref="G750"/>
    <hyperlink r:id="rId1828" ref="H750"/>
    <hyperlink r:id="rId1829" ref="F751"/>
    <hyperlink r:id="rId1830" ref="G751"/>
    <hyperlink r:id="rId1831" ref="H751"/>
    <hyperlink r:id="rId1832" ref="F752"/>
    <hyperlink r:id="rId1833" ref="G752"/>
    <hyperlink r:id="rId1834" ref="H752"/>
    <hyperlink r:id="rId1835" ref="G753"/>
    <hyperlink r:id="rId1836" ref="H753"/>
    <hyperlink r:id="rId1837" ref="F754"/>
    <hyperlink r:id="rId1838" ref="G754"/>
    <hyperlink r:id="rId1839" ref="H754"/>
    <hyperlink r:id="rId1840" ref="G755"/>
    <hyperlink r:id="rId1841" ref="H755"/>
    <hyperlink r:id="rId1842" ref="G756"/>
    <hyperlink r:id="rId1843" ref="H756"/>
    <hyperlink r:id="rId1844" ref="G757"/>
    <hyperlink r:id="rId1845" ref="H757"/>
    <hyperlink r:id="rId1846" ref="G758"/>
    <hyperlink r:id="rId1847" ref="H758"/>
    <hyperlink r:id="rId1848" ref="G759"/>
    <hyperlink r:id="rId1849" ref="H759"/>
    <hyperlink r:id="rId1850" ref="G760"/>
    <hyperlink r:id="rId1851" ref="H760"/>
    <hyperlink r:id="rId1852" ref="F761"/>
    <hyperlink r:id="rId1853" ref="G761"/>
    <hyperlink r:id="rId1854" ref="H761"/>
    <hyperlink r:id="rId1855" ref="G762"/>
    <hyperlink r:id="rId1856" ref="H762"/>
    <hyperlink r:id="rId1857" ref="G763"/>
    <hyperlink r:id="rId1858" ref="H763"/>
    <hyperlink r:id="rId1859" ref="F764"/>
    <hyperlink r:id="rId1860" ref="G764"/>
    <hyperlink r:id="rId1861" ref="H764"/>
    <hyperlink r:id="rId1862" ref="G765"/>
    <hyperlink r:id="rId1863" ref="H765"/>
    <hyperlink r:id="rId1864" ref="F766"/>
    <hyperlink r:id="rId1865" ref="G766"/>
    <hyperlink r:id="rId1866" ref="H766"/>
    <hyperlink r:id="rId1867" ref="G767"/>
    <hyperlink r:id="rId1868" ref="H767"/>
    <hyperlink r:id="rId1869" ref="G768"/>
    <hyperlink r:id="rId1870" ref="H768"/>
    <hyperlink r:id="rId1871" ref="G769"/>
    <hyperlink r:id="rId1872" ref="H769"/>
    <hyperlink r:id="rId1873" ref="G770"/>
    <hyperlink r:id="rId1874" ref="H770"/>
    <hyperlink r:id="rId1875" ref="G771"/>
    <hyperlink r:id="rId1876" ref="H771"/>
    <hyperlink r:id="rId1877" ref="G772"/>
    <hyperlink r:id="rId1878" ref="H772"/>
    <hyperlink r:id="rId1879" ref="G773"/>
    <hyperlink r:id="rId1880" ref="H773"/>
    <hyperlink r:id="rId1881" ref="G774"/>
    <hyperlink r:id="rId1882" ref="H774"/>
    <hyperlink r:id="rId1883" ref="F775"/>
    <hyperlink r:id="rId1884" ref="G775"/>
    <hyperlink r:id="rId1885" ref="H775"/>
    <hyperlink r:id="rId1886" ref="G776"/>
    <hyperlink r:id="rId1887" ref="H776"/>
    <hyperlink r:id="rId1888" ref="G777"/>
    <hyperlink r:id="rId1889" ref="H777"/>
    <hyperlink r:id="rId1890" ref="F778"/>
    <hyperlink r:id="rId1891" ref="G778"/>
    <hyperlink r:id="rId1892" ref="H778"/>
    <hyperlink r:id="rId1893" ref="F779"/>
    <hyperlink r:id="rId1894" ref="G779"/>
    <hyperlink r:id="rId1895" ref="H779"/>
    <hyperlink r:id="rId1896" ref="F780"/>
    <hyperlink r:id="rId1897" ref="G780"/>
    <hyperlink r:id="rId1898" ref="H780"/>
    <hyperlink r:id="rId1899" ref="G781"/>
    <hyperlink r:id="rId1900" ref="H781"/>
    <hyperlink r:id="rId1901" ref="G782"/>
    <hyperlink r:id="rId1902" ref="H782"/>
    <hyperlink r:id="rId1903" ref="G783"/>
    <hyperlink r:id="rId1904" ref="H783"/>
    <hyperlink r:id="rId1905" ref="G784"/>
    <hyperlink r:id="rId1906" ref="H784"/>
    <hyperlink r:id="rId1907" ref="G785"/>
    <hyperlink r:id="rId1908" ref="H785"/>
    <hyperlink r:id="rId1909" ref="F786"/>
    <hyperlink r:id="rId1910" ref="G786"/>
    <hyperlink r:id="rId1911" ref="H786"/>
    <hyperlink r:id="rId1912" ref="G787"/>
    <hyperlink r:id="rId1913" ref="H787"/>
    <hyperlink r:id="rId1914" ref="G788"/>
    <hyperlink r:id="rId1915" ref="H788"/>
    <hyperlink r:id="rId1916" ref="G789"/>
    <hyperlink r:id="rId1917" ref="H789"/>
    <hyperlink r:id="rId1918" ref="G790"/>
    <hyperlink r:id="rId1919" ref="H790"/>
    <hyperlink r:id="rId1920" ref="F791"/>
    <hyperlink r:id="rId1921" ref="G791"/>
    <hyperlink r:id="rId1922" ref="H791"/>
    <hyperlink r:id="rId1923" ref="F792"/>
    <hyperlink r:id="rId1924" ref="G792"/>
    <hyperlink r:id="rId1925" ref="H792"/>
    <hyperlink r:id="rId1926" ref="F793"/>
    <hyperlink r:id="rId1927" ref="G793"/>
    <hyperlink r:id="rId1928" ref="H793"/>
    <hyperlink r:id="rId1929" ref="G794"/>
    <hyperlink r:id="rId1930" ref="H794"/>
    <hyperlink r:id="rId1931" ref="G795"/>
    <hyperlink r:id="rId1932" ref="H795"/>
    <hyperlink r:id="rId1933" ref="G796"/>
    <hyperlink r:id="rId1934" ref="H796"/>
    <hyperlink r:id="rId1935" ref="F797"/>
    <hyperlink r:id="rId1936" ref="G797"/>
    <hyperlink r:id="rId1937" ref="H797"/>
    <hyperlink r:id="rId1938" ref="G798"/>
    <hyperlink r:id="rId1939" ref="H798"/>
    <hyperlink r:id="rId1940" ref="G799"/>
    <hyperlink r:id="rId1941" ref="H799"/>
    <hyperlink r:id="rId1942" ref="G800"/>
    <hyperlink r:id="rId1943" ref="H800"/>
    <hyperlink r:id="rId1944" ref="G801"/>
    <hyperlink r:id="rId1945" ref="H801"/>
    <hyperlink r:id="rId1946" ref="F802"/>
    <hyperlink r:id="rId1947" ref="G802"/>
    <hyperlink r:id="rId1948" ref="H802"/>
    <hyperlink r:id="rId1949" ref="F803"/>
    <hyperlink r:id="rId1950" ref="G803"/>
    <hyperlink r:id="rId1951" ref="H803"/>
    <hyperlink r:id="rId1952" ref="G804"/>
    <hyperlink r:id="rId1953" ref="H804"/>
    <hyperlink r:id="rId1954" ref="G805"/>
    <hyperlink r:id="rId1955" ref="H805"/>
    <hyperlink r:id="rId1956" ref="G806"/>
    <hyperlink r:id="rId1957" ref="H806"/>
    <hyperlink r:id="rId1958" ref="F807"/>
    <hyperlink r:id="rId1959" ref="G807"/>
    <hyperlink r:id="rId1960" ref="H807"/>
    <hyperlink r:id="rId1961" ref="F808"/>
    <hyperlink r:id="rId1962" ref="G808"/>
    <hyperlink r:id="rId1963" ref="H808"/>
    <hyperlink r:id="rId1964" ref="F809"/>
    <hyperlink r:id="rId1965" ref="G809"/>
    <hyperlink r:id="rId1966" ref="H809"/>
    <hyperlink r:id="rId1967" ref="F810"/>
    <hyperlink r:id="rId1968" ref="G810"/>
    <hyperlink r:id="rId1969" ref="H810"/>
    <hyperlink r:id="rId1970" ref="G811"/>
    <hyperlink r:id="rId1971" ref="H811"/>
    <hyperlink r:id="rId1972" ref="F812"/>
    <hyperlink r:id="rId1973" ref="G812"/>
    <hyperlink r:id="rId1974" ref="H812"/>
    <hyperlink r:id="rId1975" ref="F813"/>
    <hyperlink r:id="rId1976" ref="G813"/>
    <hyperlink r:id="rId1977" ref="H813"/>
    <hyperlink r:id="rId1978" ref="G814"/>
    <hyperlink r:id="rId1979" ref="H814"/>
    <hyperlink r:id="rId1980" ref="G815"/>
    <hyperlink r:id="rId1981" ref="H815"/>
    <hyperlink r:id="rId1982" ref="G816"/>
    <hyperlink r:id="rId1983" ref="H816"/>
    <hyperlink r:id="rId1984" ref="G817"/>
    <hyperlink r:id="rId1985" ref="H817"/>
    <hyperlink r:id="rId1986" ref="F818"/>
    <hyperlink r:id="rId1987" ref="G818"/>
    <hyperlink r:id="rId1988" ref="H818"/>
    <hyperlink r:id="rId1989" ref="G819"/>
    <hyperlink r:id="rId1990" ref="H819"/>
    <hyperlink r:id="rId1991" ref="F820"/>
    <hyperlink r:id="rId1992" ref="G820"/>
    <hyperlink r:id="rId1993" ref="H820"/>
    <hyperlink r:id="rId1994" ref="F821"/>
    <hyperlink r:id="rId1995" ref="G821"/>
    <hyperlink r:id="rId1996" ref="H821"/>
    <hyperlink r:id="rId1997" ref="G822"/>
    <hyperlink r:id="rId1998" ref="H822"/>
    <hyperlink r:id="rId1999" ref="G823"/>
    <hyperlink r:id="rId2000" ref="H823"/>
    <hyperlink r:id="rId2001" ref="F824"/>
    <hyperlink r:id="rId2002" ref="G824"/>
    <hyperlink r:id="rId2003" ref="H824"/>
    <hyperlink r:id="rId2004" ref="G825"/>
    <hyperlink r:id="rId2005" ref="H825"/>
    <hyperlink r:id="rId2006" ref="G826"/>
    <hyperlink r:id="rId2007" ref="H826"/>
    <hyperlink r:id="rId2008" ref="F827"/>
    <hyperlink r:id="rId2009" ref="G827"/>
    <hyperlink r:id="rId2010" ref="H827"/>
    <hyperlink r:id="rId2011" ref="F828"/>
    <hyperlink r:id="rId2012" ref="G828"/>
    <hyperlink r:id="rId2013" ref="H828"/>
    <hyperlink r:id="rId2014" ref="F829"/>
    <hyperlink r:id="rId2015" ref="G829"/>
    <hyperlink r:id="rId2016" ref="H829"/>
    <hyperlink r:id="rId2017" ref="G830"/>
    <hyperlink r:id="rId2018" ref="H830"/>
    <hyperlink r:id="rId2019" ref="G831"/>
    <hyperlink r:id="rId2020" ref="H831"/>
    <hyperlink r:id="rId2021" ref="G832"/>
    <hyperlink r:id="rId2022" ref="H832"/>
    <hyperlink r:id="rId2023" ref="G833"/>
    <hyperlink r:id="rId2024" ref="H833"/>
    <hyperlink r:id="rId2025" ref="F834"/>
    <hyperlink r:id="rId2026" ref="G834"/>
    <hyperlink r:id="rId2027" ref="H834"/>
    <hyperlink r:id="rId2028" ref="G835"/>
    <hyperlink r:id="rId2029" ref="H835"/>
    <hyperlink r:id="rId2030" ref="F836"/>
    <hyperlink r:id="rId2031" ref="G836"/>
    <hyperlink r:id="rId2032" ref="H836"/>
    <hyperlink r:id="rId2033" ref="G837"/>
    <hyperlink r:id="rId2034" ref="H837"/>
    <hyperlink r:id="rId2035" ref="G838"/>
    <hyperlink r:id="rId2036" ref="H838"/>
    <hyperlink r:id="rId2037" ref="F839"/>
    <hyperlink r:id="rId2038" ref="G839"/>
    <hyperlink r:id="rId2039" ref="H839"/>
    <hyperlink r:id="rId2040" ref="G840"/>
    <hyperlink r:id="rId2041" ref="H840"/>
    <hyperlink r:id="rId2042" ref="G841"/>
    <hyperlink r:id="rId2043" ref="H841"/>
    <hyperlink r:id="rId2044" ref="G842"/>
    <hyperlink r:id="rId2045" ref="H842"/>
    <hyperlink r:id="rId2046" ref="G843"/>
    <hyperlink r:id="rId2047" ref="H843"/>
    <hyperlink r:id="rId2048" ref="G844"/>
    <hyperlink r:id="rId2049" ref="H844"/>
    <hyperlink r:id="rId2050" ref="F845"/>
    <hyperlink r:id="rId2051" ref="G845"/>
    <hyperlink r:id="rId2052" ref="H845"/>
    <hyperlink r:id="rId2053" ref="G846"/>
    <hyperlink r:id="rId2054" ref="H846"/>
    <hyperlink r:id="rId2055" ref="F847"/>
    <hyperlink r:id="rId2056" ref="G847"/>
    <hyperlink r:id="rId2057" ref="H847"/>
    <hyperlink r:id="rId2058" ref="F848"/>
    <hyperlink r:id="rId2059" ref="G848"/>
    <hyperlink r:id="rId2060" ref="H848"/>
    <hyperlink r:id="rId2061" ref="F849"/>
    <hyperlink r:id="rId2062" ref="G849"/>
    <hyperlink r:id="rId2063" ref="H849"/>
    <hyperlink r:id="rId2064" ref="F850"/>
    <hyperlink r:id="rId2065" ref="G850"/>
    <hyperlink r:id="rId2066" ref="H850"/>
    <hyperlink r:id="rId2067" ref="F851"/>
    <hyperlink r:id="rId2068" ref="G851"/>
    <hyperlink r:id="rId2069" ref="H851"/>
    <hyperlink r:id="rId2070" ref="F852"/>
    <hyperlink r:id="rId2071" ref="G852"/>
    <hyperlink r:id="rId2072" ref="H852"/>
    <hyperlink r:id="rId2073" ref="G853"/>
    <hyperlink r:id="rId2074" ref="H853"/>
    <hyperlink r:id="rId2075" ref="G854"/>
    <hyperlink r:id="rId2076" ref="H854"/>
    <hyperlink r:id="rId2077" ref="G855"/>
    <hyperlink r:id="rId2078" ref="H855"/>
    <hyperlink r:id="rId2079" ref="G856"/>
    <hyperlink r:id="rId2080" ref="H856"/>
    <hyperlink r:id="rId2081" ref="G857"/>
    <hyperlink r:id="rId2082" ref="H857"/>
    <hyperlink r:id="rId2083" ref="G858"/>
    <hyperlink r:id="rId2084" ref="H858"/>
    <hyperlink r:id="rId2085" ref="F859"/>
    <hyperlink r:id="rId2086" ref="G859"/>
    <hyperlink r:id="rId2087" ref="H859"/>
    <hyperlink r:id="rId2088" ref="G860"/>
    <hyperlink r:id="rId2089" ref="H860"/>
    <hyperlink r:id="rId2090" ref="G861"/>
    <hyperlink r:id="rId2091" ref="H861"/>
    <hyperlink r:id="rId2092" ref="G862"/>
    <hyperlink r:id="rId2093" ref="H862"/>
    <hyperlink r:id="rId2094" ref="F863"/>
    <hyperlink r:id="rId2095" ref="G863"/>
    <hyperlink r:id="rId2096" ref="H863"/>
    <hyperlink r:id="rId2097" ref="G864"/>
    <hyperlink r:id="rId2098" ref="H864"/>
    <hyperlink r:id="rId2099" ref="G865"/>
    <hyperlink r:id="rId2100" ref="H865"/>
    <hyperlink r:id="rId2101" ref="G866"/>
    <hyperlink r:id="rId2102" ref="H866"/>
    <hyperlink r:id="rId2103" ref="G867"/>
    <hyperlink r:id="rId2104" ref="H867"/>
    <hyperlink r:id="rId2105" ref="G868"/>
    <hyperlink r:id="rId2106" ref="H868"/>
    <hyperlink r:id="rId2107" ref="G869"/>
    <hyperlink r:id="rId2108" ref="H869"/>
    <hyperlink r:id="rId2109" ref="G870"/>
    <hyperlink r:id="rId2110" ref="H870"/>
    <hyperlink r:id="rId2111" ref="G871"/>
    <hyperlink r:id="rId2112" ref="H871"/>
    <hyperlink r:id="rId2113" ref="G872"/>
    <hyperlink r:id="rId2114" ref="H872"/>
    <hyperlink r:id="rId2115" ref="G873"/>
    <hyperlink r:id="rId2116" ref="H873"/>
    <hyperlink r:id="rId2117" ref="G874"/>
    <hyperlink r:id="rId2118" ref="H874"/>
    <hyperlink r:id="rId2119" ref="G875"/>
    <hyperlink r:id="rId2120" ref="H875"/>
    <hyperlink r:id="rId2121" ref="G876"/>
    <hyperlink r:id="rId2122" ref="H876"/>
    <hyperlink r:id="rId2123" ref="F877"/>
    <hyperlink r:id="rId2124" ref="G877"/>
    <hyperlink r:id="rId2125" ref="H877"/>
    <hyperlink r:id="rId2126" ref="G878"/>
    <hyperlink r:id="rId2127" ref="H878"/>
    <hyperlink r:id="rId2128" ref="G879"/>
    <hyperlink r:id="rId2129" ref="H879"/>
    <hyperlink r:id="rId2130" ref="G880"/>
    <hyperlink r:id="rId2131" ref="H880"/>
    <hyperlink r:id="rId2132" ref="G881"/>
    <hyperlink r:id="rId2133" ref="H881"/>
    <hyperlink r:id="rId2134" ref="G882"/>
    <hyperlink r:id="rId2135" ref="H882"/>
    <hyperlink r:id="rId2136" ref="F883"/>
    <hyperlink r:id="rId2137" ref="G883"/>
    <hyperlink r:id="rId2138" ref="H883"/>
    <hyperlink r:id="rId2139" ref="G884"/>
    <hyperlink r:id="rId2140" ref="H884"/>
    <hyperlink r:id="rId2141" ref="G885"/>
    <hyperlink r:id="rId2142" ref="H885"/>
    <hyperlink r:id="rId2143" ref="G886"/>
    <hyperlink r:id="rId2144" ref="H886"/>
    <hyperlink r:id="rId2145" ref="G887"/>
    <hyperlink r:id="rId2146" ref="H887"/>
    <hyperlink r:id="rId2147" ref="F888"/>
    <hyperlink r:id="rId2148" ref="G888"/>
    <hyperlink r:id="rId2149" ref="H888"/>
    <hyperlink r:id="rId2150" ref="F889"/>
    <hyperlink r:id="rId2151" ref="G889"/>
    <hyperlink r:id="rId2152" ref="H889"/>
    <hyperlink r:id="rId2153" ref="F890"/>
    <hyperlink r:id="rId2154" ref="G890"/>
    <hyperlink r:id="rId2155" ref="H890"/>
    <hyperlink r:id="rId2156" ref="F891"/>
    <hyperlink r:id="rId2157" ref="G891"/>
    <hyperlink r:id="rId2158" ref="H891"/>
    <hyperlink r:id="rId2159" ref="F892"/>
    <hyperlink r:id="rId2160" ref="G892"/>
    <hyperlink r:id="rId2161" ref="H892"/>
    <hyperlink r:id="rId2162" ref="G893"/>
    <hyperlink r:id="rId2163" ref="H893"/>
    <hyperlink r:id="rId2164" ref="G894"/>
    <hyperlink r:id="rId2165" ref="H894"/>
    <hyperlink r:id="rId2166" ref="G895"/>
    <hyperlink r:id="rId2167" ref="H895"/>
    <hyperlink r:id="rId2168" ref="G896"/>
    <hyperlink r:id="rId2169" ref="H896"/>
    <hyperlink r:id="rId2170" ref="G897"/>
    <hyperlink r:id="rId2171" ref="H897"/>
    <hyperlink r:id="rId2172" ref="F898"/>
    <hyperlink r:id="rId2173" ref="G898"/>
    <hyperlink r:id="rId2174" ref="H898"/>
    <hyperlink r:id="rId2175" ref="G899"/>
    <hyperlink r:id="rId2176" ref="H899"/>
    <hyperlink r:id="rId2177" ref="G900"/>
    <hyperlink r:id="rId2178" ref="H900"/>
    <hyperlink r:id="rId2179" ref="F901"/>
    <hyperlink r:id="rId2180" ref="G901"/>
    <hyperlink r:id="rId2181" ref="H901"/>
    <hyperlink r:id="rId2182" ref="G902"/>
    <hyperlink r:id="rId2183" ref="H902"/>
    <hyperlink r:id="rId2184" ref="G903"/>
    <hyperlink r:id="rId2185" ref="H903"/>
    <hyperlink r:id="rId2186" ref="G904"/>
    <hyperlink r:id="rId2187" ref="H904"/>
    <hyperlink r:id="rId2188" ref="G905"/>
    <hyperlink r:id="rId2189" ref="H905"/>
    <hyperlink r:id="rId2190" ref="F906"/>
    <hyperlink r:id="rId2191" ref="G906"/>
    <hyperlink r:id="rId2192" ref="H906"/>
    <hyperlink r:id="rId2193" ref="G907"/>
    <hyperlink r:id="rId2194" ref="H907"/>
    <hyperlink r:id="rId2195" ref="F908"/>
    <hyperlink r:id="rId2196" ref="G908"/>
    <hyperlink r:id="rId2197" ref="H908"/>
    <hyperlink r:id="rId2198" ref="F909"/>
    <hyperlink r:id="rId2199" ref="G909"/>
    <hyperlink r:id="rId2200" ref="H909"/>
    <hyperlink r:id="rId2201" ref="G910"/>
    <hyperlink r:id="rId2202" ref="H910"/>
    <hyperlink r:id="rId2203" ref="F911"/>
    <hyperlink r:id="rId2204" ref="G911"/>
    <hyperlink r:id="rId2205" ref="H911"/>
    <hyperlink r:id="rId2206" ref="F912"/>
    <hyperlink r:id="rId2207" ref="G912"/>
    <hyperlink r:id="rId2208" ref="H912"/>
    <hyperlink r:id="rId2209" ref="F913"/>
    <hyperlink r:id="rId2210" ref="G913"/>
    <hyperlink r:id="rId2211" ref="H913"/>
    <hyperlink r:id="rId2212" ref="G914"/>
    <hyperlink r:id="rId2213" ref="H914"/>
    <hyperlink r:id="rId2214" ref="F915"/>
    <hyperlink r:id="rId2215" ref="G915"/>
    <hyperlink r:id="rId2216" ref="H915"/>
    <hyperlink r:id="rId2217" ref="F916"/>
    <hyperlink r:id="rId2218" ref="G916"/>
    <hyperlink r:id="rId2219" ref="H916"/>
    <hyperlink r:id="rId2220" ref="G917"/>
    <hyperlink r:id="rId2221" ref="H917"/>
    <hyperlink r:id="rId2222" ref="F918"/>
    <hyperlink r:id="rId2223" ref="G918"/>
    <hyperlink r:id="rId2224" ref="H918"/>
    <hyperlink r:id="rId2225" ref="G919"/>
    <hyperlink r:id="rId2226" ref="H919"/>
    <hyperlink r:id="rId2227" ref="G920"/>
    <hyperlink r:id="rId2228" ref="H920"/>
    <hyperlink r:id="rId2229" ref="G921"/>
    <hyperlink r:id="rId2230" ref="H921"/>
    <hyperlink r:id="rId2231" ref="G922"/>
    <hyperlink r:id="rId2232" ref="H922"/>
    <hyperlink r:id="rId2233" ref="G923"/>
    <hyperlink r:id="rId2234" ref="H923"/>
    <hyperlink r:id="rId2235" ref="G924"/>
    <hyperlink r:id="rId2236" ref="H924"/>
    <hyperlink r:id="rId2237" ref="G925"/>
    <hyperlink r:id="rId2238" ref="H925"/>
    <hyperlink r:id="rId2239" ref="F926"/>
    <hyperlink r:id="rId2240" ref="G926"/>
    <hyperlink r:id="rId2241" ref="H926"/>
    <hyperlink r:id="rId2242" ref="F927"/>
    <hyperlink r:id="rId2243" ref="G927"/>
    <hyperlink r:id="rId2244" ref="H927"/>
    <hyperlink r:id="rId2245" ref="G928"/>
    <hyperlink r:id="rId2246" ref="H928"/>
    <hyperlink r:id="rId2247" ref="G929"/>
    <hyperlink r:id="rId2248" ref="H929"/>
    <hyperlink r:id="rId2249" ref="G930"/>
    <hyperlink r:id="rId2250" ref="H930"/>
    <hyperlink r:id="rId2251" ref="G931"/>
    <hyperlink r:id="rId2252" ref="H931"/>
    <hyperlink r:id="rId2253" ref="G932"/>
    <hyperlink r:id="rId2254" ref="H932"/>
    <hyperlink r:id="rId2255" ref="G933"/>
    <hyperlink r:id="rId2256" ref="H933"/>
    <hyperlink r:id="rId2257" ref="G934"/>
    <hyperlink r:id="rId2258" ref="H934"/>
    <hyperlink r:id="rId2259" ref="G935"/>
    <hyperlink r:id="rId2260" ref="H935"/>
    <hyperlink r:id="rId2261" ref="F936"/>
    <hyperlink r:id="rId2262" ref="G936"/>
    <hyperlink r:id="rId2263" ref="H936"/>
    <hyperlink r:id="rId2264" ref="G937"/>
    <hyperlink r:id="rId2265" ref="H937"/>
    <hyperlink r:id="rId2266" ref="G938"/>
    <hyperlink r:id="rId2267" ref="H938"/>
    <hyperlink r:id="rId2268" ref="G939"/>
    <hyperlink r:id="rId2269" ref="H939"/>
    <hyperlink r:id="rId2270" ref="F940"/>
    <hyperlink r:id="rId2271" ref="G940"/>
    <hyperlink r:id="rId2272" ref="H940"/>
    <hyperlink r:id="rId2273" ref="F941"/>
    <hyperlink r:id="rId2274" ref="G941"/>
    <hyperlink r:id="rId2275" ref="H941"/>
    <hyperlink r:id="rId2276" ref="G942"/>
    <hyperlink r:id="rId2277" ref="H942"/>
    <hyperlink r:id="rId2278" ref="G943"/>
    <hyperlink r:id="rId2279" ref="H943"/>
    <hyperlink r:id="rId2280" ref="F944"/>
    <hyperlink r:id="rId2281" ref="G944"/>
    <hyperlink r:id="rId2282" ref="H944"/>
    <hyperlink r:id="rId2283" ref="F945"/>
    <hyperlink r:id="rId2284" ref="G945"/>
    <hyperlink r:id="rId2285" ref="H945"/>
    <hyperlink r:id="rId2286" ref="G946"/>
    <hyperlink r:id="rId2287" ref="H946"/>
    <hyperlink r:id="rId2288" ref="G947"/>
    <hyperlink r:id="rId2289" ref="H947"/>
    <hyperlink r:id="rId2290" ref="G948"/>
    <hyperlink r:id="rId2291" ref="H948"/>
    <hyperlink r:id="rId2292" ref="G949"/>
    <hyperlink r:id="rId2293" ref="H949"/>
    <hyperlink r:id="rId2294" ref="G950"/>
    <hyperlink r:id="rId2295" ref="H950"/>
    <hyperlink r:id="rId2296" ref="G951"/>
    <hyperlink r:id="rId2297" ref="H951"/>
    <hyperlink r:id="rId2298" ref="F952"/>
    <hyperlink r:id="rId2299" ref="G952"/>
    <hyperlink r:id="rId2300" ref="H952"/>
    <hyperlink r:id="rId2301" ref="G953"/>
    <hyperlink r:id="rId2302" ref="H953"/>
    <hyperlink r:id="rId2303" ref="G954"/>
    <hyperlink r:id="rId2304" ref="H954"/>
    <hyperlink r:id="rId2305" ref="F955"/>
    <hyperlink r:id="rId2306" ref="G955"/>
    <hyperlink r:id="rId2307" ref="H955"/>
    <hyperlink r:id="rId2308" ref="F956"/>
    <hyperlink r:id="rId2309" ref="G956"/>
    <hyperlink r:id="rId2310" ref="H956"/>
    <hyperlink r:id="rId2311" ref="G957"/>
    <hyperlink r:id="rId2312" ref="H957"/>
    <hyperlink r:id="rId2313" ref="G958"/>
    <hyperlink r:id="rId2314" ref="H958"/>
    <hyperlink r:id="rId2315" ref="F959"/>
    <hyperlink r:id="rId2316" ref="G959"/>
    <hyperlink r:id="rId2317" ref="H959"/>
    <hyperlink r:id="rId2318" ref="G960"/>
    <hyperlink r:id="rId2319" ref="H960"/>
    <hyperlink r:id="rId2320" ref="F961"/>
    <hyperlink r:id="rId2321" ref="G961"/>
    <hyperlink r:id="rId2322" ref="H961"/>
    <hyperlink r:id="rId2323" ref="G962"/>
    <hyperlink r:id="rId2324" ref="H962"/>
    <hyperlink r:id="rId2325" ref="G963"/>
    <hyperlink r:id="rId2326" ref="H963"/>
    <hyperlink r:id="rId2327" ref="G964"/>
    <hyperlink r:id="rId2328" ref="H964"/>
    <hyperlink r:id="rId2329" ref="G965"/>
    <hyperlink r:id="rId2330" ref="H965"/>
    <hyperlink r:id="rId2331" ref="G966"/>
    <hyperlink r:id="rId2332" ref="H966"/>
    <hyperlink r:id="rId2333" ref="F967"/>
    <hyperlink r:id="rId2334" ref="G967"/>
    <hyperlink r:id="rId2335" ref="H967"/>
    <hyperlink r:id="rId2336" ref="F968"/>
    <hyperlink r:id="rId2337" ref="G968"/>
    <hyperlink r:id="rId2338" ref="H968"/>
    <hyperlink r:id="rId2339" ref="F969"/>
    <hyperlink r:id="rId2340" ref="G969"/>
    <hyperlink r:id="rId2341" ref="H969"/>
    <hyperlink r:id="rId2342" ref="F970"/>
    <hyperlink r:id="rId2343" ref="G970"/>
    <hyperlink r:id="rId2344" ref="H970"/>
    <hyperlink r:id="rId2345" ref="F971"/>
    <hyperlink r:id="rId2346" ref="G971"/>
    <hyperlink r:id="rId2347" ref="H971"/>
    <hyperlink r:id="rId2348" ref="G972"/>
    <hyperlink r:id="rId2349" ref="H972"/>
    <hyperlink r:id="rId2350" ref="G973"/>
    <hyperlink r:id="rId2351" ref="H973"/>
    <hyperlink r:id="rId2352" ref="F974"/>
    <hyperlink r:id="rId2353" ref="G974"/>
    <hyperlink r:id="rId2354" ref="H974"/>
    <hyperlink r:id="rId2355" ref="F975"/>
    <hyperlink r:id="rId2356" ref="G975"/>
    <hyperlink r:id="rId2357" ref="H975"/>
    <hyperlink r:id="rId2358" ref="G976"/>
    <hyperlink r:id="rId2359" ref="H976"/>
    <hyperlink r:id="rId2360" ref="F977"/>
    <hyperlink r:id="rId2361" ref="G977"/>
    <hyperlink r:id="rId2362" ref="H977"/>
    <hyperlink r:id="rId2363" ref="G978"/>
    <hyperlink r:id="rId2364" ref="H978"/>
    <hyperlink r:id="rId2365" ref="G979"/>
    <hyperlink r:id="rId2366" ref="H979"/>
    <hyperlink r:id="rId2367" ref="F980"/>
    <hyperlink r:id="rId2368" ref="G980"/>
    <hyperlink r:id="rId2369" ref="H980"/>
    <hyperlink r:id="rId2370" ref="G981"/>
    <hyperlink r:id="rId2371" ref="H981"/>
    <hyperlink r:id="rId2372" ref="F982"/>
    <hyperlink r:id="rId2373" ref="G982"/>
    <hyperlink r:id="rId2374" ref="H982"/>
    <hyperlink r:id="rId2375" ref="G983"/>
    <hyperlink r:id="rId2376" ref="H983"/>
    <hyperlink r:id="rId2377" ref="F984"/>
    <hyperlink r:id="rId2378" ref="G984"/>
    <hyperlink r:id="rId2379" ref="H984"/>
    <hyperlink r:id="rId2380" ref="G985"/>
    <hyperlink r:id="rId2381" ref="H985"/>
    <hyperlink r:id="rId2382" ref="F986"/>
    <hyperlink r:id="rId2383" ref="G986"/>
    <hyperlink r:id="rId2384" ref="H986"/>
    <hyperlink r:id="rId2385" ref="G987"/>
    <hyperlink r:id="rId2386" ref="H987"/>
    <hyperlink r:id="rId2387" ref="G988"/>
    <hyperlink r:id="rId2388" ref="H988"/>
    <hyperlink r:id="rId2389" ref="F989"/>
    <hyperlink r:id="rId2390" ref="G989"/>
    <hyperlink r:id="rId2391" ref="H989"/>
    <hyperlink r:id="rId2392" ref="G990"/>
    <hyperlink r:id="rId2393" ref="H990"/>
    <hyperlink r:id="rId2394" ref="G991"/>
    <hyperlink r:id="rId2395" ref="H991"/>
    <hyperlink r:id="rId2396" ref="G992"/>
    <hyperlink r:id="rId2397" ref="H992"/>
    <hyperlink r:id="rId2398" ref="F993"/>
    <hyperlink r:id="rId2399" ref="G993"/>
    <hyperlink r:id="rId2400" ref="H993"/>
    <hyperlink r:id="rId2401" ref="G994"/>
    <hyperlink r:id="rId2402" ref="H994"/>
    <hyperlink r:id="rId2403" ref="F995"/>
    <hyperlink r:id="rId2404" ref="G995"/>
    <hyperlink r:id="rId2405" ref="H995"/>
    <hyperlink r:id="rId2406" ref="G996"/>
    <hyperlink r:id="rId2407" ref="H996"/>
    <hyperlink r:id="rId2408" ref="F997"/>
    <hyperlink r:id="rId2409" ref="G997"/>
    <hyperlink r:id="rId2410" ref="H997"/>
    <hyperlink r:id="rId2411" ref="G998"/>
    <hyperlink r:id="rId2412" ref="H998"/>
    <hyperlink r:id="rId2413" ref="F999"/>
    <hyperlink r:id="rId2414" ref="G999"/>
    <hyperlink r:id="rId2415" ref="H999"/>
    <hyperlink r:id="rId2416" ref="F1000"/>
    <hyperlink r:id="rId2417" ref="G1000"/>
    <hyperlink r:id="rId2418" ref="H1000"/>
    <hyperlink r:id="rId2419" ref="F1001"/>
    <hyperlink r:id="rId2420" ref="G1001"/>
    <hyperlink r:id="rId2421" ref="H1001"/>
    <hyperlink r:id="rId2422" ref="G1002"/>
    <hyperlink r:id="rId2423" ref="H1002"/>
    <hyperlink r:id="rId2424" ref="G1003"/>
    <hyperlink r:id="rId2425" ref="H1003"/>
    <hyperlink r:id="rId2426" ref="G1004"/>
    <hyperlink r:id="rId2427" ref="H1004"/>
    <hyperlink r:id="rId2428" ref="G1005"/>
    <hyperlink r:id="rId2429" ref="H1005"/>
    <hyperlink r:id="rId2430" ref="G1006"/>
    <hyperlink r:id="rId2431" ref="H1006"/>
    <hyperlink r:id="rId2432" ref="G1007"/>
    <hyperlink r:id="rId2433" ref="H1007"/>
    <hyperlink r:id="rId2434" ref="G1008"/>
    <hyperlink r:id="rId2435" ref="H1008"/>
    <hyperlink r:id="rId2436" ref="F1009"/>
    <hyperlink r:id="rId2437" ref="G1009"/>
    <hyperlink r:id="rId2438" ref="H1009"/>
    <hyperlink r:id="rId2439" ref="F1010"/>
    <hyperlink r:id="rId2440" ref="G1010"/>
    <hyperlink r:id="rId2441" ref="H1010"/>
    <hyperlink r:id="rId2442" ref="F1011"/>
    <hyperlink r:id="rId2443" ref="G1011"/>
    <hyperlink r:id="rId2444" ref="H1011"/>
    <hyperlink r:id="rId2445" ref="G1012"/>
    <hyperlink r:id="rId2446" ref="H1012"/>
    <hyperlink r:id="rId2447" ref="G1013"/>
    <hyperlink r:id="rId2448" ref="H1013"/>
    <hyperlink r:id="rId2449" ref="G1014"/>
    <hyperlink r:id="rId2450" ref="H1014"/>
    <hyperlink r:id="rId2451" ref="F1015"/>
    <hyperlink r:id="rId2452" ref="G1015"/>
    <hyperlink r:id="rId2453" ref="H1015"/>
    <hyperlink r:id="rId2454" ref="F1016"/>
    <hyperlink r:id="rId2455" ref="G1016"/>
    <hyperlink r:id="rId2456" ref="H1016"/>
    <hyperlink r:id="rId2457" ref="G1017"/>
    <hyperlink r:id="rId2458" ref="H1017"/>
    <hyperlink r:id="rId2459" ref="G1018"/>
    <hyperlink r:id="rId2460" ref="H1018"/>
    <hyperlink r:id="rId2461" ref="G1019"/>
    <hyperlink r:id="rId2462" ref="H1019"/>
    <hyperlink r:id="rId2463" ref="G1020"/>
    <hyperlink r:id="rId2464" ref="H1020"/>
    <hyperlink r:id="rId2465" ref="G1021"/>
    <hyperlink r:id="rId2466" ref="H1021"/>
    <hyperlink r:id="rId2467" ref="G1022"/>
    <hyperlink r:id="rId2468" ref="H1022"/>
    <hyperlink r:id="rId2469" ref="F1023"/>
    <hyperlink r:id="rId2470" ref="G1023"/>
    <hyperlink r:id="rId2471" ref="H1023"/>
    <hyperlink r:id="rId2472" ref="G1024"/>
    <hyperlink r:id="rId2473" ref="H1024"/>
    <hyperlink r:id="rId2474" ref="G1025"/>
    <hyperlink r:id="rId2475" ref="H1025"/>
    <hyperlink r:id="rId2476" ref="F1026"/>
    <hyperlink r:id="rId2477" ref="G1026"/>
    <hyperlink r:id="rId2478" ref="H1026"/>
    <hyperlink r:id="rId2479" ref="G1027"/>
    <hyperlink r:id="rId2480" ref="H1027"/>
    <hyperlink r:id="rId2481" ref="G1028"/>
    <hyperlink r:id="rId2482" ref="H1028"/>
    <hyperlink r:id="rId2483" ref="G1029"/>
    <hyperlink r:id="rId2484" ref="H1029"/>
    <hyperlink r:id="rId2485" ref="F1030"/>
    <hyperlink r:id="rId2486" ref="G1030"/>
    <hyperlink r:id="rId2487" ref="H1030"/>
    <hyperlink r:id="rId2488" ref="F1031"/>
    <hyperlink r:id="rId2489" ref="G1031"/>
    <hyperlink r:id="rId2490" ref="H1031"/>
    <hyperlink r:id="rId2491" ref="F1032"/>
    <hyperlink r:id="rId2492" ref="G1032"/>
    <hyperlink r:id="rId2493" ref="H1032"/>
    <hyperlink r:id="rId2494" ref="G1033"/>
    <hyperlink r:id="rId2495" ref="H1033"/>
    <hyperlink r:id="rId2496" ref="F1034"/>
    <hyperlink r:id="rId2497" ref="G1034"/>
    <hyperlink r:id="rId2498" ref="H1034"/>
    <hyperlink r:id="rId2499" ref="G1035"/>
    <hyperlink r:id="rId2500" ref="H1035"/>
    <hyperlink r:id="rId2501" ref="F1036"/>
    <hyperlink r:id="rId2502" ref="G1036"/>
    <hyperlink r:id="rId2503" ref="H1036"/>
    <hyperlink r:id="rId2504" ref="G1037"/>
    <hyperlink r:id="rId2505" ref="H1037"/>
    <hyperlink r:id="rId2506" ref="F1038"/>
    <hyperlink r:id="rId2507" ref="G1038"/>
    <hyperlink r:id="rId2508" ref="H1038"/>
    <hyperlink r:id="rId2509" ref="G1039"/>
    <hyperlink r:id="rId2510" ref="H1039"/>
    <hyperlink r:id="rId2511" ref="G1040"/>
    <hyperlink r:id="rId2512" ref="H1040"/>
    <hyperlink r:id="rId2513" ref="G1041"/>
    <hyperlink r:id="rId2514" ref="H1041"/>
    <hyperlink r:id="rId2515" ref="F1042"/>
    <hyperlink r:id="rId2516" ref="G1042"/>
    <hyperlink r:id="rId2517" ref="H1042"/>
    <hyperlink r:id="rId2518" ref="F1043"/>
    <hyperlink r:id="rId2519" ref="G1043"/>
    <hyperlink r:id="rId2520" ref="H1043"/>
    <hyperlink r:id="rId2521" ref="F1044"/>
    <hyperlink r:id="rId2522" ref="G1044"/>
    <hyperlink r:id="rId2523" ref="H1044"/>
    <hyperlink r:id="rId2524" ref="G1045"/>
    <hyperlink r:id="rId2525" ref="H1045"/>
    <hyperlink r:id="rId2526" ref="G1046"/>
    <hyperlink r:id="rId2527" ref="H1046"/>
    <hyperlink r:id="rId2528" ref="F1047"/>
    <hyperlink r:id="rId2529" ref="G1047"/>
    <hyperlink r:id="rId2530" ref="H1047"/>
    <hyperlink r:id="rId2531" ref="G1048"/>
    <hyperlink r:id="rId2532" ref="H1048"/>
    <hyperlink r:id="rId2533" ref="G1049"/>
    <hyperlink r:id="rId2534" ref="H1049"/>
    <hyperlink r:id="rId2535" ref="G1050"/>
    <hyperlink r:id="rId2536" ref="H1050"/>
    <hyperlink r:id="rId2537" ref="F1051"/>
    <hyperlink r:id="rId2538" ref="G1051"/>
    <hyperlink r:id="rId2539" ref="H1051"/>
    <hyperlink r:id="rId2540" ref="G1052"/>
    <hyperlink r:id="rId2541" ref="H1052"/>
    <hyperlink r:id="rId2542" ref="G1053"/>
    <hyperlink r:id="rId2543" ref="H1053"/>
    <hyperlink r:id="rId2544" ref="G1054"/>
    <hyperlink r:id="rId2545" ref="H1054"/>
    <hyperlink r:id="rId2546" ref="F1055"/>
    <hyperlink r:id="rId2547" ref="G1055"/>
    <hyperlink r:id="rId2548" ref="H1055"/>
    <hyperlink r:id="rId2549" ref="G1056"/>
    <hyperlink r:id="rId2550" ref="H1056"/>
    <hyperlink r:id="rId2551" ref="G1057"/>
    <hyperlink r:id="rId2552" ref="H1057"/>
    <hyperlink r:id="rId2553" ref="G1058"/>
    <hyperlink r:id="rId2554" ref="H1058"/>
    <hyperlink r:id="rId2555" ref="F1059"/>
    <hyperlink r:id="rId2556" ref="G1059"/>
    <hyperlink r:id="rId2557" ref="H1059"/>
    <hyperlink r:id="rId2558" ref="G1060"/>
    <hyperlink r:id="rId2559" ref="H1060"/>
    <hyperlink r:id="rId2560" ref="G1061"/>
    <hyperlink r:id="rId2561" ref="H1061"/>
    <hyperlink r:id="rId2562" ref="G1062"/>
    <hyperlink r:id="rId2563" ref="H1062"/>
    <hyperlink r:id="rId2564" ref="G1063"/>
    <hyperlink r:id="rId2565" ref="H1063"/>
    <hyperlink r:id="rId2566" ref="G1064"/>
    <hyperlink r:id="rId2567" ref="H1064"/>
    <hyperlink r:id="rId2568" ref="G1065"/>
    <hyperlink r:id="rId2569" ref="H1065"/>
    <hyperlink r:id="rId2570" ref="G1066"/>
    <hyperlink r:id="rId2571" ref="H1066"/>
    <hyperlink r:id="rId2572" ref="G1067"/>
    <hyperlink r:id="rId2573" ref="H1067"/>
    <hyperlink r:id="rId2574" ref="F1068"/>
    <hyperlink r:id="rId2575" ref="G1068"/>
    <hyperlink r:id="rId2576" ref="H1068"/>
    <hyperlink r:id="rId2577" ref="G1069"/>
    <hyperlink r:id="rId2578" ref="H1069"/>
    <hyperlink r:id="rId2579" ref="F1070"/>
    <hyperlink r:id="rId2580" ref="G1070"/>
    <hyperlink r:id="rId2581" ref="H1070"/>
    <hyperlink r:id="rId2582" ref="G1071"/>
    <hyperlink r:id="rId2583" ref="H1071"/>
    <hyperlink r:id="rId2584" ref="G1072"/>
    <hyperlink r:id="rId2585" ref="H1072"/>
    <hyperlink r:id="rId2586" ref="G1073"/>
    <hyperlink r:id="rId2587" ref="H1073"/>
    <hyperlink r:id="rId2588" ref="G1074"/>
    <hyperlink r:id="rId2589" ref="H1074"/>
    <hyperlink r:id="rId2590" ref="F1075"/>
    <hyperlink r:id="rId2591" ref="G1075"/>
    <hyperlink r:id="rId2592" ref="H1075"/>
    <hyperlink r:id="rId2593" ref="G1076"/>
    <hyperlink r:id="rId2594" ref="H1076"/>
    <hyperlink r:id="rId2595" ref="G1077"/>
    <hyperlink r:id="rId2596" ref="H1077"/>
    <hyperlink r:id="rId2597" ref="G1078"/>
    <hyperlink r:id="rId2598" ref="H1078"/>
    <hyperlink r:id="rId2599" ref="G1079"/>
    <hyperlink r:id="rId2600" ref="H1079"/>
    <hyperlink r:id="rId2601" ref="F1080"/>
    <hyperlink r:id="rId2602" ref="G1080"/>
    <hyperlink r:id="rId2603" ref="H1080"/>
    <hyperlink r:id="rId2604" ref="F1081"/>
    <hyperlink r:id="rId2605" ref="G1081"/>
    <hyperlink r:id="rId2606" ref="H1081"/>
    <hyperlink r:id="rId2607" ref="F1082"/>
    <hyperlink r:id="rId2608" ref="G1082"/>
    <hyperlink r:id="rId2609" ref="H1082"/>
    <hyperlink r:id="rId2610" ref="F1083"/>
    <hyperlink r:id="rId2611" ref="G1083"/>
    <hyperlink r:id="rId2612" ref="H1083"/>
    <hyperlink r:id="rId2613" ref="F1084"/>
    <hyperlink r:id="rId2614" ref="G1084"/>
    <hyperlink r:id="rId2615" ref="H1084"/>
    <hyperlink r:id="rId2616" ref="G1085"/>
    <hyperlink r:id="rId2617" ref="H1085"/>
    <hyperlink r:id="rId2618" ref="F1086"/>
    <hyperlink r:id="rId2619" ref="G1086"/>
    <hyperlink r:id="rId2620" ref="H1086"/>
    <hyperlink r:id="rId2621" ref="G1087"/>
    <hyperlink r:id="rId2622" ref="H1087"/>
    <hyperlink r:id="rId2623" ref="F1088"/>
    <hyperlink r:id="rId2624" ref="G1088"/>
    <hyperlink r:id="rId2625" ref="H1088"/>
    <hyperlink r:id="rId2626" ref="F1089"/>
    <hyperlink r:id="rId2627" ref="G1089"/>
    <hyperlink r:id="rId2628" ref="H1089"/>
    <hyperlink r:id="rId2629" ref="G1090"/>
    <hyperlink r:id="rId2630" ref="H1090"/>
    <hyperlink r:id="rId2631" ref="G1091"/>
    <hyperlink r:id="rId2632" ref="H1091"/>
    <hyperlink r:id="rId2633" ref="G1092"/>
    <hyperlink r:id="rId2634" ref="H1092"/>
    <hyperlink r:id="rId2635" ref="G1093"/>
    <hyperlink r:id="rId2636" ref="H1093"/>
    <hyperlink r:id="rId2637" ref="F1094"/>
    <hyperlink r:id="rId2638" ref="G1094"/>
    <hyperlink r:id="rId2639" ref="H1094"/>
    <hyperlink r:id="rId2640" ref="G1095"/>
    <hyperlink r:id="rId2641" ref="H1095"/>
    <hyperlink r:id="rId2642" ref="G1096"/>
    <hyperlink r:id="rId2643" ref="H1096"/>
    <hyperlink r:id="rId2644" ref="G1097"/>
    <hyperlink r:id="rId2645" ref="H1097"/>
    <hyperlink r:id="rId2646" ref="G1098"/>
    <hyperlink r:id="rId2647" ref="H1098"/>
    <hyperlink r:id="rId2648" ref="G1099"/>
    <hyperlink r:id="rId2649" ref="H1099"/>
    <hyperlink r:id="rId2650" ref="G1100"/>
    <hyperlink r:id="rId2651" ref="H1100"/>
    <hyperlink r:id="rId2652" ref="G1101"/>
    <hyperlink r:id="rId2653" ref="H1101"/>
    <hyperlink r:id="rId2654" ref="G1102"/>
    <hyperlink r:id="rId2655" ref="H1102"/>
    <hyperlink r:id="rId2656" ref="F1103"/>
    <hyperlink r:id="rId2657" ref="G1103"/>
    <hyperlink r:id="rId2658" ref="H1103"/>
    <hyperlink r:id="rId2659" ref="G1104"/>
    <hyperlink r:id="rId2660" ref="H1104"/>
    <hyperlink r:id="rId2661" ref="G1105"/>
    <hyperlink r:id="rId2662" ref="H1105"/>
    <hyperlink r:id="rId2663" ref="G1106"/>
    <hyperlink r:id="rId2664" ref="H1106"/>
    <hyperlink r:id="rId2665" ref="G1107"/>
    <hyperlink r:id="rId2666" ref="H1107"/>
    <hyperlink r:id="rId2667" ref="F1108"/>
    <hyperlink r:id="rId2668" ref="G1108"/>
    <hyperlink r:id="rId2669" ref="H1108"/>
    <hyperlink r:id="rId2670" ref="F1109"/>
    <hyperlink r:id="rId2671" ref="G1109"/>
    <hyperlink r:id="rId2672" ref="H1109"/>
    <hyperlink r:id="rId2673" ref="G1110"/>
    <hyperlink r:id="rId2674" ref="H1110"/>
    <hyperlink r:id="rId2675" ref="G1111"/>
    <hyperlink r:id="rId2676" ref="H1111"/>
    <hyperlink r:id="rId2677" ref="G1112"/>
    <hyperlink r:id="rId2678" ref="H1112"/>
    <hyperlink r:id="rId2679" ref="G1113"/>
    <hyperlink r:id="rId2680" ref="H1113"/>
    <hyperlink r:id="rId2681" ref="G1114"/>
    <hyperlink r:id="rId2682" ref="H1114"/>
    <hyperlink r:id="rId2683" ref="G1115"/>
    <hyperlink r:id="rId2684" ref="H1115"/>
    <hyperlink r:id="rId2685" ref="G1116"/>
    <hyperlink r:id="rId2686" ref="H1116"/>
    <hyperlink r:id="rId2687" ref="G1117"/>
    <hyperlink r:id="rId2688" ref="H1117"/>
    <hyperlink r:id="rId2689" ref="G1118"/>
    <hyperlink r:id="rId2690" ref="H1118"/>
    <hyperlink r:id="rId2691" ref="G1119"/>
    <hyperlink r:id="rId2692" ref="H1119"/>
    <hyperlink r:id="rId2693" ref="G1120"/>
    <hyperlink r:id="rId2694" ref="H1120"/>
    <hyperlink r:id="rId2695" ref="F1121"/>
    <hyperlink r:id="rId2696" ref="G1121"/>
    <hyperlink r:id="rId2697" ref="H1121"/>
    <hyperlink r:id="rId2698" ref="F1122"/>
    <hyperlink r:id="rId2699" ref="G1122"/>
    <hyperlink r:id="rId2700" ref="H1122"/>
    <hyperlink r:id="rId2701" ref="F1123"/>
    <hyperlink r:id="rId2702" ref="G1123"/>
    <hyperlink r:id="rId2703" ref="H1123"/>
    <hyperlink r:id="rId2704" ref="F1124"/>
    <hyperlink r:id="rId2705" ref="G1124"/>
    <hyperlink r:id="rId2706" ref="H1124"/>
    <hyperlink r:id="rId2707" ref="F1125"/>
    <hyperlink r:id="rId2708" ref="G1125"/>
    <hyperlink r:id="rId2709" ref="H1125"/>
    <hyperlink r:id="rId2710" ref="G1126"/>
    <hyperlink r:id="rId2711" ref="H1126"/>
    <hyperlink r:id="rId2712" ref="G1127"/>
    <hyperlink r:id="rId2713" ref="H1127"/>
    <hyperlink r:id="rId2714" ref="G1128"/>
    <hyperlink r:id="rId2715" ref="H1128"/>
    <hyperlink r:id="rId2716" ref="F1129"/>
    <hyperlink r:id="rId2717" ref="G1129"/>
    <hyperlink r:id="rId2718" ref="H1129"/>
    <hyperlink r:id="rId2719" ref="G1130"/>
    <hyperlink r:id="rId2720" ref="H1130"/>
    <hyperlink r:id="rId2721" ref="G1131"/>
    <hyperlink r:id="rId2722" ref="H1131"/>
    <hyperlink r:id="rId2723" ref="F1132"/>
    <hyperlink r:id="rId2724" ref="G1132"/>
    <hyperlink r:id="rId2725" ref="H1132"/>
    <hyperlink r:id="rId2726" ref="F1133"/>
    <hyperlink r:id="rId2727" ref="G1133"/>
    <hyperlink r:id="rId2728" ref="H1133"/>
    <hyperlink r:id="rId2729" ref="F1134"/>
    <hyperlink r:id="rId2730" ref="G1134"/>
    <hyperlink r:id="rId2731" ref="H1134"/>
    <hyperlink r:id="rId2732" ref="F1135"/>
    <hyperlink r:id="rId2733" ref="G1135"/>
    <hyperlink r:id="rId2734" ref="H1135"/>
    <hyperlink r:id="rId2735" ref="G1136"/>
    <hyperlink r:id="rId2736" ref="H1136"/>
    <hyperlink r:id="rId2737" ref="G1137"/>
    <hyperlink r:id="rId2738" ref="H1137"/>
    <hyperlink r:id="rId2739" ref="G1138"/>
    <hyperlink r:id="rId2740" ref="H1138"/>
    <hyperlink r:id="rId2741" ref="G1139"/>
    <hyperlink r:id="rId2742" ref="H1139"/>
    <hyperlink r:id="rId2743" ref="G1140"/>
    <hyperlink r:id="rId2744" ref="H1140"/>
    <hyperlink r:id="rId2745" ref="G1141"/>
    <hyperlink r:id="rId2746" ref="H1141"/>
    <hyperlink r:id="rId2747" ref="G1142"/>
    <hyperlink r:id="rId2748" ref="H1142"/>
    <hyperlink r:id="rId2749" ref="G1143"/>
    <hyperlink r:id="rId2750" ref="H1143"/>
    <hyperlink r:id="rId2751" ref="G1144"/>
    <hyperlink r:id="rId2752" ref="H1144"/>
    <hyperlink r:id="rId2753" ref="G1145"/>
    <hyperlink r:id="rId2754" ref="H1145"/>
    <hyperlink r:id="rId2755" ref="F1146"/>
    <hyperlink r:id="rId2756" ref="G1146"/>
    <hyperlink r:id="rId2757" ref="H1146"/>
    <hyperlink r:id="rId2758" ref="F1147"/>
    <hyperlink r:id="rId2759" ref="G1147"/>
    <hyperlink r:id="rId2760" ref="H1147"/>
    <hyperlink r:id="rId2761" ref="F1148"/>
    <hyperlink r:id="rId2762" ref="G1148"/>
    <hyperlink r:id="rId2763" ref="H1148"/>
    <hyperlink r:id="rId2764" ref="F1149"/>
    <hyperlink r:id="rId2765" ref="G1149"/>
    <hyperlink r:id="rId2766" ref="H1149"/>
    <hyperlink r:id="rId2767" ref="G1150"/>
    <hyperlink r:id="rId2768" ref="H1150"/>
    <hyperlink r:id="rId2769" ref="G1151"/>
    <hyperlink r:id="rId2770" ref="H1151"/>
    <hyperlink r:id="rId2771" ref="G1152"/>
    <hyperlink r:id="rId2772" ref="H1152"/>
    <hyperlink r:id="rId2773" ref="G1153"/>
    <hyperlink r:id="rId2774" ref="H1153"/>
    <hyperlink r:id="rId2775" ref="G1154"/>
    <hyperlink r:id="rId2776" ref="H1154"/>
    <hyperlink r:id="rId2777" ref="G1155"/>
    <hyperlink r:id="rId2778" ref="H1155"/>
    <hyperlink r:id="rId2779" ref="G1156"/>
    <hyperlink r:id="rId2780" ref="H1156"/>
    <hyperlink r:id="rId2781" ref="G1157"/>
    <hyperlink r:id="rId2782" ref="H1157"/>
    <hyperlink r:id="rId2783" ref="G1158"/>
    <hyperlink r:id="rId2784" ref="H1158"/>
    <hyperlink r:id="rId2785" ref="G1159"/>
    <hyperlink r:id="rId2786" ref="H1159"/>
    <hyperlink r:id="rId2787" ref="G1160"/>
    <hyperlink r:id="rId2788" ref="H1160"/>
    <hyperlink r:id="rId2789" ref="F1161"/>
    <hyperlink r:id="rId2790" ref="G1161"/>
    <hyperlink r:id="rId2791" ref="H1161"/>
    <hyperlink r:id="rId2792" ref="F1162"/>
    <hyperlink r:id="rId2793" ref="G1162"/>
    <hyperlink r:id="rId2794" ref="H1162"/>
    <hyperlink r:id="rId2795" ref="F1163"/>
    <hyperlink r:id="rId2796" ref="G1163"/>
    <hyperlink r:id="rId2797" ref="H1163"/>
    <hyperlink r:id="rId2798" ref="G1164"/>
    <hyperlink r:id="rId2799" ref="H1164"/>
    <hyperlink r:id="rId2800" ref="G1165"/>
    <hyperlink r:id="rId2801" ref="H1165"/>
    <hyperlink r:id="rId2802" ref="G1166"/>
    <hyperlink r:id="rId2803" ref="H1166"/>
    <hyperlink r:id="rId2804" ref="G1167"/>
    <hyperlink r:id="rId2805" ref="H1167"/>
    <hyperlink r:id="rId2806" ref="G1168"/>
    <hyperlink r:id="rId2807" ref="H1168"/>
    <hyperlink r:id="rId2808" ref="G1169"/>
    <hyperlink r:id="rId2809" ref="H1169"/>
    <hyperlink r:id="rId2810" ref="F1170"/>
    <hyperlink r:id="rId2811" ref="G1170"/>
    <hyperlink r:id="rId2812" ref="H1170"/>
    <hyperlink r:id="rId2813" ref="F1171"/>
    <hyperlink r:id="rId2814" ref="G1171"/>
    <hyperlink r:id="rId2815" ref="H1171"/>
    <hyperlink r:id="rId2816" ref="F1172"/>
    <hyperlink r:id="rId2817" ref="G1172"/>
    <hyperlink r:id="rId2818" ref="H1172"/>
    <hyperlink r:id="rId2819" ref="F1173"/>
    <hyperlink r:id="rId2820" ref="G1173"/>
    <hyperlink r:id="rId2821" ref="H1173"/>
    <hyperlink r:id="rId2822" ref="G1174"/>
    <hyperlink r:id="rId2823" ref="H1174"/>
    <hyperlink r:id="rId2824" ref="G1175"/>
    <hyperlink r:id="rId2825" ref="H1175"/>
    <hyperlink r:id="rId2826" ref="F1176"/>
    <hyperlink r:id="rId2827" ref="G1176"/>
    <hyperlink r:id="rId2828" ref="H1176"/>
    <hyperlink r:id="rId2829" ref="F1177"/>
    <hyperlink r:id="rId2830" ref="G1177"/>
    <hyperlink r:id="rId2831" ref="H1177"/>
    <hyperlink r:id="rId2832" ref="F1178"/>
    <hyperlink r:id="rId2833" ref="G1178"/>
    <hyperlink r:id="rId2834" ref="H1178"/>
    <hyperlink r:id="rId2835" ref="G1179"/>
    <hyperlink r:id="rId2836" ref="H1179"/>
    <hyperlink r:id="rId2837" ref="G1180"/>
    <hyperlink r:id="rId2838" ref="H1180"/>
    <hyperlink r:id="rId2839" ref="F1181"/>
    <hyperlink r:id="rId2840" ref="G1181"/>
    <hyperlink r:id="rId2841" ref="H1181"/>
    <hyperlink r:id="rId2842" ref="F1182"/>
    <hyperlink r:id="rId2843" ref="G1182"/>
    <hyperlink r:id="rId2844" ref="H1182"/>
    <hyperlink r:id="rId2845" ref="F1183"/>
    <hyperlink r:id="rId2846" ref="G1183"/>
    <hyperlink r:id="rId2847" ref="H1183"/>
    <hyperlink r:id="rId2848" ref="G1184"/>
    <hyperlink r:id="rId2849" ref="H1184"/>
    <hyperlink r:id="rId2850" ref="F1185"/>
    <hyperlink r:id="rId2851" ref="G1185"/>
    <hyperlink r:id="rId2852" ref="H1185"/>
    <hyperlink r:id="rId2853" ref="G1186"/>
    <hyperlink r:id="rId2854" ref="H1186"/>
    <hyperlink r:id="rId2855" ref="G1187"/>
    <hyperlink r:id="rId2856" ref="H1187"/>
    <hyperlink r:id="rId2857" ref="G1188"/>
    <hyperlink r:id="rId2858" ref="H1188"/>
    <hyperlink r:id="rId2859" ref="G1189"/>
    <hyperlink r:id="rId2860" ref="H1189"/>
    <hyperlink r:id="rId2861" ref="F1190"/>
    <hyperlink r:id="rId2862" ref="G1190"/>
    <hyperlink r:id="rId2863" ref="H1190"/>
    <hyperlink r:id="rId2864" ref="F1191"/>
    <hyperlink r:id="rId2865" ref="G1191"/>
    <hyperlink r:id="rId2866" ref="H1191"/>
    <hyperlink r:id="rId2867" ref="G1192"/>
    <hyperlink r:id="rId2868" ref="H1192"/>
    <hyperlink r:id="rId2869" ref="G1193"/>
    <hyperlink r:id="rId2870" ref="H1193"/>
    <hyperlink r:id="rId2871" ref="G1194"/>
    <hyperlink r:id="rId2872" ref="H1194"/>
    <hyperlink r:id="rId2873" ref="G1195"/>
    <hyperlink r:id="rId2874" ref="H1195"/>
    <hyperlink r:id="rId2875" ref="G1196"/>
    <hyperlink r:id="rId2876" ref="H1196"/>
    <hyperlink r:id="rId2877" ref="F1197"/>
    <hyperlink r:id="rId2878" ref="G1197"/>
    <hyperlink r:id="rId2879" ref="H1197"/>
    <hyperlink r:id="rId2880" ref="F1198"/>
    <hyperlink r:id="rId2881" ref="G1198"/>
    <hyperlink r:id="rId2882" ref="H1198"/>
    <hyperlink r:id="rId2883" ref="F1199"/>
    <hyperlink r:id="rId2884" ref="G1199"/>
    <hyperlink r:id="rId2885" ref="H1199"/>
    <hyperlink r:id="rId2886" ref="G1200"/>
    <hyperlink r:id="rId2887" ref="H1200"/>
    <hyperlink r:id="rId2888" ref="G1201"/>
    <hyperlink r:id="rId2889" ref="H1201"/>
    <hyperlink r:id="rId2890" ref="F1202"/>
    <hyperlink r:id="rId2891" ref="G1202"/>
    <hyperlink r:id="rId2892" ref="H1202"/>
    <hyperlink r:id="rId2893" ref="F1203"/>
    <hyperlink r:id="rId2894" ref="G1203"/>
    <hyperlink r:id="rId2895" ref="H1203"/>
    <hyperlink r:id="rId2896" ref="F1204"/>
    <hyperlink r:id="rId2897" ref="G1204"/>
    <hyperlink r:id="rId2898" ref="H1204"/>
    <hyperlink r:id="rId2899" ref="F1205"/>
    <hyperlink r:id="rId2900" ref="G1205"/>
    <hyperlink r:id="rId2901" ref="H1205"/>
    <hyperlink r:id="rId2902" ref="F1206"/>
    <hyperlink r:id="rId2903" ref="G1206"/>
    <hyperlink r:id="rId2904" ref="H1206"/>
    <hyperlink r:id="rId2905" ref="F1207"/>
    <hyperlink r:id="rId2906" ref="G1207"/>
    <hyperlink r:id="rId2907" ref="H1207"/>
    <hyperlink r:id="rId2908" ref="F1208"/>
    <hyperlink r:id="rId2909" ref="G1208"/>
    <hyperlink r:id="rId2910" ref="H1208"/>
    <hyperlink r:id="rId2911" ref="F1209"/>
    <hyperlink r:id="rId2912" ref="G1209"/>
    <hyperlink r:id="rId2913" ref="H1209"/>
    <hyperlink r:id="rId2914" ref="G1210"/>
    <hyperlink r:id="rId2915" ref="H1210"/>
    <hyperlink r:id="rId2916" ref="G1211"/>
    <hyperlink r:id="rId2917" ref="H1211"/>
    <hyperlink r:id="rId2918" ref="G1212"/>
    <hyperlink r:id="rId2919" ref="H1212"/>
    <hyperlink r:id="rId2920" ref="G1213"/>
    <hyperlink r:id="rId2921" ref="H1213"/>
    <hyperlink r:id="rId2922" ref="F1214"/>
    <hyperlink r:id="rId2923" ref="G1214"/>
    <hyperlink r:id="rId2924" ref="H1214"/>
    <hyperlink r:id="rId2925" ref="G1215"/>
    <hyperlink r:id="rId2926" ref="H1215"/>
    <hyperlink r:id="rId2927" ref="G1216"/>
    <hyperlink r:id="rId2928" ref="H1216"/>
    <hyperlink r:id="rId2929" ref="G1217"/>
    <hyperlink r:id="rId2930" ref="H1217"/>
    <hyperlink r:id="rId2931" ref="F1218"/>
    <hyperlink r:id="rId2932" ref="G1218"/>
    <hyperlink r:id="rId2933" ref="H1218"/>
    <hyperlink r:id="rId2934" ref="G1219"/>
    <hyperlink r:id="rId2935" ref="H1219"/>
    <hyperlink r:id="rId2936" ref="G1220"/>
    <hyperlink r:id="rId2937" ref="H1220"/>
    <hyperlink r:id="rId2938" ref="G1221"/>
    <hyperlink r:id="rId2939" ref="H1221"/>
    <hyperlink r:id="rId2940" ref="G1222"/>
    <hyperlink r:id="rId2941" ref="H1222"/>
    <hyperlink r:id="rId2942" ref="G1223"/>
    <hyperlink r:id="rId2943" ref="H1223"/>
    <hyperlink r:id="rId2944" ref="G1224"/>
    <hyperlink r:id="rId2945" ref="H1224"/>
    <hyperlink r:id="rId2946" ref="G1225"/>
    <hyperlink r:id="rId2947" ref="H1225"/>
    <hyperlink r:id="rId2948" ref="G1226"/>
    <hyperlink r:id="rId2949" ref="H1226"/>
    <hyperlink r:id="rId2950" ref="G1227"/>
    <hyperlink r:id="rId2951" ref="H1227"/>
    <hyperlink r:id="rId2952" ref="G1228"/>
    <hyperlink r:id="rId2953" ref="H1228"/>
    <hyperlink r:id="rId2954" ref="F1229"/>
    <hyperlink r:id="rId2955" ref="G1229"/>
    <hyperlink r:id="rId2956" ref="H1229"/>
    <hyperlink r:id="rId2957" ref="G1230"/>
    <hyperlink r:id="rId2958" ref="H1230"/>
    <hyperlink r:id="rId2959" ref="F1231"/>
    <hyperlink r:id="rId2960" ref="G1231"/>
    <hyperlink r:id="rId2961" ref="H1231"/>
    <hyperlink r:id="rId2962" ref="G1232"/>
    <hyperlink r:id="rId2963" ref="H1232"/>
    <hyperlink r:id="rId2964" ref="G1233"/>
    <hyperlink r:id="rId2965" ref="H1233"/>
    <hyperlink r:id="rId2966" ref="G1234"/>
    <hyperlink r:id="rId2967" ref="H1234"/>
    <hyperlink r:id="rId2968" ref="G1235"/>
    <hyperlink r:id="rId2969" ref="H1235"/>
    <hyperlink r:id="rId2970" ref="G1236"/>
    <hyperlink r:id="rId2971" ref="H1236"/>
    <hyperlink r:id="rId2972" ref="F1237"/>
    <hyperlink r:id="rId2973" ref="G1237"/>
    <hyperlink r:id="rId2974" ref="H1237"/>
    <hyperlink r:id="rId2975" ref="G1238"/>
    <hyperlink r:id="rId2976" ref="H1238"/>
    <hyperlink r:id="rId2977" ref="F1239"/>
    <hyperlink r:id="rId2978" ref="G1239"/>
    <hyperlink r:id="rId2979" ref="H1239"/>
    <hyperlink r:id="rId2980" ref="G1240"/>
    <hyperlink r:id="rId2981" ref="H1240"/>
    <hyperlink r:id="rId2982" ref="G1241"/>
    <hyperlink r:id="rId2983" ref="H1241"/>
    <hyperlink r:id="rId2984" ref="F1242"/>
    <hyperlink r:id="rId2985" ref="G1242"/>
    <hyperlink r:id="rId2986" ref="H1242"/>
    <hyperlink r:id="rId2987" ref="G1243"/>
    <hyperlink r:id="rId2988" ref="H1243"/>
    <hyperlink r:id="rId2989" ref="G1244"/>
    <hyperlink r:id="rId2990" ref="H1244"/>
    <hyperlink r:id="rId2991" ref="G1245"/>
    <hyperlink r:id="rId2992" ref="H1245"/>
    <hyperlink r:id="rId2993" ref="G1246"/>
    <hyperlink r:id="rId2994" ref="H1246"/>
    <hyperlink r:id="rId2995" ref="G1247"/>
    <hyperlink r:id="rId2996" ref="H1247"/>
    <hyperlink r:id="rId2997" ref="G1248"/>
    <hyperlink r:id="rId2998" ref="H1248"/>
    <hyperlink r:id="rId2999" ref="F1249"/>
    <hyperlink r:id="rId3000" ref="G1249"/>
    <hyperlink r:id="rId3001" ref="H1249"/>
    <hyperlink r:id="rId3002" ref="G1250"/>
    <hyperlink r:id="rId3003" ref="H1250"/>
    <hyperlink r:id="rId3004" ref="G1251"/>
    <hyperlink r:id="rId3005" ref="H1251"/>
    <hyperlink r:id="rId3006" ref="G1252"/>
    <hyperlink r:id="rId3007" ref="H1252"/>
    <hyperlink r:id="rId3008" ref="G1253"/>
    <hyperlink r:id="rId3009" ref="H1253"/>
    <hyperlink r:id="rId3010" ref="G1254"/>
    <hyperlink r:id="rId3011" ref="H1254"/>
    <hyperlink r:id="rId3012" ref="G1255"/>
    <hyperlink r:id="rId3013" ref="H1255"/>
    <hyperlink r:id="rId3014" ref="G1256"/>
    <hyperlink r:id="rId3015" ref="H1256"/>
    <hyperlink r:id="rId3016" ref="F1257"/>
    <hyperlink r:id="rId3017" ref="G1257"/>
    <hyperlink r:id="rId3018" ref="H1257"/>
    <hyperlink r:id="rId3019" ref="F1258"/>
    <hyperlink r:id="rId3020" ref="G1258"/>
    <hyperlink r:id="rId3021" ref="H1258"/>
    <hyperlink r:id="rId3022" ref="F1259"/>
    <hyperlink r:id="rId3023" ref="G1259"/>
    <hyperlink r:id="rId3024" ref="H1259"/>
    <hyperlink r:id="rId3025" ref="F1260"/>
    <hyperlink r:id="rId3026" ref="G1260"/>
    <hyperlink r:id="rId3027" ref="H1260"/>
    <hyperlink r:id="rId3028" ref="F1261"/>
    <hyperlink r:id="rId3029" ref="G1261"/>
    <hyperlink r:id="rId3030" ref="H1261"/>
    <hyperlink r:id="rId3031" ref="F1262"/>
    <hyperlink r:id="rId3032" ref="G1262"/>
    <hyperlink r:id="rId3033" ref="H1262"/>
    <hyperlink r:id="rId3034" ref="F1263"/>
    <hyperlink r:id="rId3035" ref="G1263"/>
    <hyperlink r:id="rId3036" ref="H1263"/>
    <hyperlink r:id="rId3037" ref="F1264"/>
    <hyperlink r:id="rId3038" ref="G1264"/>
    <hyperlink r:id="rId3039" ref="H1264"/>
    <hyperlink r:id="rId3040" ref="F1265"/>
    <hyperlink r:id="rId3041" ref="G1265"/>
    <hyperlink r:id="rId3042" ref="H1265"/>
    <hyperlink r:id="rId3043" ref="F1266"/>
    <hyperlink r:id="rId3044" ref="G1266"/>
    <hyperlink r:id="rId3045" ref="H1266"/>
    <hyperlink r:id="rId3046" ref="F1267"/>
    <hyperlink r:id="rId3047" ref="G1267"/>
    <hyperlink r:id="rId3048" ref="H1267"/>
    <hyperlink r:id="rId3049" ref="F1268"/>
    <hyperlink r:id="rId3050" ref="G1268"/>
    <hyperlink r:id="rId3051" ref="H1268"/>
    <hyperlink r:id="rId3052" ref="F1269"/>
    <hyperlink r:id="rId3053" ref="G1269"/>
    <hyperlink r:id="rId3054" ref="H1269"/>
    <hyperlink r:id="rId3055" ref="F1270"/>
    <hyperlink r:id="rId3056" ref="G1270"/>
    <hyperlink r:id="rId3057" ref="H1270"/>
    <hyperlink r:id="rId3058" ref="F1271"/>
    <hyperlink r:id="rId3059" ref="G1271"/>
    <hyperlink r:id="rId3060" ref="H1271"/>
    <hyperlink r:id="rId3061" ref="F1272"/>
    <hyperlink r:id="rId3062" ref="G1272"/>
    <hyperlink r:id="rId3063" ref="H1272"/>
    <hyperlink r:id="rId3064" ref="F1273"/>
    <hyperlink r:id="rId3065" ref="G1273"/>
    <hyperlink r:id="rId3066" ref="H1273"/>
    <hyperlink r:id="rId3067" ref="F1274"/>
    <hyperlink r:id="rId3068" ref="G1274"/>
    <hyperlink r:id="rId3069" ref="H1274"/>
    <hyperlink r:id="rId3070" ref="G1275"/>
    <hyperlink r:id="rId3071" ref="H1275"/>
    <hyperlink r:id="rId3072" ref="G1276"/>
    <hyperlink r:id="rId3073" ref="H1276"/>
    <hyperlink r:id="rId3074" ref="F1277"/>
    <hyperlink r:id="rId3075" ref="G1277"/>
    <hyperlink r:id="rId3076" ref="H1277"/>
    <hyperlink r:id="rId3077" ref="F1278"/>
    <hyperlink r:id="rId3078" ref="G1278"/>
    <hyperlink r:id="rId3079" ref="H1278"/>
    <hyperlink r:id="rId3080" ref="G1279"/>
    <hyperlink r:id="rId3081" ref="H1279"/>
    <hyperlink r:id="rId3082" ref="G1280"/>
    <hyperlink r:id="rId3083" ref="H1280"/>
    <hyperlink r:id="rId3084" ref="F1281"/>
    <hyperlink r:id="rId3085" ref="G1281"/>
    <hyperlink r:id="rId3086" ref="H1281"/>
    <hyperlink r:id="rId3087" ref="G1282"/>
    <hyperlink r:id="rId3088" ref="H1282"/>
    <hyperlink r:id="rId3089" ref="F1283"/>
    <hyperlink r:id="rId3090" ref="G1283"/>
    <hyperlink r:id="rId3091" ref="H1283"/>
    <hyperlink r:id="rId3092" ref="F1284"/>
    <hyperlink r:id="rId3093" ref="G1284"/>
    <hyperlink r:id="rId3094" ref="H1284"/>
    <hyperlink r:id="rId3095" ref="F1285"/>
    <hyperlink r:id="rId3096" ref="G1285"/>
    <hyperlink r:id="rId3097" ref="H1285"/>
    <hyperlink r:id="rId3098" ref="F1286"/>
    <hyperlink r:id="rId3099" ref="G1286"/>
    <hyperlink r:id="rId3100" ref="H1286"/>
    <hyperlink r:id="rId3101" ref="F1287"/>
    <hyperlink r:id="rId3102" ref="G1287"/>
    <hyperlink r:id="rId3103" ref="H1287"/>
    <hyperlink r:id="rId3104" ref="F1288"/>
    <hyperlink r:id="rId3105" ref="G1288"/>
    <hyperlink r:id="rId3106" ref="H1288"/>
    <hyperlink r:id="rId3107" ref="F1289"/>
    <hyperlink r:id="rId3108" ref="G1289"/>
    <hyperlink r:id="rId3109" ref="H1289"/>
    <hyperlink r:id="rId3110" ref="F1290"/>
    <hyperlink r:id="rId3111" ref="G1290"/>
    <hyperlink r:id="rId3112" ref="H1290"/>
    <hyperlink r:id="rId3113" ref="G1291"/>
    <hyperlink r:id="rId3114" ref="H1291"/>
    <hyperlink r:id="rId3115" ref="G1292"/>
    <hyperlink r:id="rId3116" ref="H1292"/>
    <hyperlink r:id="rId3117" ref="G1293"/>
    <hyperlink r:id="rId3118" ref="H1293"/>
    <hyperlink r:id="rId3119" ref="F1294"/>
    <hyperlink r:id="rId3120" ref="G1294"/>
    <hyperlink r:id="rId3121" ref="H1294"/>
    <hyperlink r:id="rId3122" ref="G1295"/>
    <hyperlink r:id="rId3123" ref="H1295"/>
    <hyperlink r:id="rId3124" ref="F1296"/>
    <hyperlink r:id="rId3125" ref="G1296"/>
    <hyperlink r:id="rId3126" ref="H1296"/>
    <hyperlink r:id="rId3127" ref="F1297"/>
    <hyperlink r:id="rId3128" ref="G1297"/>
    <hyperlink r:id="rId3129" ref="H1297"/>
    <hyperlink r:id="rId3130" ref="G1298"/>
    <hyperlink r:id="rId3131" ref="H1298"/>
    <hyperlink r:id="rId3132" ref="F1299"/>
    <hyperlink r:id="rId3133" ref="G1299"/>
    <hyperlink r:id="rId3134" ref="H1299"/>
    <hyperlink r:id="rId3135" ref="F1300"/>
    <hyperlink r:id="rId3136" ref="G1300"/>
    <hyperlink r:id="rId3137" ref="H1300"/>
    <hyperlink r:id="rId3138" ref="G1301"/>
    <hyperlink r:id="rId3139" ref="H1301"/>
    <hyperlink r:id="rId3140" ref="G1302"/>
    <hyperlink r:id="rId3141" ref="H1302"/>
    <hyperlink r:id="rId3142" ref="F1303"/>
    <hyperlink r:id="rId3143" ref="G1303"/>
    <hyperlink r:id="rId3144" ref="H1303"/>
    <hyperlink r:id="rId3145" ref="G1304"/>
    <hyperlink r:id="rId3146" ref="H1304"/>
    <hyperlink r:id="rId3147" ref="G1305"/>
    <hyperlink r:id="rId3148" ref="H1305"/>
    <hyperlink r:id="rId3149" ref="G1306"/>
    <hyperlink r:id="rId3150" ref="H1306"/>
    <hyperlink r:id="rId3151" ref="G1307"/>
    <hyperlink r:id="rId3152" ref="H1307"/>
    <hyperlink r:id="rId3153" ref="G1308"/>
    <hyperlink r:id="rId3154" ref="H1308"/>
    <hyperlink r:id="rId3155" ref="F1309"/>
    <hyperlink r:id="rId3156" ref="G1309"/>
    <hyperlink r:id="rId3157" ref="H1309"/>
    <hyperlink r:id="rId3158" ref="G1310"/>
    <hyperlink r:id="rId3159" ref="H1310"/>
    <hyperlink r:id="rId3160" ref="F1311"/>
    <hyperlink r:id="rId3161" ref="G1311"/>
    <hyperlink r:id="rId3162" ref="H1311"/>
    <hyperlink r:id="rId3163" ref="G1312"/>
    <hyperlink r:id="rId3164" ref="H1312"/>
    <hyperlink r:id="rId3165" ref="F1313"/>
    <hyperlink r:id="rId3166" ref="G1313"/>
    <hyperlink r:id="rId3167" ref="H1313"/>
    <hyperlink r:id="rId3168" ref="G1314"/>
    <hyperlink r:id="rId3169" ref="H1314"/>
    <hyperlink r:id="rId3170" ref="G1315"/>
    <hyperlink r:id="rId3171" ref="H1315"/>
    <hyperlink r:id="rId3172" ref="F1316"/>
    <hyperlink r:id="rId3173" ref="G1316"/>
    <hyperlink r:id="rId3174" ref="H1316"/>
    <hyperlink r:id="rId3175" ref="G1317"/>
    <hyperlink r:id="rId3176" ref="H1317"/>
    <hyperlink r:id="rId3177" ref="G1318"/>
    <hyperlink r:id="rId3178" ref="H1318"/>
    <hyperlink r:id="rId3179" ref="F1319"/>
    <hyperlink r:id="rId3180" ref="G1319"/>
    <hyperlink r:id="rId3181" ref="H1319"/>
    <hyperlink r:id="rId3182" ref="G1320"/>
    <hyperlink r:id="rId3183" ref="H1320"/>
    <hyperlink r:id="rId3184" ref="G1321"/>
    <hyperlink r:id="rId3185" ref="H1321"/>
    <hyperlink r:id="rId3186" ref="G1322"/>
    <hyperlink r:id="rId3187" ref="H1322"/>
    <hyperlink r:id="rId3188" ref="G1323"/>
    <hyperlink r:id="rId3189" ref="H1323"/>
    <hyperlink r:id="rId3190" ref="G1324"/>
    <hyperlink r:id="rId3191" ref="H1324"/>
    <hyperlink r:id="rId3192" ref="G1325"/>
    <hyperlink r:id="rId3193" ref="H1325"/>
    <hyperlink r:id="rId3194" ref="G1326"/>
    <hyperlink r:id="rId3195" ref="H1326"/>
    <hyperlink r:id="rId3196" ref="G1327"/>
    <hyperlink r:id="rId3197" ref="H1327"/>
    <hyperlink r:id="rId3198" ref="G1328"/>
    <hyperlink r:id="rId3199" ref="H1328"/>
    <hyperlink r:id="rId3200" ref="F1329"/>
    <hyperlink r:id="rId3201" ref="G1329"/>
    <hyperlink r:id="rId3202" ref="H1329"/>
    <hyperlink r:id="rId3203" ref="F1330"/>
    <hyperlink r:id="rId3204" ref="G1330"/>
    <hyperlink r:id="rId3205" ref="H1330"/>
    <hyperlink r:id="rId3206" ref="G1331"/>
    <hyperlink r:id="rId3207" ref="H1331"/>
    <hyperlink r:id="rId3208" ref="G1332"/>
    <hyperlink r:id="rId3209" ref="H1332"/>
    <hyperlink r:id="rId3210" ref="F1333"/>
    <hyperlink r:id="rId3211" ref="G1333"/>
    <hyperlink r:id="rId3212" ref="H1333"/>
    <hyperlink r:id="rId3213" ref="G1334"/>
    <hyperlink r:id="rId3214" ref="H1334"/>
    <hyperlink r:id="rId3215" ref="F1335"/>
    <hyperlink r:id="rId3216" ref="G1335"/>
    <hyperlink r:id="rId3217" ref="H1335"/>
    <hyperlink r:id="rId3218" ref="F1336"/>
    <hyperlink r:id="rId3219" ref="G1336"/>
    <hyperlink r:id="rId3220" ref="H1336"/>
    <hyperlink r:id="rId3221" ref="G1337"/>
    <hyperlink r:id="rId3222" ref="H1337"/>
    <hyperlink r:id="rId3223" ref="F1338"/>
    <hyperlink r:id="rId3224" ref="G1338"/>
    <hyperlink r:id="rId3225" ref="H1338"/>
    <hyperlink r:id="rId3226" ref="G1339"/>
    <hyperlink r:id="rId3227" ref="H1339"/>
    <hyperlink r:id="rId3228" ref="F1340"/>
    <hyperlink r:id="rId3229" ref="G1340"/>
    <hyperlink r:id="rId3230" ref="H1340"/>
    <hyperlink r:id="rId3231" ref="G1341"/>
    <hyperlink r:id="rId3232" ref="H1341"/>
    <hyperlink r:id="rId3233" ref="F1342"/>
    <hyperlink r:id="rId3234" ref="G1342"/>
    <hyperlink r:id="rId3235" ref="H1342"/>
    <hyperlink r:id="rId3236" ref="G1343"/>
    <hyperlink r:id="rId3237" ref="H1343"/>
    <hyperlink r:id="rId3238" ref="G1344"/>
    <hyperlink r:id="rId3239" ref="H1344"/>
    <hyperlink r:id="rId3240" ref="G1345"/>
    <hyperlink r:id="rId3241" ref="H1345"/>
    <hyperlink r:id="rId3242" ref="G1346"/>
    <hyperlink r:id="rId3243" ref="H1346"/>
    <hyperlink r:id="rId3244" ref="F1347"/>
    <hyperlink r:id="rId3245" ref="G1347"/>
    <hyperlink r:id="rId3246" ref="H1347"/>
    <hyperlink r:id="rId3247" ref="F1348"/>
    <hyperlink r:id="rId3248" ref="G1348"/>
    <hyperlink r:id="rId3249" ref="H1348"/>
    <hyperlink r:id="rId3250" ref="F1349"/>
    <hyperlink r:id="rId3251" ref="G1349"/>
    <hyperlink r:id="rId3252" ref="H1349"/>
    <hyperlink r:id="rId3253" ref="G1350"/>
    <hyperlink r:id="rId3254" ref="H1350"/>
    <hyperlink r:id="rId3255" ref="G1351"/>
    <hyperlink r:id="rId3256" ref="H1351"/>
    <hyperlink r:id="rId3257" ref="F1352"/>
    <hyperlink r:id="rId3258" ref="G1352"/>
    <hyperlink r:id="rId3259" ref="H1352"/>
    <hyperlink r:id="rId3260" ref="G1353"/>
    <hyperlink r:id="rId3261" ref="H1353"/>
    <hyperlink r:id="rId3262" ref="G1354"/>
    <hyperlink r:id="rId3263" ref="H1354"/>
    <hyperlink r:id="rId3264" ref="G1355"/>
    <hyperlink r:id="rId3265" ref="H1355"/>
    <hyperlink r:id="rId3266" ref="G1356"/>
    <hyperlink r:id="rId3267" ref="H1356"/>
    <hyperlink r:id="rId3268" ref="F1357"/>
    <hyperlink r:id="rId3269" ref="G1357"/>
    <hyperlink r:id="rId3270" ref="H1357"/>
    <hyperlink r:id="rId3271" ref="F1358"/>
    <hyperlink r:id="rId3272" ref="G1358"/>
    <hyperlink r:id="rId3273" ref="H1358"/>
    <hyperlink r:id="rId3274" ref="G1359"/>
    <hyperlink r:id="rId3275" ref="H1359"/>
    <hyperlink r:id="rId3276" ref="G1360"/>
    <hyperlink r:id="rId3277" ref="H1360"/>
    <hyperlink r:id="rId3278" ref="G1361"/>
    <hyperlink r:id="rId3279" ref="H1361"/>
    <hyperlink r:id="rId3280" ref="G1362"/>
    <hyperlink r:id="rId3281" ref="H1362"/>
    <hyperlink r:id="rId3282" ref="G1363"/>
    <hyperlink r:id="rId3283" ref="H1363"/>
    <hyperlink r:id="rId3284" ref="G1364"/>
    <hyperlink r:id="rId3285" ref="H1364"/>
    <hyperlink r:id="rId3286" ref="G1365"/>
    <hyperlink r:id="rId3287" ref="H1365"/>
    <hyperlink r:id="rId3288" ref="G1366"/>
    <hyperlink r:id="rId3289" ref="H1366"/>
    <hyperlink r:id="rId3290" ref="G1367"/>
    <hyperlink r:id="rId3291" ref="H1367"/>
    <hyperlink r:id="rId3292" ref="G1368"/>
    <hyperlink r:id="rId3293" ref="H1368"/>
    <hyperlink r:id="rId3294" ref="G1369"/>
    <hyperlink r:id="rId3295" ref="H1369"/>
    <hyperlink r:id="rId3296" ref="F1370"/>
    <hyperlink r:id="rId3297" ref="G1370"/>
    <hyperlink r:id="rId3298" ref="H1370"/>
    <hyperlink r:id="rId3299" ref="F1371"/>
    <hyperlink r:id="rId3300" ref="G1371"/>
    <hyperlink r:id="rId3301" ref="H1371"/>
    <hyperlink r:id="rId3302" ref="G1372"/>
    <hyperlink r:id="rId3303" ref="H1372"/>
    <hyperlink r:id="rId3304" ref="G1373"/>
    <hyperlink r:id="rId3305" ref="H1373"/>
    <hyperlink r:id="rId3306" ref="G1374"/>
    <hyperlink r:id="rId3307" ref="H1374"/>
    <hyperlink r:id="rId3308" ref="F1375"/>
    <hyperlink r:id="rId3309" ref="G1375"/>
    <hyperlink r:id="rId3310" ref="H1375"/>
    <hyperlink r:id="rId3311" ref="G1376"/>
    <hyperlink r:id="rId3312" ref="H1376"/>
    <hyperlink r:id="rId3313" ref="G1377"/>
    <hyperlink r:id="rId3314" ref="H1377"/>
    <hyperlink r:id="rId3315" ref="F1378"/>
    <hyperlink r:id="rId3316" ref="G1378"/>
    <hyperlink r:id="rId3317" ref="H1378"/>
    <hyperlink r:id="rId3318" ref="F1379"/>
    <hyperlink r:id="rId3319" ref="G1379"/>
    <hyperlink r:id="rId3320" ref="H1379"/>
    <hyperlink r:id="rId3321" ref="F1380"/>
    <hyperlink r:id="rId3322" ref="G1380"/>
    <hyperlink r:id="rId3323" ref="H1380"/>
    <hyperlink r:id="rId3324" ref="F1381"/>
    <hyperlink r:id="rId3325" ref="G1381"/>
    <hyperlink r:id="rId3326" ref="H1381"/>
    <hyperlink r:id="rId3327" ref="G1382"/>
    <hyperlink r:id="rId3328" ref="H1382"/>
    <hyperlink r:id="rId3329" ref="F1383"/>
    <hyperlink r:id="rId3330" ref="G1383"/>
    <hyperlink r:id="rId3331" ref="H1383"/>
    <hyperlink r:id="rId3332" ref="G1384"/>
    <hyperlink r:id="rId3333" ref="H1384"/>
    <hyperlink r:id="rId3334" ref="G1385"/>
    <hyperlink r:id="rId3335" ref="H1385"/>
    <hyperlink r:id="rId3336" ref="G1386"/>
    <hyperlink r:id="rId3337" ref="H1386"/>
    <hyperlink r:id="rId3338" ref="G1387"/>
    <hyperlink r:id="rId3339" ref="H1387"/>
    <hyperlink r:id="rId3340" ref="G1388"/>
    <hyperlink r:id="rId3341" ref="H1388"/>
    <hyperlink r:id="rId3342" ref="G1389"/>
    <hyperlink r:id="rId3343" ref="H1389"/>
    <hyperlink r:id="rId3344" ref="G1390"/>
    <hyperlink r:id="rId3345" ref="H1390"/>
    <hyperlink r:id="rId3346" ref="F1391"/>
    <hyperlink r:id="rId3347" ref="G1391"/>
    <hyperlink r:id="rId3348" ref="H1391"/>
    <hyperlink r:id="rId3349" ref="F1392"/>
    <hyperlink r:id="rId3350" ref="G1392"/>
    <hyperlink r:id="rId3351" ref="H1392"/>
    <hyperlink r:id="rId3352" ref="F1393"/>
    <hyperlink r:id="rId3353" ref="G1393"/>
    <hyperlink r:id="rId3354" ref="H1393"/>
    <hyperlink r:id="rId3355" ref="F1394"/>
    <hyperlink r:id="rId3356" ref="G1394"/>
    <hyperlink r:id="rId3357" ref="H1394"/>
    <hyperlink r:id="rId3358" ref="F1395"/>
    <hyperlink r:id="rId3359" ref="G1395"/>
    <hyperlink r:id="rId3360" ref="H1395"/>
    <hyperlink r:id="rId3361" ref="G1396"/>
    <hyperlink r:id="rId3362" ref="H1396"/>
    <hyperlink r:id="rId3363" ref="G1397"/>
    <hyperlink r:id="rId3364" ref="H1397"/>
    <hyperlink r:id="rId3365" ref="G1398"/>
    <hyperlink r:id="rId3366" ref="H1398"/>
    <hyperlink r:id="rId3367" ref="G1399"/>
    <hyperlink r:id="rId3368" ref="H1399"/>
    <hyperlink r:id="rId3369" ref="F1400"/>
    <hyperlink r:id="rId3370" ref="G1400"/>
    <hyperlink r:id="rId3371" ref="H1400"/>
    <hyperlink r:id="rId3372" ref="F1401"/>
    <hyperlink r:id="rId3373" ref="G1401"/>
    <hyperlink r:id="rId3374" ref="H1401"/>
    <hyperlink r:id="rId3375" ref="G1402"/>
    <hyperlink r:id="rId3376" ref="H1402"/>
    <hyperlink r:id="rId3377" ref="F1403"/>
    <hyperlink r:id="rId3378" ref="G1403"/>
    <hyperlink r:id="rId3379" ref="H1403"/>
    <hyperlink r:id="rId3380" ref="G1404"/>
    <hyperlink r:id="rId3381" ref="H1404"/>
    <hyperlink r:id="rId3382" ref="G1405"/>
    <hyperlink r:id="rId3383" ref="H1405"/>
    <hyperlink r:id="rId3384" ref="F1406"/>
    <hyperlink r:id="rId3385" ref="G1406"/>
    <hyperlink r:id="rId3386" ref="H1406"/>
    <hyperlink r:id="rId3387" ref="F1407"/>
    <hyperlink r:id="rId3388" ref="G1407"/>
    <hyperlink r:id="rId3389" ref="H1407"/>
    <hyperlink r:id="rId3390" ref="G1408"/>
    <hyperlink r:id="rId3391" ref="H1408"/>
    <hyperlink r:id="rId3392" ref="G1409"/>
    <hyperlink r:id="rId3393" ref="H1409"/>
    <hyperlink r:id="rId3394" ref="G1410"/>
    <hyperlink r:id="rId3395" ref="H1410"/>
    <hyperlink r:id="rId3396" ref="G1411"/>
    <hyperlink r:id="rId3397" ref="H1411"/>
    <hyperlink r:id="rId3398" ref="G1412"/>
    <hyperlink r:id="rId3399" ref="H1412"/>
    <hyperlink r:id="rId3400" ref="G1413"/>
    <hyperlink r:id="rId3401" ref="H1413"/>
    <hyperlink r:id="rId3402" ref="F1414"/>
    <hyperlink r:id="rId3403" ref="G1414"/>
    <hyperlink r:id="rId3404" ref="H1414"/>
    <hyperlink r:id="rId3405" ref="F1415"/>
    <hyperlink r:id="rId3406" ref="G1415"/>
    <hyperlink r:id="rId3407" ref="H1415"/>
    <hyperlink r:id="rId3408" ref="F1416"/>
    <hyperlink r:id="rId3409" ref="G1416"/>
    <hyperlink r:id="rId3410" ref="H1416"/>
    <hyperlink r:id="rId3411" ref="F1417"/>
    <hyperlink r:id="rId3412" ref="G1417"/>
    <hyperlink r:id="rId3413" ref="H1417"/>
    <hyperlink r:id="rId3414" ref="F1418"/>
    <hyperlink r:id="rId3415" ref="G1418"/>
    <hyperlink r:id="rId3416" ref="H1418"/>
    <hyperlink r:id="rId3417" ref="G1419"/>
    <hyperlink r:id="rId3418" ref="H1419"/>
    <hyperlink r:id="rId3419" ref="F1420"/>
    <hyperlink r:id="rId3420" ref="G1420"/>
    <hyperlink r:id="rId3421" ref="H1420"/>
    <hyperlink r:id="rId3422" ref="F1421"/>
    <hyperlink r:id="rId3423" ref="G1421"/>
    <hyperlink r:id="rId3424" ref="H1421"/>
    <hyperlink r:id="rId3425" ref="G1422"/>
    <hyperlink r:id="rId3426" ref="H1422"/>
    <hyperlink r:id="rId3427" ref="G1423"/>
    <hyperlink r:id="rId3428" ref="H1423"/>
    <hyperlink r:id="rId3429" ref="G1424"/>
    <hyperlink r:id="rId3430" ref="H1424"/>
    <hyperlink r:id="rId3431" ref="G1425"/>
    <hyperlink r:id="rId3432" ref="H1425"/>
    <hyperlink r:id="rId3433" ref="G1426"/>
    <hyperlink r:id="rId3434" ref="H1426"/>
    <hyperlink r:id="rId3435" ref="G1427"/>
    <hyperlink r:id="rId3436" ref="H1427"/>
    <hyperlink r:id="rId3437" ref="G1428"/>
    <hyperlink r:id="rId3438" ref="H1428"/>
    <hyperlink r:id="rId3439" ref="G1429"/>
    <hyperlink r:id="rId3440" ref="H1429"/>
    <hyperlink r:id="rId3441" ref="G1430"/>
    <hyperlink r:id="rId3442" ref="H1430"/>
    <hyperlink r:id="rId3443" ref="G1431"/>
    <hyperlink r:id="rId3444" ref="H1431"/>
    <hyperlink r:id="rId3445" ref="G1432"/>
    <hyperlink r:id="rId3446" ref="H1432"/>
    <hyperlink r:id="rId3447" ref="G1433"/>
    <hyperlink r:id="rId3448" ref="H1433"/>
    <hyperlink r:id="rId3449" ref="G1434"/>
    <hyperlink r:id="rId3450" ref="H1434"/>
    <hyperlink r:id="rId3451" ref="G1435"/>
    <hyperlink r:id="rId3452" ref="H1435"/>
    <hyperlink r:id="rId3453" ref="G1436"/>
    <hyperlink r:id="rId3454" ref="H1436"/>
    <hyperlink r:id="rId3455" ref="G1437"/>
    <hyperlink r:id="rId3456" ref="H1437"/>
    <hyperlink r:id="rId3457" ref="G1438"/>
    <hyperlink r:id="rId3458" ref="H1438"/>
    <hyperlink r:id="rId3459" ref="G1439"/>
    <hyperlink r:id="rId3460" ref="H1439"/>
    <hyperlink r:id="rId3461" ref="G1440"/>
    <hyperlink r:id="rId3462" ref="H1440"/>
    <hyperlink r:id="rId3463" ref="G1441"/>
    <hyperlink r:id="rId3464" ref="H1441"/>
    <hyperlink r:id="rId3465" ref="G1442"/>
    <hyperlink r:id="rId3466" ref="H1442"/>
    <hyperlink r:id="rId3467" ref="G1443"/>
    <hyperlink r:id="rId3468" ref="H1443"/>
    <hyperlink r:id="rId3469" ref="G1444"/>
    <hyperlink r:id="rId3470" ref="H1444"/>
    <hyperlink r:id="rId3471" ref="G1445"/>
    <hyperlink r:id="rId3472" ref="H1445"/>
    <hyperlink r:id="rId3473" ref="G1446"/>
    <hyperlink r:id="rId3474" ref="H1446"/>
    <hyperlink r:id="rId3475" ref="G1447"/>
    <hyperlink r:id="rId3476" ref="H1447"/>
    <hyperlink r:id="rId3477" ref="G1448"/>
    <hyperlink r:id="rId3478" ref="H1448"/>
    <hyperlink r:id="rId3479" ref="F1449"/>
    <hyperlink r:id="rId3480" ref="G1449"/>
    <hyperlink r:id="rId3481" ref="H1449"/>
    <hyperlink r:id="rId3482" ref="G1450"/>
    <hyperlink r:id="rId3483" ref="H1450"/>
    <hyperlink r:id="rId3484" ref="G1451"/>
    <hyperlink r:id="rId3485" ref="H1451"/>
    <hyperlink r:id="rId3486" ref="G1452"/>
    <hyperlink r:id="rId3487" ref="H1452"/>
    <hyperlink r:id="rId3488" ref="G1453"/>
    <hyperlink r:id="rId3489" ref="H1453"/>
    <hyperlink r:id="rId3490" ref="G1454"/>
    <hyperlink r:id="rId3491" ref="H1454"/>
    <hyperlink r:id="rId3492" ref="G1455"/>
    <hyperlink r:id="rId3493" ref="H1455"/>
    <hyperlink r:id="rId3494" ref="F1456"/>
    <hyperlink r:id="rId3495" ref="G1456"/>
    <hyperlink r:id="rId3496" ref="H1456"/>
    <hyperlink r:id="rId3497" ref="G1457"/>
    <hyperlink r:id="rId3498" ref="H1457"/>
    <hyperlink r:id="rId3499" ref="G1458"/>
    <hyperlink r:id="rId3500" ref="H1458"/>
    <hyperlink r:id="rId3501" ref="G1459"/>
    <hyperlink r:id="rId3502" ref="H1459"/>
    <hyperlink r:id="rId3503" ref="F1460"/>
    <hyperlink r:id="rId3504" ref="G1460"/>
    <hyperlink r:id="rId3505" ref="H1460"/>
    <hyperlink r:id="rId3506" ref="F1461"/>
    <hyperlink r:id="rId3507" ref="G1461"/>
    <hyperlink r:id="rId3508" ref="H1461"/>
    <hyperlink r:id="rId3509" ref="F1462"/>
    <hyperlink r:id="rId3510" ref="G1462"/>
    <hyperlink r:id="rId3511" ref="H1462"/>
    <hyperlink r:id="rId3512" ref="G1463"/>
    <hyperlink r:id="rId3513" ref="H1463"/>
    <hyperlink r:id="rId3514" ref="F1464"/>
    <hyperlink r:id="rId3515" ref="G1464"/>
    <hyperlink r:id="rId3516" ref="H1464"/>
    <hyperlink r:id="rId3517" ref="F1465"/>
    <hyperlink r:id="rId3518" ref="G1465"/>
    <hyperlink r:id="rId3519" ref="H1465"/>
    <hyperlink r:id="rId3520" ref="F1466"/>
    <hyperlink r:id="rId3521" ref="G1466"/>
    <hyperlink r:id="rId3522" ref="H1466"/>
    <hyperlink r:id="rId3523" ref="G1467"/>
    <hyperlink r:id="rId3524" ref="H1467"/>
    <hyperlink r:id="rId3525" ref="G1468"/>
    <hyperlink r:id="rId3526" ref="H1468"/>
    <hyperlink r:id="rId3527" ref="F1469"/>
    <hyperlink r:id="rId3528" ref="G1469"/>
    <hyperlink r:id="rId3529" ref="H1469"/>
    <hyperlink r:id="rId3530" ref="G1470"/>
    <hyperlink r:id="rId3531" ref="H1470"/>
    <hyperlink r:id="rId3532" ref="G1471"/>
    <hyperlink r:id="rId3533" ref="H1471"/>
    <hyperlink r:id="rId3534" ref="G1472"/>
    <hyperlink r:id="rId3535" ref="H1472"/>
    <hyperlink r:id="rId3536" ref="G1473"/>
    <hyperlink r:id="rId3537" ref="H1473"/>
    <hyperlink r:id="rId3538" ref="G1474"/>
    <hyperlink r:id="rId3539" ref="H1474"/>
    <hyperlink r:id="rId3540" ref="G1475"/>
    <hyperlink r:id="rId3541" ref="H1475"/>
    <hyperlink r:id="rId3542" ref="G1476"/>
    <hyperlink r:id="rId3543" ref="H1476"/>
    <hyperlink r:id="rId3544" ref="F1477"/>
    <hyperlink r:id="rId3545" ref="G1477"/>
    <hyperlink r:id="rId3546" ref="H1477"/>
    <hyperlink r:id="rId3547" ref="F1478"/>
    <hyperlink r:id="rId3548" ref="G1478"/>
    <hyperlink r:id="rId3549" ref="H1478"/>
    <hyperlink r:id="rId3550" ref="G1479"/>
    <hyperlink r:id="rId3551" ref="H1479"/>
    <hyperlink r:id="rId3552" ref="F1480"/>
    <hyperlink r:id="rId3553" ref="G1480"/>
    <hyperlink r:id="rId3554" ref="H1480"/>
    <hyperlink r:id="rId3555" ref="G1481"/>
    <hyperlink r:id="rId3556" ref="H1481"/>
    <hyperlink r:id="rId3557" ref="F1482"/>
    <hyperlink r:id="rId3558" ref="G1482"/>
    <hyperlink r:id="rId3559" ref="H1482"/>
    <hyperlink r:id="rId3560" ref="F1483"/>
    <hyperlink r:id="rId3561" ref="G1483"/>
    <hyperlink r:id="rId3562" ref="H1483"/>
    <hyperlink r:id="rId3563" ref="F1484"/>
    <hyperlink r:id="rId3564" ref="G1484"/>
    <hyperlink r:id="rId3565" ref="H1484"/>
    <hyperlink r:id="rId3566" ref="G1485"/>
    <hyperlink r:id="rId3567" ref="H1485"/>
    <hyperlink r:id="rId3568" ref="G1486"/>
    <hyperlink r:id="rId3569" ref="H1486"/>
    <hyperlink r:id="rId3570" ref="F1487"/>
    <hyperlink r:id="rId3571" ref="G1487"/>
    <hyperlink r:id="rId3572" ref="H1487"/>
    <hyperlink r:id="rId3573" ref="G1488"/>
    <hyperlink r:id="rId3574" ref="H1488"/>
    <hyperlink r:id="rId3575" ref="G1489"/>
    <hyperlink r:id="rId3576" ref="H1489"/>
    <hyperlink r:id="rId3577" ref="F1490"/>
    <hyperlink r:id="rId3578" ref="G1490"/>
    <hyperlink r:id="rId3579" ref="H1490"/>
    <hyperlink r:id="rId3580" ref="F1491"/>
    <hyperlink r:id="rId3581" ref="G1491"/>
    <hyperlink r:id="rId3582" ref="H1491"/>
    <hyperlink r:id="rId3583" ref="F1492"/>
    <hyperlink r:id="rId3584" ref="G1492"/>
    <hyperlink r:id="rId3585" ref="H1492"/>
    <hyperlink r:id="rId3586" ref="F1493"/>
    <hyperlink r:id="rId3587" ref="G1493"/>
    <hyperlink r:id="rId3588" ref="H1493"/>
    <hyperlink r:id="rId3589" ref="F1494"/>
    <hyperlink r:id="rId3590" ref="G1494"/>
    <hyperlink r:id="rId3591" ref="H1494"/>
    <hyperlink r:id="rId3592" ref="F1495"/>
    <hyperlink r:id="rId3593" ref="G1495"/>
    <hyperlink r:id="rId3594" ref="H1495"/>
    <hyperlink r:id="rId3595" ref="F1496"/>
    <hyperlink r:id="rId3596" ref="G1496"/>
    <hyperlink r:id="rId3597" ref="H1496"/>
    <hyperlink r:id="rId3598" ref="G1497"/>
    <hyperlink r:id="rId3599" ref="H1497"/>
    <hyperlink r:id="rId3600" ref="G1498"/>
    <hyperlink r:id="rId3601" ref="H1498"/>
    <hyperlink r:id="rId3602" ref="F1499"/>
    <hyperlink r:id="rId3603" ref="G1499"/>
    <hyperlink r:id="rId3604" ref="H1499"/>
    <hyperlink r:id="rId3605" ref="F1500"/>
    <hyperlink r:id="rId3606" ref="G1500"/>
    <hyperlink r:id="rId3607" ref="H1500"/>
    <hyperlink r:id="rId3608" ref="G1501"/>
    <hyperlink r:id="rId3609" ref="H1501"/>
    <hyperlink r:id="rId3610" ref="G1502"/>
    <hyperlink r:id="rId3611" ref="H1502"/>
    <hyperlink r:id="rId3612" ref="F1503"/>
    <hyperlink r:id="rId3613" ref="G1503"/>
    <hyperlink r:id="rId3614" ref="H1503"/>
    <hyperlink r:id="rId3615" ref="F1504"/>
    <hyperlink r:id="rId3616" ref="G1504"/>
    <hyperlink r:id="rId3617" ref="H1504"/>
    <hyperlink r:id="rId3618" ref="F1505"/>
    <hyperlink r:id="rId3619" ref="G1505"/>
    <hyperlink r:id="rId3620" ref="H1505"/>
    <hyperlink r:id="rId3621" ref="F1506"/>
    <hyperlink r:id="rId3622" ref="G1506"/>
    <hyperlink r:id="rId3623" ref="H1506"/>
    <hyperlink r:id="rId3624" ref="G1507"/>
    <hyperlink r:id="rId3625" ref="H1507"/>
    <hyperlink r:id="rId3626" ref="G1508"/>
    <hyperlink r:id="rId3627" ref="H1508"/>
    <hyperlink r:id="rId3628" ref="G1509"/>
    <hyperlink r:id="rId3629" ref="H1509"/>
    <hyperlink r:id="rId3630" ref="F1510"/>
    <hyperlink r:id="rId3631" ref="G1510"/>
    <hyperlink r:id="rId3632" ref="H1510"/>
    <hyperlink r:id="rId3633" ref="G1511"/>
    <hyperlink r:id="rId3634" ref="H1511"/>
    <hyperlink r:id="rId3635" ref="G1512"/>
    <hyperlink r:id="rId3636" ref="H1512"/>
    <hyperlink r:id="rId3637" ref="F1513"/>
    <hyperlink r:id="rId3638" ref="G1513"/>
    <hyperlink r:id="rId3639" ref="H1513"/>
    <hyperlink r:id="rId3640" ref="F1514"/>
    <hyperlink r:id="rId3641" ref="G1514"/>
    <hyperlink r:id="rId3642" ref="H1514"/>
    <hyperlink r:id="rId3643" ref="G1515"/>
    <hyperlink r:id="rId3644" ref="H1515"/>
    <hyperlink r:id="rId3645" ref="G1516"/>
    <hyperlink r:id="rId3646" ref="H1516"/>
    <hyperlink r:id="rId3647" ref="G1517"/>
    <hyperlink r:id="rId3648" ref="H1517"/>
    <hyperlink r:id="rId3649" ref="F1518"/>
    <hyperlink r:id="rId3650" ref="G1518"/>
    <hyperlink r:id="rId3651" ref="H1518"/>
    <hyperlink r:id="rId3652" ref="F1519"/>
    <hyperlink r:id="rId3653" ref="G1519"/>
    <hyperlink r:id="rId3654" ref="H1519"/>
    <hyperlink r:id="rId3655" ref="F1520"/>
    <hyperlink r:id="rId3656" ref="G1520"/>
    <hyperlink r:id="rId3657" ref="H1520"/>
    <hyperlink r:id="rId3658" ref="F1521"/>
    <hyperlink r:id="rId3659" ref="G1521"/>
    <hyperlink r:id="rId3660" ref="H1521"/>
    <hyperlink r:id="rId3661" ref="F1522"/>
    <hyperlink r:id="rId3662" ref="G1522"/>
    <hyperlink r:id="rId3663" ref="H1522"/>
    <hyperlink r:id="rId3664" ref="F1523"/>
    <hyperlink r:id="rId3665" ref="G1523"/>
    <hyperlink r:id="rId3666" ref="H1523"/>
    <hyperlink r:id="rId3667" ref="F1524"/>
    <hyperlink r:id="rId3668" ref="G1524"/>
    <hyperlink r:id="rId3669" ref="H1524"/>
    <hyperlink r:id="rId3670" ref="G1525"/>
    <hyperlink r:id="rId3671" ref="H1525"/>
    <hyperlink r:id="rId3672" ref="G1526"/>
    <hyperlink r:id="rId3673" ref="H1526"/>
    <hyperlink r:id="rId3674" ref="G1527"/>
    <hyperlink r:id="rId3675" ref="H1527"/>
    <hyperlink r:id="rId3676" ref="G1528"/>
    <hyperlink r:id="rId3677" ref="H1528"/>
    <hyperlink r:id="rId3678" ref="G1529"/>
    <hyperlink r:id="rId3679" ref="H1529"/>
    <hyperlink r:id="rId3680" ref="G1530"/>
    <hyperlink r:id="rId3681" ref="H1530"/>
    <hyperlink r:id="rId3682" ref="F1531"/>
    <hyperlink r:id="rId3683" ref="G1531"/>
    <hyperlink r:id="rId3684" ref="H1531"/>
    <hyperlink r:id="rId3685" ref="G1532"/>
    <hyperlink r:id="rId3686" ref="H1532"/>
    <hyperlink r:id="rId3687" ref="G1533"/>
    <hyperlink r:id="rId3688" ref="H1533"/>
    <hyperlink r:id="rId3689" ref="F1534"/>
    <hyperlink r:id="rId3690" ref="G1534"/>
    <hyperlink r:id="rId3691" ref="H1534"/>
    <hyperlink r:id="rId3692" ref="F1535"/>
    <hyperlink r:id="rId3693" ref="G1535"/>
    <hyperlink r:id="rId3694" ref="H1535"/>
    <hyperlink r:id="rId3695" ref="F1536"/>
    <hyperlink r:id="rId3696" ref="G1536"/>
    <hyperlink r:id="rId3697" ref="H1536"/>
    <hyperlink r:id="rId3698" ref="F1537"/>
    <hyperlink r:id="rId3699" ref="G1537"/>
    <hyperlink r:id="rId3700" ref="H1537"/>
    <hyperlink r:id="rId3701" ref="F1538"/>
    <hyperlink r:id="rId3702" ref="G1538"/>
    <hyperlink r:id="rId3703" ref="H1538"/>
    <hyperlink r:id="rId3704" ref="G1539"/>
    <hyperlink r:id="rId3705" ref="H1539"/>
    <hyperlink r:id="rId3706" ref="F1540"/>
    <hyperlink r:id="rId3707" ref="G1540"/>
    <hyperlink r:id="rId3708" ref="H1540"/>
    <hyperlink r:id="rId3709" ref="F1541"/>
    <hyperlink r:id="rId3710" ref="G1541"/>
    <hyperlink r:id="rId3711" ref="H1541"/>
    <hyperlink r:id="rId3712" ref="F1542"/>
    <hyperlink r:id="rId3713" ref="G1542"/>
    <hyperlink r:id="rId3714" ref="H1542"/>
    <hyperlink r:id="rId3715" ref="F1543"/>
    <hyperlink r:id="rId3716" ref="G1543"/>
    <hyperlink r:id="rId3717" ref="H1543"/>
    <hyperlink r:id="rId3718" ref="F1544"/>
    <hyperlink r:id="rId3719" ref="G1544"/>
    <hyperlink r:id="rId3720" ref="H1544"/>
    <hyperlink r:id="rId3721" ref="F1545"/>
    <hyperlink r:id="rId3722" ref="G1545"/>
    <hyperlink r:id="rId3723" ref="H1545"/>
    <hyperlink r:id="rId3724" ref="F1546"/>
    <hyperlink r:id="rId3725" ref="G1546"/>
    <hyperlink r:id="rId3726" ref="H1546"/>
    <hyperlink r:id="rId3727" ref="F1547"/>
    <hyperlink r:id="rId3728" ref="G1547"/>
    <hyperlink r:id="rId3729" ref="H1547"/>
    <hyperlink r:id="rId3730" ref="F1548"/>
    <hyperlink r:id="rId3731" ref="G1548"/>
    <hyperlink r:id="rId3732" ref="H1548"/>
    <hyperlink r:id="rId3733" ref="G1549"/>
    <hyperlink r:id="rId3734" ref="H1549"/>
    <hyperlink r:id="rId3735" ref="G1550"/>
    <hyperlink r:id="rId3736" ref="H1550"/>
    <hyperlink r:id="rId3737" ref="G1551"/>
    <hyperlink r:id="rId3738" ref="H1551"/>
    <hyperlink r:id="rId3739" ref="F1552"/>
    <hyperlink r:id="rId3740" ref="G1552"/>
    <hyperlink r:id="rId3741" ref="H1552"/>
    <hyperlink r:id="rId3742" ref="F1553"/>
    <hyperlink r:id="rId3743" ref="G1553"/>
    <hyperlink r:id="rId3744" ref="H1553"/>
    <hyperlink r:id="rId3745" ref="F1554"/>
    <hyperlink r:id="rId3746" ref="G1554"/>
    <hyperlink r:id="rId3747" ref="H1554"/>
    <hyperlink r:id="rId3748" ref="F1555"/>
    <hyperlink r:id="rId3749" ref="G1555"/>
    <hyperlink r:id="rId3750" ref="H1555"/>
    <hyperlink r:id="rId3751" ref="F1556"/>
    <hyperlink r:id="rId3752" ref="G1556"/>
    <hyperlink r:id="rId3753" ref="H1556"/>
    <hyperlink r:id="rId3754" ref="F1557"/>
    <hyperlink r:id="rId3755" ref="G1557"/>
    <hyperlink r:id="rId3756" ref="H1557"/>
    <hyperlink r:id="rId3757" ref="F1558"/>
    <hyperlink r:id="rId3758" ref="G1558"/>
    <hyperlink r:id="rId3759" ref="H1558"/>
    <hyperlink r:id="rId3760" ref="F1559"/>
    <hyperlink r:id="rId3761" ref="G1559"/>
    <hyperlink r:id="rId3762" ref="H1559"/>
    <hyperlink r:id="rId3763" ref="G1560"/>
    <hyperlink r:id="rId3764" ref="H1560"/>
    <hyperlink r:id="rId3765" ref="G1561"/>
    <hyperlink r:id="rId3766" ref="H1561"/>
    <hyperlink r:id="rId3767" ref="G1562"/>
    <hyperlink r:id="rId3768" ref="H1562"/>
    <hyperlink r:id="rId3769" ref="G1563"/>
    <hyperlink r:id="rId3770" ref="H1563"/>
    <hyperlink r:id="rId3771" ref="F1564"/>
    <hyperlink r:id="rId3772" ref="G1564"/>
    <hyperlink r:id="rId3773" ref="H1564"/>
    <hyperlink r:id="rId3774" ref="G1565"/>
    <hyperlink r:id="rId3775" ref="H1565"/>
    <hyperlink r:id="rId3776" ref="G1566"/>
    <hyperlink r:id="rId3777" ref="H1566"/>
    <hyperlink r:id="rId3778" ref="G1567"/>
    <hyperlink r:id="rId3779" ref="H1567"/>
    <hyperlink r:id="rId3780" ref="G1568"/>
    <hyperlink r:id="rId3781" ref="H1568"/>
    <hyperlink r:id="rId3782" ref="G1569"/>
    <hyperlink r:id="rId3783" ref="H1569"/>
    <hyperlink r:id="rId3784" ref="G1570"/>
    <hyperlink r:id="rId3785" ref="H1570"/>
    <hyperlink r:id="rId3786" ref="G1571"/>
    <hyperlink r:id="rId3787" ref="H1571"/>
    <hyperlink r:id="rId3788" ref="G1572"/>
    <hyperlink r:id="rId3789" ref="H1572"/>
    <hyperlink r:id="rId3790" ref="F1573"/>
    <hyperlink r:id="rId3791" ref="G1573"/>
    <hyperlink r:id="rId3792" ref="H1573"/>
    <hyperlink r:id="rId3793" ref="F1574"/>
    <hyperlink r:id="rId3794" ref="G1574"/>
    <hyperlink r:id="rId3795" ref="H1574"/>
    <hyperlink r:id="rId3796" ref="F1575"/>
    <hyperlink r:id="rId3797" ref="G1575"/>
    <hyperlink r:id="rId3798" ref="H1575"/>
    <hyperlink r:id="rId3799" ref="G1576"/>
    <hyperlink r:id="rId3800" ref="H1576"/>
    <hyperlink r:id="rId3801" ref="G1577"/>
    <hyperlink r:id="rId3802" ref="H1577"/>
    <hyperlink r:id="rId3803" ref="G1578"/>
    <hyperlink r:id="rId3804" ref="H1578"/>
    <hyperlink r:id="rId3805" ref="F1579"/>
    <hyperlink r:id="rId3806" ref="G1579"/>
    <hyperlink r:id="rId3807" ref="H1579"/>
    <hyperlink r:id="rId3808" ref="G1580"/>
    <hyperlink r:id="rId3809" ref="H1580"/>
    <hyperlink r:id="rId3810" ref="F1581"/>
    <hyperlink r:id="rId3811" ref="G1581"/>
    <hyperlink r:id="rId3812" ref="H1581"/>
    <hyperlink r:id="rId3813" ref="G1582"/>
    <hyperlink r:id="rId3814" ref="H1582"/>
    <hyperlink r:id="rId3815" ref="G1583"/>
    <hyperlink r:id="rId3816" ref="H1583"/>
    <hyperlink r:id="rId3817" ref="G1584"/>
    <hyperlink r:id="rId3818" ref="H1584"/>
    <hyperlink r:id="rId3819" ref="F1585"/>
    <hyperlink r:id="rId3820" ref="G1585"/>
    <hyperlink r:id="rId3821" ref="H1585"/>
    <hyperlink r:id="rId3822" ref="G1586"/>
    <hyperlink r:id="rId3823" ref="H1586"/>
    <hyperlink r:id="rId3824" ref="G1587"/>
    <hyperlink r:id="rId3825" ref="H1587"/>
    <hyperlink r:id="rId3826" ref="G1588"/>
    <hyperlink r:id="rId3827" ref="H1588"/>
    <hyperlink r:id="rId3828" ref="G1589"/>
    <hyperlink r:id="rId3829" ref="H1589"/>
    <hyperlink r:id="rId3830" ref="G1590"/>
    <hyperlink r:id="rId3831" ref="H1590"/>
    <hyperlink r:id="rId3832" ref="G1591"/>
    <hyperlink r:id="rId3833" ref="H1591"/>
    <hyperlink r:id="rId3834" ref="G1592"/>
    <hyperlink r:id="rId3835" ref="H1592"/>
    <hyperlink r:id="rId3836" ref="G1593"/>
    <hyperlink r:id="rId3837" ref="H1593"/>
    <hyperlink r:id="rId3838" ref="F1594"/>
    <hyperlink r:id="rId3839" ref="G1594"/>
    <hyperlink r:id="rId3840" ref="H1594"/>
    <hyperlink r:id="rId3841" ref="G1595"/>
    <hyperlink r:id="rId3842" ref="H1595"/>
    <hyperlink r:id="rId3843" ref="G1596"/>
    <hyperlink r:id="rId3844" ref="H1596"/>
    <hyperlink r:id="rId3845" ref="G1597"/>
    <hyperlink r:id="rId3846" ref="H1597"/>
    <hyperlink r:id="rId3847" ref="G1598"/>
    <hyperlink r:id="rId3848" ref="H1598"/>
    <hyperlink r:id="rId3849" ref="G1599"/>
    <hyperlink r:id="rId3850" ref="H1599"/>
    <hyperlink r:id="rId3851" ref="G1600"/>
    <hyperlink r:id="rId3852" ref="H1600"/>
    <hyperlink r:id="rId3853" ref="G1601"/>
    <hyperlink r:id="rId3854" ref="H1601"/>
    <hyperlink r:id="rId3855" ref="G1602"/>
    <hyperlink r:id="rId3856" ref="H1602"/>
    <hyperlink r:id="rId3857" ref="G1603"/>
    <hyperlink r:id="rId3858" ref="H1603"/>
    <hyperlink r:id="rId3859" ref="G1604"/>
    <hyperlink r:id="rId3860" ref="H1604"/>
    <hyperlink r:id="rId3861" ref="F1605"/>
    <hyperlink r:id="rId3862" ref="G1605"/>
    <hyperlink r:id="rId3863" ref="H1605"/>
    <hyperlink r:id="rId3864" ref="F1606"/>
    <hyperlink r:id="rId3865" ref="G1606"/>
    <hyperlink r:id="rId3866" ref="H1606"/>
    <hyperlink r:id="rId3867" ref="G1607"/>
    <hyperlink r:id="rId3868" ref="H1607"/>
    <hyperlink r:id="rId3869" ref="G1608"/>
    <hyperlink r:id="rId3870" ref="H1608"/>
    <hyperlink r:id="rId3871" ref="G1609"/>
    <hyperlink r:id="rId3872" ref="H1609"/>
    <hyperlink r:id="rId3873" ref="G1610"/>
    <hyperlink r:id="rId3874" ref="H1610"/>
    <hyperlink r:id="rId3875" ref="G1611"/>
    <hyperlink r:id="rId3876" ref="H1611"/>
    <hyperlink r:id="rId3877" ref="G1612"/>
    <hyperlink r:id="rId3878" ref="H1612"/>
    <hyperlink r:id="rId3879" ref="G1613"/>
    <hyperlink r:id="rId3880" ref="H1613"/>
    <hyperlink r:id="rId3881" ref="F1614"/>
    <hyperlink r:id="rId3882" ref="G1614"/>
    <hyperlink r:id="rId3883" ref="H1614"/>
    <hyperlink r:id="rId3884" ref="F1615"/>
    <hyperlink r:id="rId3885" ref="G1615"/>
    <hyperlink r:id="rId3886" ref="H1615"/>
    <hyperlink r:id="rId3887" ref="G1616"/>
    <hyperlink r:id="rId3888" ref="H1616"/>
    <hyperlink r:id="rId3889" ref="G1617"/>
    <hyperlink r:id="rId3890" ref="H1617"/>
    <hyperlink r:id="rId3891" ref="G1618"/>
    <hyperlink r:id="rId3892" ref="H1618"/>
    <hyperlink r:id="rId3893" ref="G1619"/>
    <hyperlink r:id="rId3894" ref="H1619"/>
    <hyperlink r:id="rId3895" ref="G1620"/>
    <hyperlink r:id="rId3896" ref="H1620"/>
    <hyperlink r:id="rId3897" ref="F1621"/>
    <hyperlink r:id="rId3898" ref="G1621"/>
    <hyperlink r:id="rId3899" ref="H1621"/>
    <hyperlink r:id="rId3900" ref="F1622"/>
    <hyperlink r:id="rId3901" ref="G1622"/>
    <hyperlink r:id="rId3902" ref="H1622"/>
    <hyperlink r:id="rId3903" ref="G1623"/>
    <hyperlink r:id="rId3904" ref="H1623"/>
    <hyperlink r:id="rId3905" ref="G1624"/>
    <hyperlink r:id="rId3906" ref="H1624"/>
    <hyperlink r:id="rId3907" ref="F1625"/>
    <hyperlink r:id="rId3908" ref="G1625"/>
    <hyperlink r:id="rId3909" ref="H1625"/>
    <hyperlink r:id="rId3910" ref="G1626"/>
    <hyperlink r:id="rId3911" ref="H1626"/>
    <hyperlink r:id="rId3912" ref="F1627"/>
    <hyperlink r:id="rId3913" ref="G1627"/>
    <hyperlink r:id="rId3914" ref="H1627"/>
    <hyperlink r:id="rId3915" ref="F1628"/>
    <hyperlink r:id="rId3916" ref="G1628"/>
    <hyperlink r:id="rId3917" ref="H1628"/>
    <hyperlink r:id="rId3918" ref="G1629"/>
    <hyperlink r:id="rId3919" ref="H1629"/>
    <hyperlink r:id="rId3920" ref="G1630"/>
    <hyperlink r:id="rId3921" ref="H1630"/>
    <hyperlink r:id="rId3922" ref="G1631"/>
    <hyperlink r:id="rId3923" ref="H1631"/>
    <hyperlink r:id="rId3924" ref="G1632"/>
    <hyperlink r:id="rId3925" ref="H1632"/>
    <hyperlink r:id="rId3926" ref="F1633"/>
    <hyperlink r:id="rId3927" ref="G1633"/>
    <hyperlink r:id="rId3928" ref="H1633"/>
    <hyperlink r:id="rId3929" ref="G1634"/>
    <hyperlink r:id="rId3930" ref="H1634"/>
    <hyperlink r:id="rId3931" ref="G1635"/>
    <hyperlink r:id="rId3932" ref="H1635"/>
    <hyperlink r:id="rId3933" ref="G1636"/>
    <hyperlink r:id="rId3934" ref="H1636"/>
    <hyperlink r:id="rId3935" ref="G1637"/>
    <hyperlink r:id="rId3936" ref="H1637"/>
    <hyperlink r:id="rId3937" ref="G1638"/>
    <hyperlink r:id="rId3938" ref="H1638"/>
    <hyperlink r:id="rId3939" ref="G1639"/>
    <hyperlink r:id="rId3940" ref="H1639"/>
    <hyperlink r:id="rId3941" ref="G1640"/>
    <hyperlink r:id="rId3942" ref="H1640"/>
    <hyperlink r:id="rId3943" ref="G1641"/>
    <hyperlink r:id="rId3944" ref="H1641"/>
    <hyperlink r:id="rId3945" ref="G1642"/>
    <hyperlink r:id="rId3946" ref="H1642"/>
    <hyperlink r:id="rId3947" ref="F1643"/>
    <hyperlink r:id="rId3948" ref="G1643"/>
    <hyperlink r:id="rId3949" ref="H1643"/>
    <hyperlink r:id="rId3950" ref="G1644"/>
    <hyperlink r:id="rId3951" ref="H1644"/>
    <hyperlink r:id="rId3952" ref="F1645"/>
    <hyperlink r:id="rId3953" ref="G1645"/>
    <hyperlink r:id="rId3954" ref="H1645"/>
    <hyperlink r:id="rId3955" ref="G1646"/>
    <hyperlink r:id="rId3956" ref="H1646"/>
    <hyperlink r:id="rId3957" ref="F1647"/>
    <hyperlink r:id="rId3958" ref="G1647"/>
    <hyperlink r:id="rId3959" ref="H1647"/>
    <hyperlink r:id="rId3960" ref="G1648"/>
    <hyperlink r:id="rId3961" ref="H1648"/>
    <hyperlink r:id="rId3962" ref="G1649"/>
    <hyperlink r:id="rId3963" ref="H1649"/>
    <hyperlink r:id="rId3964" ref="G1650"/>
    <hyperlink r:id="rId3965" ref="H1650"/>
    <hyperlink r:id="rId3966" ref="G1651"/>
    <hyperlink r:id="rId3967" ref="H1651"/>
    <hyperlink r:id="rId3968" ref="G1652"/>
    <hyperlink r:id="rId3969" ref="H1652"/>
    <hyperlink r:id="rId3970" ref="G1653"/>
    <hyperlink r:id="rId3971" ref="H1653"/>
    <hyperlink r:id="rId3972" ref="G1654"/>
    <hyperlink r:id="rId3973" ref="H1654"/>
    <hyperlink r:id="rId3974" ref="G1655"/>
    <hyperlink r:id="rId3975" ref="H1655"/>
    <hyperlink r:id="rId3976" ref="G1656"/>
    <hyperlink r:id="rId3977" ref="H1656"/>
    <hyperlink r:id="rId3978" ref="F1657"/>
    <hyperlink r:id="rId3979" ref="G1657"/>
    <hyperlink r:id="rId3980" ref="H1657"/>
    <hyperlink r:id="rId3981" ref="G1658"/>
    <hyperlink r:id="rId3982" ref="H1658"/>
    <hyperlink r:id="rId3983" ref="F1659"/>
    <hyperlink r:id="rId3984" ref="G1659"/>
    <hyperlink r:id="rId3985" ref="H1659"/>
    <hyperlink r:id="rId3986" ref="G1660"/>
    <hyperlink r:id="rId3987" ref="H1660"/>
    <hyperlink r:id="rId3988" ref="G1661"/>
    <hyperlink r:id="rId3989" ref="H1661"/>
    <hyperlink r:id="rId3990" ref="G1662"/>
    <hyperlink r:id="rId3991" ref="H1662"/>
    <hyperlink r:id="rId3992" ref="G1663"/>
    <hyperlink r:id="rId3993" ref="H1663"/>
    <hyperlink r:id="rId3994" ref="G1664"/>
    <hyperlink r:id="rId3995" ref="H1664"/>
    <hyperlink r:id="rId3996" ref="F1665"/>
    <hyperlink r:id="rId3997" ref="G1665"/>
    <hyperlink r:id="rId3998" ref="H1665"/>
    <hyperlink r:id="rId3999" ref="F1666"/>
    <hyperlink r:id="rId4000" ref="G1666"/>
    <hyperlink r:id="rId4001" ref="H1666"/>
    <hyperlink r:id="rId4002" ref="F1667"/>
    <hyperlink r:id="rId4003" ref="G1667"/>
    <hyperlink r:id="rId4004" ref="H1667"/>
    <hyperlink r:id="rId4005" ref="F1668"/>
    <hyperlink r:id="rId4006" ref="G1668"/>
    <hyperlink r:id="rId4007" ref="H1668"/>
    <hyperlink r:id="rId4008" ref="G1669"/>
    <hyperlink r:id="rId4009" ref="H1669"/>
    <hyperlink r:id="rId4010" ref="G1670"/>
    <hyperlink r:id="rId4011" ref="H1670"/>
    <hyperlink r:id="rId4012" ref="G1671"/>
    <hyperlink r:id="rId4013" ref="H1671"/>
    <hyperlink r:id="rId4014" ref="G1672"/>
    <hyperlink r:id="rId4015" ref="H1672"/>
    <hyperlink r:id="rId4016" ref="G1673"/>
    <hyperlink r:id="rId4017" ref="H1673"/>
    <hyperlink r:id="rId4018" ref="G1674"/>
    <hyperlink r:id="rId4019" ref="H1674"/>
    <hyperlink r:id="rId4020" ref="G1675"/>
    <hyperlink r:id="rId4021" ref="H1675"/>
    <hyperlink r:id="rId4022" ref="G1676"/>
    <hyperlink r:id="rId4023" ref="H1676"/>
    <hyperlink r:id="rId4024" ref="G1677"/>
    <hyperlink r:id="rId4025" ref="H1677"/>
    <hyperlink r:id="rId4026" ref="G1678"/>
    <hyperlink r:id="rId4027" ref="H1678"/>
    <hyperlink r:id="rId4028" ref="G1679"/>
    <hyperlink r:id="rId4029" ref="H1679"/>
    <hyperlink r:id="rId4030" ref="G1680"/>
    <hyperlink r:id="rId4031" ref="H1680"/>
    <hyperlink r:id="rId4032" ref="G1681"/>
    <hyperlink r:id="rId4033" ref="H1681"/>
    <hyperlink r:id="rId4034" ref="G1682"/>
    <hyperlink r:id="rId4035" ref="H1682"/>
    <hyperlink r:id="rId4036" ref="G1683"/>
    <hyperlink r:id="rId4037" ref="H1683"/>
    <hyperlink r:id="rId4038" ref="G1684"/>
    <hyperlink r:id="rId4039" ref="H1684"/>
    <hyperlink r:id="rId4040" ref="G1685"/>
    <hyperlink r:id="rId4041" ref="H1685"/>
    <hyperlink r:id="rId4042" ref="G1686"/>
    <hyperlink r:id="rId4043" ref="H1686"/>
    <hyperlink r:id="rId4044" ref="G1687"/>
    <hyperlink r:id="rId4045" ref="H1687"/>
    <hyperlink r:id="rId4046" ref="G1688"/>
    <hyperlink r:id="rId4047" ref="H1688"/>
    <hyperlink r:id="rId4048" ref="G1689"/>
    <hyperlink r:id="rId4049" ref="H1689"/>
    <hyperlink r:id="rId4050" ref="G1690"/>
    <hyperlink r:id="rId4051" ref="H1690"/>
    <hyperlink r:id="rId4052" ref="G1691"/>
    <hyperlink r:id="rId4053" ref="H1691"/>
    <hyperlink r:id="rId4054" ref="G1692"/>
    <hyperlink r:id="rId4055" ref="H1692"/>
    <hyperlink r:id="rId4056" ref="G1693"/>
    <hyperlink r:id="rId4057" ref="H1693"/>
    <hyperlink r:id="rId4058" ref="G1694"/>
    <hyperlink r:id="rId4059" ref="H1694"/>
    <hyperlink r:id="rId4060" ref="G1695"/>
    <hyperlink r:id="rId4061" ref="H1695"/>
    <hyperlink r:id="rId4062" ref="G1696"/>
    <hyperlink r:id="rId4063" ref="H1696"/>
    <hyperlink r:id="rId4064" ref="G1697"/>
    <hyperlink r:id="rId4065" ref="H1697"/>
    <hyperlink r:id="rId4066" ref="G1698"/>
    <hyperlink r:id="rId4067" ref="H1698"/>
    <hyperlink r:id="rId4068" ref="G1699"/>
    <hyperlink r:id="rId4069" ref="H1699"/>
    <hyperlink r:id="rId4070" ref="G1700"/>
    <hyperlink r:id="rId4071" ref="H1700"/>
    <hyperlink r:id="rId4072" ref="G1701"/>
    <hyperlink r:id="rId4073" ref="H1701"/>
    <hyperlink r:id="rId4074" ref="G1702"/>
    <hyperlink r:id="rId4075" ref="H1702"/>
    <hyperlink r:id="rId4076" ref="G1703"/>
    <hyperlink r:id="rId4077" ref="H1703"/>
    <hyperlink r:id="rId4078" ref="G1704"/>
    <hyperlink r:id="rId4079" ref="H1704"/>
    <hyperlink r:id="rId4080" ref="G1705"/>
    <hyperlink r:id="rId4081" ref="H1705"/>
    <hyperlink r:id="rId4082" ref="G1706"/>
    <hyperlink r:id="rId4083" ref="H1706"/>
    <hyperlink r:id="rId4084" ref="G1707"/>
    <hyperlink r:id="rId4085" ref="H1707"/>
    <hyperlink r:id="rId4086" ref="G1708"/>
    <hyperlink r:id="rId4087" ref="H1708"/>
    <hyperlink r:id="rId4088" ref="G1709"/>
    <hyperlink r:id="rId4089" ref="H1709"/>
    <hyperlink r:id="rId4090" ref="F1710"/>
    <hyperlink r:id="rId4091" ref="G1710"/>
    <hyperlink r:id="rId4092" ref="H1710"/>
    <hyperlink r:id="rId4093" ref="F1711"/>
    <hyperlink r:id="rId4094" ref="G1711"/>
    <hyperlink r:id="rId4095" ref="H1711"/>
    <hyperlink r:id="rId4096" ref="F1712"/>
    <hyperlink r:id="rId4097" ref="G1712"/>
    <hyperlink r:id="rId4098" ref="H1712"/>
    <hyperlink r:id="rId4099" ref="G1713"/>
    <hyperlink r:id="rId4100" ref="H1713"/>
    <hyperlink r:id="rId4101" ref="G1714"/>
    <hyperlink r:id="rId4102" ref="H1714"/>
    <hyperlink r:id="rId4103" ref="G1715"/>
    <hyperlink r:id="rId4104" ref="H1715"/>
    <hyperlink r:id="rId4105" ref="G1716"/>
    <hyperlink r:id="rId4106" ref="H1716"/>
    <hyperlink r:id="rId4107" ref="G1717"/>
    <hyperlink r:id="rId4108" ref="H1717"/>
    <hyperlink r:id="rId4109" ref="G1718"/>
    <hyperlink r:id="rId4110" ref="H1718"/>
    <hyperlink r:id="rId4111" ref="G1719"/>
    <hyperlink r:id="rId4112" ref="H1719"/>
    <hyperlink r:id="rId4113" ref="G1720"/>
    <hyperlink r:id="rId4114" ref="H1720"/>
    <hyperlink r:id="rId4115" ref="G1721"/>
    <hyperlink r:id="rId4116" ref="H1721"/>
    <hyperlink r:id="rId4117" ref="G1722"/>
    <hyperlink r:id="rId4118" ref="H1722"/>
    <hyperlink r:id="rId4119" ref="G1723"/>
    <hyperlink r:id="rId4120" ref="H1723"/>
    <hyperlink r:id="rId4121" ref="G1724"/>
    <hyperlink r:id="rId4122" ref="H1724"/>
    <hyperlink r:id="rId4123" ref="G1725"/>
    <hyperlink r:id="rId4124" ref="H1725"/>
    <hyperlink r:id="rId4125" ref="G1726"/>
    <hyperlink r:id="rId4126" ref="H1726"/>
    <hyperlink r:id="rId4127" ref="F1727"/>
    <hyperlink r:id="rId4128" ref="G1727"/>
    <hyperlink r:id="rId4129" ref="H1727"/>
    <hyperlink r:id="rId4130" ref="G1728"/>
    <hyperlink r:id="rId4131" ref="H1728"/>
    <hyperlink r:id="rId4132" ref="G1729"/>
    <hyperlink r:id="rId4133" ref="H1729"/>
    <hyperlink r:id="rId4134" ref="F1730"/>
    <hyperlink r:id="rId4135" ref="G1730"/>
    <hyperlink r:id="rId4136" ref="H1730"/>
    <hyperlink r:id="rId4137" ref="G1731"/>
    <hyperlink r:id="rId4138" ref="H1731"/>
    <hyperlink r:id="rId4139" ref="F1732"/>
    <hyperlink r:id="rId4140" ref="G1732"/>
    <hyperlink r:id="rId4141" ref="H1732"/>
    <hyperlink r:id="rId4142" ref="F1733"/>
    <hyperlink r:id="rId4143" ref="G1733"/>
    <hyperlink r:id="rId4144" ref="H1733"/>
    <hyperlink r:id="rId4145" ref="F1734"/>
    <hyperlink r:id="rId4146" ref="G1734"/>
    <hyperlink r:id="rId4147" ref="H1734"/>
    <hyperlink r:id="rId4148" ref="F1735"/>
    <hyperlink r:id="rId4149" ref="G1735"/>
    <hyperlink r:id="rId4150" ref="H1735"/>
    <hyperlink r:id="rId4151" ref="F1736"/>
    <hyperlink r:id="rId4152" ref="G1736"/>
    <hyperlink r:id="rId4153" ref="H1736"/>
    <hyperlink r:id="rId4154" ref="F1737"/>
    <hyperlink r:id="rId4155" ref="G1737"/>
    <hyperlink r:id="rId4156" ref="H1737"/>
    <hyperlink r:id="rId4157" ref="G1738"/>
    <hyperlink r:id="rId4158" ref="H1738"/>
    <hyperlink r:id="rId4159" ref="F1739"/>
    <hyperlink r:id="rId4160" ref="G1739"/>
    <hyperlink r:id="rId4161" ref="H1739"/>
    <hyperlink r:id="rId4162" ref="G1740"/>
    <hyperlink r:id="rId4163" ref="H1740"/>
    <hyperlink r:id="rId4164" ref="G1741"/>
    <hyperlink r:id="rId4165" ref="H1741"/>
    <hyperlink r:id="rId4166" ref="F1742"/>
    <hyperlink r:id="rId4167" ref="G1742"/>
    <hyperlink r:id="rId4168" ref="H1742"/>
    <hyperlink r:id="rId4169" ref="G1743"/>
    <hyperlink r:id="rId4170" ref="H1743"/>
    <hyperlink r:id="rId4171" ref="G1744"/>
    <hyperlink r:id="rId4172" ref="H1744"/>
    <hyperlink r:id="rId4173" ref="G1745"/>
    <hyperlink r:id="rId4174" ref="H1745"/>
    <hyperlink r:id="rId4175" ref="G1746"/>
    <hyperlink r:id="rId4176" ref="H1746"/>
    <hyperlink r:id="rId4177" ref="G1747"/>
    <hyperlink r:id="rId4178" ref="H1747"/>
    <hyperlink r:id="rId4179" ref="G1748"/>
    <hyperlink r:id="rId4180" ref="H1748"/>
    <hyperlink r:id="rId4181" ref="G1749"/>
    <hyperlink r:id="rId4182" ref="H1749"/>
    <hyperlink r:id="rId4183" ref="G1750"/>
    <hyperlink r:id="rId4184" ref="H1750"/>
    <hyperlink r:id="rId4185" ref="G1751"/>
    <hyperlink r:id="rId4186" ref="H1751"/>
    <hyperlink r:id="rId4187" ref="G1752"/>
    <hyperlink r:id="rId4188" ref="H1752"/>
    <hyperlink r:id="rId4189" ref="G1753"/>
    <hyperlink r:id="rId4190" ref="H1753"/>
    <hyperlink r:id="rId4191" ref="G1754"/>
    <hyperlink r:id="rId4192" ref="H1754"/>
    <hyperlink r:id="rId4193" ref="G1755"/>
    <hyperlink r:id="rId4194" ref="H1755"/>
    <hyperlink r:id="rId4195" ref="F1756"/>
    <hyperlink r:id="rId4196" ref="G1756"/>
    <hyperlink r:id="rId4197" ref="H1756"/>
    <hyperlink r:id="rId4198" ref="F1757"/>
    <hyperlink r:id="rId4199" ref="G1757"/>
    <hyperlink r:id="rId4200" ref="H1757"/>
    <hyperlink r:id="rId4201" ref="G1758"/>
    <hyperlink r:id="rId4202" ref="H1758"/>
    <hyperlink r:id="rId4203" ref="F1759"/>
    <hyperlink r:id="rId4204" ref="G1759"/>
    <hyperlink r:id="rId4205" ref="H1759"/>
    <hyperlink r:id="rId4206" ref="F1760"/>
    <hyperlink r:id="rId4207" ref="G1760"/>
    <hyperlink r:id="rId4208" ref="H1760"/>
    <hyperlink r:id="rId4209" ref="G1761"/>
    <hyperlink r:id="rId4210" ref="H1761"/>
    <hyperlink r:id="rId4211" ref="F1762"/>
    <hyperlink r:id="rId4212" ref="G1762"/>
    <hyperlink r:id="rId4213" ref="H1762"/>
    <hyperlink r:id="rId4214" ref="G1763"/>
    <hyperlink r:id="rId4215" ref="H1763"/>
    <hyperlink r:id="rId4216" ref="G1764"/>
    <hyperlink r:id="rId4217" ref="H1764"/>
    <hyperlink r:id="rId4218" ref="G1765"/>
    <hyperlink r:id="rId4219" ref="H1765"/>
    <hyperlink r:id="rId4220" ref="G1766"/>
    <hyperlink r:id="rId4221" ref="H1766"/>
    <hyperlink r:id="rId4222" ref="F1767"/>
    <hyperlink r:id="rId4223" ref="G1767"/>
    <hyperlink r:id="rId4224" ref="H1767"/>
    <hyperlink r:id="rId4225" ref="F1768"/>
    <hyperlink r:id="rId4226" ref="G1768"/>
    <hyperlink r:id="rId4227" ref="H1768"/>
    <hyperlink r:id="rId4228" ref="G1769"/>
    <hyperlink r:id="rId4229" ref="H1769"/>
    <hyperlink r:id="rId4230" ref="G1770"/>
    <hyperlink r:id="rId4231" ref="H1770"/>
    <hyperlink r:id="rId4232" ref="F1771"/>
    <hyperlink r:id="rId4233" ref="G1771"/>
    <hyperlink r:id="rId4234" ref="H1771"/>
    <hyperlink r:id="rId4235" ref="F1772"/>
    <hyperlink r:id="rId4236" ref="G1772"/>
    <hyperlink r:id="rId4237" ref="H1772"/>
    <hyperlink r:id="rId4238" ref="F1773"/>
    <hyperlink r:id="rId4239" ref="G1773"/>
    <hyperlink r:id="rId4240" ref="H1773"/>
    <hyperlink r:id="rId4241" ref="F1774"/>
    <hyperlink r:id="rId4242" ref="G1774"/>
    <hyperlink r:id="rId4243" ref="H1774"/>
    <hyperlink r:id="rId4244" ref="F1775"/>
    <hyperlink r:id="rId4245" ref="G1775"/>
    <hyperlink r:id="rId4246" ref="H1775"/>
    <hyperlink r:id="rId4247" ref="F1776"/>
    <hyperlink r:id="rId4248" ref="G1776"/>
    <hyperlink r:id="rId4249" ref="H1776"/>
    <hyperlink r:id="rId4250" ref="G1777"/>
    <hyperlink r:id="rId4251" ref="H1777"/>
    <hyperlink r:id="rId4252" ref="G1778"/>
    <hyperlink r:id="rId4253" ref="H1778"/>
    <hyperlink r:id="rId4254" ref="G1779"/>
    <hyperlink r:id="rId4255" ref="H1779"/>
    <hyperlink r:id="rId4256" ref="G1780"/>
    <hyperlink r:id="rId4257" ref="H1780"/>
    <hyperlink r:id="rId4258" ref="G1781"/>
    <hyperlink r:id="rId4259" ref="H1781"/>
    <hyperlink r:id="rId4260" ref="G1782"/>
    <hyperlink r:id="rId4261" ref="H1782"/>
    <hyperlink r:id="rId4262" ref="G1783"/>
    <hyperlink r:id="rId4263" ref="H1783"/>
    <hyperlink r:id="rId4264" ref="F1784"/>
    <hyperlink r:id="rId4265" ref="G1784"/>
    <hyperlink r:id="rId4266" ref="H1784"/>
    <hyperlink r:id="rId4267" ref="G1785"/>
    <hyperlink r:id="rId4268" ref="H1785"/>
    <hyperlink r:id="rId4269" ref="F1786"/>
    <hyperlink r:id="rId4270" ref="G1786"/>
    <hyperlink r:id="rId4271" ref="H1786"/>
    <hyperlink r:id="rId4272" ref="G1787"/>
    <hyperlink r:id="rId4273" ref="H1787"/>
    <hyperlink r:id="rId4274" ref="G1788"/>
    <hyperlink r:id="rId4275" ref="H1788"/>
    <hyperlink r:id="rId4276" ref="G1789"/>
    <hyperlink r:id="rId4277" ref="H1789"/>
    <hyperlink r:id="rId4278" ref="G1790"/>
    <hyperlink r:id="rId4279" ref="H1790"/>
    <hyperlink r:id="rId4280" ref="F1791"/>
    <hyperlink r:id="rId4281" ref="G1791"/>
    <hyperlink r:id="rId4282" ref="H1791"/>
    <hyperlink r:id="rId4283" ref="F1792"/>
    <hyperlink r:id="rId4284" ref="G1792"/>
    <hyperlink r:id="rId4285" ref="H1792"/>
    <hyperlink r:id="rId4286" ref="G1793"/>
    <hyperlink r:id="rId4287" ref="H1793"/>
    <hyperlink r:id="rId4288" ref="G1794"/>
    <hyperlink r:id="rId4289" ref="H1794"/>
    <hyperlink r:id="rId4290" ref="F1795"/>
    <hyperlink r:id="rId4291" ref="G1795"/>
    <hyperlink r:id="rId4292" ref="H1795"/>
    <hyperlink r:id="rId4293" ref="F1796"/>
    <hyperlink r:id="rId4294" ref="G1796"/>
    <hyperlink r:id="rId4295" ref="H1796"/>
    <hyperlink r:id="rId4296" ref="G1797"/>
    <hyperlink r:id="rId4297" ref="H1797"/>
    <hyperlink r:id="rId4298" ref="F1798"/>
    <hyperlink r:id="rId4299" ref="G1798"/>
    <hyperlink r:id="rId4300" ref="H1798"/>
    <hyperlink r:id="rId4301" ref="F1799"/>
    <hyperlink r:id="rId4302" ref="G1799"/>
    <hyperlink r:id="rId4303" ref="H1799"/>
    <hyperlink r:id="rId4304" ref="F1800"/>
    <hyperlink r:id="rId4305" ref="G1800"/>
    <hyperlink r:id="rId4306" ref="H1800"/>
    <hyperlink r:id="rId4307" ref="F1801"/>
    <hyperlink r:id="rId4308" ref="G1801"/>
    <hyperlink r:id="rId4309" ref="H1801"/>
    <hyperlink r:id="rId4310" ref="G1802"/>
    <hyperlink r:id="rId4311" ref="H1802"/>
    <hyperlink r:id="rId4312" ref="G1803"/>
    <hyperlink r:id="rId4313" ref="H1803"/>
    <hyperlink r:id="rId4314" ref="G1804"/>
    <hyperlink r:id="rId4315" ref="H1804"/>
    <hyperlink r:id="rId4316" ref="G1805"/>
    <hyperlink r:id="rId4317" ref="H1805"/>
    <hyperlink r:id="rId4318" ref="G1806"/>
    <hyperlink r:id="rId4319" ref="H1806"/>
    <hyperlink r:id="rId4320" ref="G1807"/>
    <hyperlink r:id="rId4321" ref="H1807"/>
    <hyperlink r:id="rId4322" ref="G1808"/>
    <hyperlink r:id="rId4323" ref="H1808"/>
    <hyperlink r:id="rId4324" ref="F1809"/>
    <hyperlink r:id="rId4325" ref="G1809"/>
    <hyperlink r:id="rId4326" ref="H1809"/>
    <hyperlink r:id="rId4327" ref="F1810"/>
    <hyperlink r:id="rId4328" ref="G1810"/>
    <hyperlink r:id="rId4329" ref="H1810"/>
    <hyperlink r:id="rId4330" ref="F1811"/>
    <hyperlink r:id="rId4331" ref="G1811"/>
    <hyperlink r:id="rId4332" ref="H1811"/>
    <hyperlink r:id="rId4333" ref="F1812"/>
    <hyperlink r:id="rId4334" ref="G1812"/>
    <hyperlink r:id="rId4335" ref="H1812"/>
    <hyperlink r:id="rId4336" ref="F1813"/>
    <hyperlink r:id="rId4337" ref="G1813"/>
    <hyperlink r:id="rId4338" ref="H1813"/>
    <hyperlink r:id="rId4339" ref="G1814"/>
    <hyperlink r:id="rId4340" ref="H1814"/>
    <hyperlink r:id="rId4341" ref="G1815"/>
    <hyperlink r:id="rId4342" ref="H1815"/>
    <hyperlink r:id="rId4343" ref="G1816"/>
    <hyperlink r:id="rId4344" ref="H1816"/>
    <hyperlink r:id="rId4345" ref="G1817"/>
    <hyperlink r:id="rId4346" ref="H1817"/>
    <hyperlink r:id="rId4347" ref="G1818"/>
    <hyperlink r:id="rId4348" ref="H1818"/>
    <hyperlink r:id="rId4349" ref="G1819"/>
    <hyperlink r:id="rId4350" ref="H1819"/>
    <hyperlink r:id="rId4351" ref="G1820"/>
    <hyperlink r:id="rId4352" ref="H1820"/>
    <hyperlink r:id="rId4353" ref="G1821"/>
    <hyperlink r:id="rId4354" ref="H1821"/>
    <hyperlink r:id="rId4355" ref="F1822"/>
    <hyperlink r:id="rId4356" ref="G1822"/>
    <hyperlink r:id="rId4357" ref="H1822"/>
    <hyperlink r:id="rId4358" ref="G1823"/>
    <hyperlink r:id="rId4359" ref="H1823"/>
    <hyperlink r:id="rId4360" ref="G1824"/>
    <hyperlink r:id="rId4361" ref="H1824"/>
    <hyperlink r:id="rId4362" ref="G1825"/>
    <hyperlink r:id="rId4363" ref="H1825"/>
    <hyperlink r:id="rId4364" ref="F1826"/>
    <hyperlink r:id="rId4365" ref="G1826"/>
    <hyperlink r:id="rId4366" ref="H1826"/>
    <hyperlink r:id="rId4367" ref="G1827"/>
    <hyperlink r:id="rId4368" ref="H1827"/>
    <hyperlink r:id="rId4369" ref="F1828"/>
    <hyperlink r:id="rId4370" ref="G1828"/>
    <hyperlink r:id="rId4371" ref="H1828"/>
    <hyperlink r:id="rId4372" ref="F1829"/>
    <hyperlink r:id="rId4373" ref="G1829"/>
    <hyperlink r:id="rId4374" ref="H1829"/>
    <hyperlink r:id="rId4375" ref="G1830"/>
    <hyperlink r:id="rId4376" ref="H1830"/>
    <hyperlink r:id="rId4377" ref="G1831"/>
    <hyperlink r:id="rId4378" ref="H1831"/>
    <hyperlink r:id="rId4379" ref="G1832"/>
    <hyperlink r:id="rId4380" ref="H1832"/>
    <hyperlink r:id="rId4381" ref="F1833"/>
    <hyperlink r:id="rId4382" ref="G1833"/>
    <hyperlink r:id="rId4383" ref="H1833"/>
    <hyperlink r:id="rId4384" ref="G1834"/>
    <hyperlink r:id="rId4385" ref="H1834"/>
    <hyperlink r:id="rId4386" ref="G1835"/>
    <hyperlink r:id="rId4387" ref="H1835"/>
    <hyperlink r:id="rId4388" ref="F1836"/>
    <hyperlink r:id="rId4389" ref="G1836"/>
    <hyperlink r:id="rId4390" ref="H1836"/>
    <hyperlink r:id="rId4391" ref="G1837"/>
    <hyperlink r:id="rId4392" ref="H1837"/>
    <hyperlink r:id="rId4393" ref="F1838"/>
    <hyperlink r:id="rId4394" ref="G1838"/>
    <hyperlink r:id="rId4395" ref="H1838"/>
    <hyperlink r:id="rId4396" ref="G1839"/>
    <hyperlink r:id="rId4397" ref="H1839"/>
    <hyperlink r:id="rId4398" ref="G1840"/>
    <hyperlink r:id="rId4399" ref="H1840"/>
    <hyperlink r:id="rId4400" ref="G1841"/>
    <hyperlink r:id="rId4401" ref="H1841"/>
    <hyperlink r:id="rId4402" ref="G1842"/>
    <hyperlink r:id="rId4403" ref="H1842"/>
    <hyperlink r:id="rId4404" ref="G1843"/>
    <hyperlink r:id="rId4405" ref="H1843"/>
    <hyperlink r:id="rId4406" ref="G1844"/>
    <hyperlink r:id="rId4407" ref="H1844"/>
    <hyperlink r:id="rId4408" ref="F1845"/>
    <hyperlink r:id="rId4409" ref="G1845"/>
    <hyperlink r:id="rId4410" ref="H1845"/>
    <hyperlink r:id="rId4411" ref="G1846"/>
    <hyperlink r:id="rId4412" ref="H1846"/>
    <hyperlink r:id="rId4413" ref="G1847"/>
    <hyperlink r:id="rId4414" ref="H1847"/>
    <hyperlink r:id="rId4415" ref="G1848"/>
    <hyperlink r:id="rId4416" ref="H1848"/>
    <hyperlink r:id="rId4417" ref="G1849"/>
    <hyperlink r:id="rId4418" ref="H1849"/>
    <hyperlink r:id="rId4419" ref="G1850"/>
    <hyperlink r:id="rId4420" ref="H1850"/>
    <hyperlink r:id="rId4421" ref="G1851"/>
    <hyperlink r:id="rId4422" ref="H1851"/>
    <hyperlink r:id="rId4423" ref="G1852"/>
    <hyperlink r:id="rId4424" ref="H1852"/>
    <hyperlink r:id="rId4425" ref="F1853"/>
    <hyperlink r:id="rId4426" ref="G1853"/>
    <hyperlink r:id="rId4427" ref="H1853"/>
    <hyperlink r:id="rId4428" ref="F1854"/>
    <hyperlink r:id="rId4429" ref="G1854"/>
    <hyperlink r:id="rId4430" ref="H1854"/>
    <hyperlink r:id="rId4431" ref="F1855"/>
    <hyperlink r:id="rId4432" ref="G1855"/>
    <hyperlink r:id="rId4433" ref="H1855"/>
    <hyperlink r:id="rId4434" ref="F1856"/>
    <hyperlink r:id="rId4435" ref="G1856"/>
    <hyperlink r:id="rId4436" ref="H1856"/>
    <hyperlink r:id="rId4437" ref="G1857"/>
    <hyperlink r:id="rId4438" ref="H1857"/>
    <hyperlink r:id="rId4439" ref="G1858"/>
    <hyperlink r:id="rId4440" ref="H1858"/>
    <hyperlink r:id="rId4441" ref="G1859"/>
    <hyperlink r:id="rId4442" ref="H1859"/>
    <hyperlink r:id="rId4443" ref="F1860"/>
    <hyperlink r:id="rId4444" ref="G1860"/>
    <hyperlink r:id="rId4445" ref="H1860"/>
    <hyperlink r:id="rId4446" ref="G1861"/>
    <hyperlink r:id="rId4447" ref="H1861"/>
    <hyperlink r:id="rId4448" ref="F1862"/>
    <hyperlink r:id="rId4449" ref="G1862"/>
    <hyperlink r:id="rId4450" ref="H1862"/>
    <hyperlink r:id="rId4451" ref="F1863"/>
    <hyperlink r:id="rId4452" ref="G1863"/>
    <hyperlink r:id="rId4453" ref="H1863"/>
    <hyperlink r:id="rId4454" ref="F1864"/>
    <hyperlink r:id="rId4455" ref="G1864"/>
    <hyperlink r:id="rId4456" ref="H1864"/>
    <hyperlink r:id="rId4457" ref="F1865"/>
    <hyperlink r:id="rId4458" ref="G1865"/>
    <hyperlink r:id="rId4459" ref="H1865"/>
    <hyperlink r:id="rId4460" ref="F1866"/>
    <hyperlink r:id="rId4461" ref="G1866"/>
    <hyperlink r:id="rId4462" ref="H1866"/>
    <hyperlink r:id="rId4463" ref="F1867"/>
    <hyperlink r:id="rId4464" ref="G1867"/>
    <hyperlink r:id="rId4465" ref="H1867"/>
    <hyperlink r:id="rId4466" ref="F1868"/>
    <hyperlink r:id="rId4467" ref="G1868"/>
    <hyperlink r:id="rId4468" ref="H1868"/>
    <hyperlink r:id="rId4469" ref="F1869"/>
    <hyperlink r:id="rId4470" ref="G1869"/>
    <hyperlink r:id="rId4471" ref="H1869"/>
    <hyperlink r:id="rId4472" ref="F1870"/>
    <hyperlink r:id="rId4473" ref="G1870"/>
    <hyperlink r:id="rId4474" ref="H1870"/>
    <hyperlink r:id="rId4475" ref="F1871"/>
    <hyperlink r:id="rId4476" ref="G1871"/>
    <hyperlink r:id="rId4477" ref="H1871"/>
    <hyperlink r:id="rId4478" ref="F1872"/>
    <hyperlink r:id="rId4479" ref="G1872"/>
    <hyperlink r:id="rId4480" ref="H1872"/>
    <hyperlink r:id="rId4481" ref="G1873"/>
    <hyperlink r:id="rId4482" ref="H1873"/>
    <hyperlink r:id="rId4483" ref="F1874"/>
    <hyperlink r:id="rId4484" ref="G1874"/>
    <hyperlink r:id="rId4485" ref="H1874"/>
    <hyperlink r:id="rId4486" ref="G1875"/>
    <hyperlink r:id="rId4487" ref="H1875"/>
    <hyperlink r:id="rId4488" ref="G1876"/>
    <hyperlink r:id="rId4489" ref="H1876"/>
    <hyperlink r:id="rId4490" ref="F1877"/>
    <hyperlink r:id="rId4491" ref="G1877"/>
    <hyperlink r:id="rId4492" ref="H1877"/>
    <hyperlink r:id="rId4493" ref="G1878"/>
    <hyperlink r:id="rId4494" ref="H1878"/>
    <hyperlink r:id="rId4495" ref="G1879"/>
    <hyperlink r:id="rId4496" ref="H1879"/>
    <hyperlink r:id="rId4497" ref="F1880"/>
    <hyperlink r:id="rId4498" ref="G1880"/>
    <hyperlink r:id="rId4499" ref="H1880"/>
    <hyperlink r:id="rId4500" ref="G1881"/>
    <hyperlink r:id="rId4501" ref="H1881"/>
    <hyperlink r:id="rId4502" ref="G1882"/>
    <hyperlink r:id="rId4503" ref="H1882"/>
    <hyperlink r:id="rId4504" ref="G1883"/>
    <hyperlink r:id="rId4505" ref="H1883"/>
    <hyperlink r:id="rId4506" ref="G1884"/>
    <hyperlink r:id="rId4507" ref="H1884"/>
    <hyperlink r:id="rId4508" ref="G1885"/>
    <hyperlink r:id="rId4509" ref="H1885"/>
    <hyperlink r:id="rId4510" ref="G1886"/>
    <hyperlink r:id="rId4511" ref="H1886"/>
    <hyperlink r:id="rId4512" ref="G1887"/>
    <hyperlink r:id="rId4513" ref="H1887"/>
    <hyperlink r:id="rId4514" ref="F1888"/>
    <hyperlink r:id="rId4515" ref="G1888"/>
    <hyperlink r:id="rId4516" ref="H1888"/>
    <hyperlink r:id="rId4517" ref="F1889"/>
    <hyperlink r:id="rId4518" ref="G1889"/>
    <hyperlink r:id="rId4519" ref="H1889"/>
    <hyperlink r:id="rId4520" ref="G1890"/>
    <hyperlink r:id="rId4521" ref="H1890"/>
    <hyperlink r:id="rId4522" ref="F1891"/>
    <hyperlink r:id="rId4523" ref="G1891"/>
    <hyperlink r:id="rId4524" ref="H1891"/>
    <hyperlink r:id="rId4525" ref="G1892"/>
    <hyperlink r:id="rId4526" ref="H1892"/>
    <hyperlink r:id="rId4527" ref="G1893"/>
    <hyperlink r:id="rId4528" ref="H1893"/>
    <hyperlink r:id="rId4529" ref="G1894"/>
    <hyperlink r:id="rId4530" ref="H1894"/>
    <hyperlink r:id="rId4531" ref="G1895"/>
    <hyperlink r:id="rId4532" ref="H1895"/>
    <hyperlink r:id="rId4533" ref="F1896"/>
    <hyperlink r:id="rId4534" ref="G1896"/>
    <hyperlink r:id="rId4535" ref="H1896"/>
    <hyperlink r:id="rId4536" ref="G1897"/>
    <hyperlink r:id="rId4537" ref="H1897"/>
    <hyperlink r:id="rId4538" ref="F1898"/>
    <hyperlink r:id="rId4539" ref="G1898"/>
    <hyperlink r:id="rId4540" ref="H1898"/>
    <hyperlink r:id="rId4541" ref="F1899"/>
    <hyperlink r:id="rId4542" ref="G1899"/>
    <hyperlink r:id="rId4543" ref="H1899"/>
    <hyperlink r:id="rId4544" ref="F1900"/>
    <hyperlink r:id="rId4545" ref="G1900"/>
    <hyperlink r:id="rId4546" ref="H1900"/>
    <hyperlink r:id="rId4547" ref="G1901"/>
    <hyperlink r:id="rId4548" ref="H1901"/>
    <hyperlink r:id="rId4549" ref="F1902"/>
    <hyperlink r:id="rId4550" ref="G1902"/>
    <hyperlink r:id="rId4551" ref="H1902"/>
    <hyperlink r:id="rId4552" ref="G1903"/>
    <hyperlink r:id="rId4553" ref="H1903"/>
    <hyperlink r:id="rId4554" ref="G1904"/>
    <hyperlink r:id="rId4555" ref="H1904"/>
    <hyperlink r:id="rId4556" ref="G1905"/>
    <hyperlink r:id="rId4557" ref="H1905"/>
    <hyperlink r:id="rId4558" ref="G1906"/>
    <hyperlink r:id="rId4559" ref="H1906"/>
    <hyperlink r:id="rId4560" ref="G1907"/>
    <hyperlink r:id="rId4561" ref="H1907"/>
    <hyperlink r:id="rId4562" ref="G1908"/>
    <hyperlink r:id="rId4563" ref="H1908"/>
    <hyperlink r:id="rId4564" ref="G1909"/>
    <hyperlink r:id="rId4565" ref="H1909"/>
    <hyperlink r:id="rId4566" ref="G1910"/>
    <hyperlink r:id="rId4567" ref="H1910"/>
    <hyperlink r:id="rId4568" ref="G1911"/>
    <hyperlink r:id="rId4569" ref="H1911"/>
    <hyperlink r:id="rId4570" ref="G1912"/>
    <hyperlink r:id="rId4571" ref="H1912"/>
    <hyperlink r:id="rId4572" ref="F1913"/>
    <hyperlink r:id="rId4573" ref="G1913"/>
    <hyperlink r:id="rId4574" ref="H1913"/>
    <hyperlink r:id="rId4575" ref="F1914"/>
    <hyperlink r:id="rId4576" ref="G1914"/>
    <hyperlink r:id="rId4577" ref="H1914"/>
    <hyperlink r:id="rId4578" ref="F1915"/>
    <hyperlink r:id="rId4579" ref="G1915"/>
    <hyperlink r:id="rId4580" ref="H1915"/>
    <hyperlink r:id="rId4581" ref="F1916"/>
    <hyperlink r:id="rId4582" ref="G1916"/>
    <hyperlink r:id="rId4583" ref="H1916"/>
    <hyperlink r:id="rId4584" ref="G1917"/>
    <hyperlink r:id="rId4585" ref="H1917"/>
    <hyperlink r:id="rId4586" ref="G1918"/>
    <hyperlink r:id="rId4587" ref="H1918"/>
    <hyperlink r:id="rId4588" ref="G1919"/>
    <hyperlink r:id="rId4589" ref="H1919"/>
    <hyperlink r:id="rId4590" ref="G1920"/>
    <hyperlink r:id="rId4591" ref="H1920"/>
    <hyperlink r:id="rId4592" ref="G1921"/>
    <hyperlink r:id="rId4593" ref="H1921"/>
    <hyperlink r:id="rId4594" ref="G1922"/>
    <hyperlink r:id="rId4595" ref="H1922"/>
    <hyperlink r:id="rId4596" ref="F1923"/>
    <hyperlink r:id="rId4597" ref="G1923"/>
    <hyperlink r:id="rId4598" ref="H1923"/>
    <hyperlink r:id="rId4599" ref="G1924"/>
    <hyperlink r:id="rId4600" ref="H1924"/>
    <hyperlink r:id="rId4601" ref="G1925"/>
    <hyperlink r:id="rId4602" ref="H1925"/>
    <hyperlink r:id="rId4603" ref="G1926"/>
    <hyperlink r:id="rId4604" ref="H1926"/>
    <hyperlink r:id="rId4605" ref="F1927"/>
    <hyperlink r:id="rId4606" ref="G1927"/>
    <hyperlink r:id="rId4607" ref="H1927"/>
    <hyperlink r:id="rId4608" ref="G1928"/>
    <hyperlink r:id="rId4609" ref="H1928"/>
    <hyperlink r:id="rId4610" ref="G1929"/>
    <hyperlink r:id="rId4611" ref="H1929"/>
    <hyperlink r:id="rId4612" ref="G1930"/>
    <hyperlink r:id="rId4613" ref="H1930"/>
    <hyperlink r:id="rId4614" ref="G1931"/>
    <hyperlink r:id="rId4615" ref="H1931"/>
    <hyperlink r:id="rId4616" ref="G1932"/>
    <hyperlink r:id="rId4617" ref="H1932"/>
    <hyperlink r:id="rId4618" ref="F1933"/>
    <hyperlink r:id="rId4619" ref="G1933"/>
    <hyperlink r:id="rId4620" ref="H1933"/>
    <hyperlink r:id="rId4621" ref="G1934"/>
    <hyperlink r:id="rId4622" ref="H1934"/>
    <hyperlink r:id="rId4623" ref="G1935"/>
    <hyperlink r:id="rId4624" ref="H1935"/>
    <hyperlink r:id="rId4625" ref="G1936"/>
    <hyperlink r:id="rId4626" ref="H1936"/>
    <hyperlink r:id="rId4627" ref="G1937"/>
    <hyperlink r:id="rId4628" ref="H1937"/>
    <hyperlink r:id="rId4629" ref="G1938"/>
    <hyperlink r:id="rId4630" ref="H1938"/>
    <hyperlink r:id="rId4631" ref="G1939"/>
    <hyperlink r:id="rId4632" ref="H1939"/>
    <hyperlink r:id="rId4633" ref="G1940"/>
    <hyperlink r:id="rId4634" ref="H1940"/>
    <hyperlink r:id="rId4635" ref="F1941"/>
    <hyperlink r:id="rId4636" ref="G1941"/>
    <hyperlink r:id="rId4637" ref="H1941"/>
    <hyperlink r:id="rId4638" ref="F1942"/>
    <hyperlink r:id="rId4639" ref="G1942"/>
    <hyperlink r:id="rId4640" ref="H1942"/>
    <hyperlink r:id="rId4641" ref="F1943"/>
    <hyperlink r:id="rId4642" ref="G1943"/>
    <hyperlink r:id="rId4643" ref="H1943"/>
    <hyperlink r:id="rId4644" ref="G1944"/>
    <hyperlink r:id="rId4645" ref="H1944"/>
    <hyperlink r:id="rId4646" ref="G1945"/>
    <hyperlink r:id="rId4647" ref="H1945"/>
    <hyperlink r:id="rId4648" ref="G1946"/>
    <hyperlink r:id="rId4649" ref="H1946"/>
    <hyperlink r:id="rId4650" ref="F1947"/>
    <hyperlink r:id="rId4651" ref="G1947"/>
    <hyperlink r:id="rId4652" ref="H1947"/>
    <hyperlink r:id="rId4653" ref="G1948"/>
    <hyperlink r:id="rId4654" ref="H1948"/>
    <hyperlink r:id="rId4655" ref="G1949"/>
    <hyperlink r:id="rId4656" ref="H1949"/>
    <hyperlink r:id="rId4657" ref="G1950"/>
    <hyperlink r:id="rId4658" ref="H1950"/>
    <hyperlink r:id="rId4659" ref="G1951"/>
    <hyperlink r:id="rId4660" ref="H1951"/>
    <hyperlink r:id="rId4661" ref="G1952"/>
    <hyperlink r:id="rId4662" ref="H1952"/>
    <hyperlink r:id="rId4663" ref="G1953"/>
    <hyperlink r:id="rId4664" ref="H1953"/>
    <hyperlink r:id="rId4665" ref="G1954"/>
    <hyperlink r:id="rId4666" ref="H1954"/>
    <hyperlink r:id="rId4667" ref="G1955"/>
    <hyperlink r:id="rId4668" ref="H1955"/>
    <hyperlink r:id="rId4669" ref="F1956"/>
    <hyperlink r:id="rId4670" ref="G1956"/>
    <hyperlink r:id="rId4671" ref="H1956"/>
    <hyperlink r:id="rId4672" ref="G1957"/>
    <hyperlink r:id="rId4673" ref="H1957"/>
    <hyperlink r:id="rId4674" ref="G1958"/>
    <hyperlink r:id="rId4675" ref="H1958"/>
    <hyperlink r:id="rId4676" ref="G1959"/>
    <hyperlink r:id="rId4677" ref="H1959"/>
    <hyperlink r:id="rId4678" ref="G1960"/>
    <hyperlink r:id="rId4679" ref="H1960"/>
    <hyperlink r:id="rId4680" ref="F1961"/>
    <hyperlink r:id="rId4681" ref="G1961"/>
    <hyperlink r:id="rId4682" ref="H1961"/>
    <hyperlink r:id="rId4683" ref="F1962"/>
    <hyperlink r:id="rId4684" ref="G1962"/>
    <hyperlink r:id="rId4685" ref="H1962"/>
    <hyperlink r:id="rId4686" ref="G1963"/>
    <hyperlink r:id="rId4687" ref="H1963"/>
    <hyperlink r:id="rId4688" ref="F1964"/>
    <hyperlink r:id="rId4689" ref="G1964"/>
    <hyperlink r:id="rId4690" ref="H1964"/>
    <hyperlink r:id="rId4691" ref="G1965"/>
    <hyperlink r:id="rId4692" ref="H1965"/>
    <hyperlink r:id="rId4693" ref="F1966"/>
    <hyperlink r:id="rId4694" ref="G1966"/>
    <hyperlink r:id="rId4695" ref="H1966"/>
    <hyperlink r:id="rId4696" ref="G1967"/>
    <hyperlink r:id="rId4697" ref="H1967"/>
    <hyperlink r:id="rId4698" ref="G1968"/>
    <hyperlink r:id="rId4699" ref="H1968"/>
    <hyperlink r:id="rId4700" ref="G1969"/>
    <hyperlink r:id="rId4701" ref="H1969"/>
    <hyperlink r:id="rId4702" ref="G1970"/>
    <hyperlink r:id="rId4703" ref="H1970"/>
    <hyperlink r:id="rId4704" ref="G1971"/>
    <hyperlink r:id="rId4705" ref="H1971"/>
    <hyperlink r:id="rId4706" ref="G1972"/>
    <hyperlink r:id="rId4707" ref="H1972"/>
    <hyperlink r:id="rId4708" ref="G1973"/>
    <hyperlink r:id="rId4709" ref="H1973"/>
    <hyperlink r:id="rId4710" ref="G1974"/>
    <hyperlink r:id="rId4711" ref="H1974"/>
    <hyperlink r:id="rId4712" ref="G1975"/>
    <hyperlink r:id="rId4713" ref="H1975"/>
    <hyperlink r:id="rId4714" ref="F1976"/>
    <hyperlink r:id="rId4715" ref="G1976"/>
    <hyperlink r:id="rId4716" ref="H1976"/>
    <hyperlink r:id="rId4717" ref="F1977"/>
    <hyperlink r:id="rId4718" ref="G1977"/>
    <hyperlink r:id="rId4719" ref="H1977"/>
    <hyperlink r:id="rId4720" ref="F1978"/>
    <hyperlink r:id="rId4721" ref="G1978"/>
    <hyperlink r:id="rId4722" ref="H1978"/>
    <hyperlink r:id="rId4723" ref="F1979"/>
    <hyperlink r:id="rId4724" ref="G1979"/>
    <hyperlink r:id="rId4725" ref="H1979"/>
    <hyperlink r:id="rId4726" ref="F1980"/>
    <hyperlink r:id="rId4727" ref="G1980"/>
    <hyperlink r:id="rId4728" ref="H1980"/>
    <hyperlink r:id="rId4729" ref="F1981"/>
    <hyperlink r:id="rId4730" ref="G1981"/>
    <hyperlink r:id="rId4731" ref="H1981"/>
    <hyperlink r:id="rId4732" ref="G1982"/>
    <hyperlink r:id="rId4733" ref="H1982"/>
    <hyperlink r:id="rId4734" ref="G1983"/>
    <hyperlink r:id="rId4735" ref="H1983"/>
    <hyperlink r:id="rId4736" ref="G1984"/>
    <hyperlink r:id="rId4737" ref="H1984"/>
    <hyperlink r:id="rId4738" ref="F1985"/>
    <hyperlink r:id="rId4739" ref="G1985"/>
    <hyperlink r:id="rId4740" ref="H1985"/>
    <hyperlink r:id="rId4741" ref="G1986"/>
    <hyperlink r:id="rId4742" ref="H1986"/>
    <hyperlink r:id="rId4743" ref="G1987"/>
    <hyperlink r:id="rId4744" ref="H1987"/>
    <hyperlink r:id="rId4745" ref="G1988"/>
    <hyperlink r:id="rId4746" ref="H1988"/>
    <hyperlink r:id="rId4747" ref="G1989"/>
    <hyperlink r:id="rId4748" ref="H1989"/>
    <hyperlink r:id="rId4749" ref="G1990"/>
    <hyperlink r:id="rId4750" ref="H1990"/>
    <hyperlink r:id="rId4751" ref="G1991"/>
    <hyperlink r:id="rId4752" ref="H1991"/>
    <hyperlink r:id="rId4753" ref="F1992"/>
    <hyperlink r:id="rId4754" ref="G1992"/>
    <hyperlink r:id="rId4755" ref="H1992"/>
    <hyperlink r:id="rId4756" ref="G1993"/>
    <hyperlink r:id="rId4757" ref="H1993"/>
    <hyperlink r:id="rId4758" ref="G1994"/>
    <hyperlink r:id="rId4759" ref="H1994"/>
    <hyperlink r:id="rId4760" ref="G1995"/>
    <hyperlink r:id="rId4761" ref="H1995"/>
    <hyperlink r:id="rId4762" ref="G1996"/>
    <hyperlink r:id="rId4763" ref="H1996"/>
    <hyperlink r:id="rId4764" ref="G1997"/>
    <hyperlink r:id="rId4765" ref="H1997"/>
    <hyperlink r:id="rId4766" ref="G1998"/>
    <hyperlink r:id="rId4767" ref="H1998"/>
    <hyperlink r:id="rId4768" ref="G1999"/>
    <hyperlink r:id="rId4769" ref="H1999"/>
    <hyperlink r:id="rId4770" ref="G2000"/>
    <hyperlink r:id="rId4771" ref="H2000"/>
    <hyperlink r:id="rId4772" ref="G2001"/>
    <hyperlink r:id="rId4773" ref="H2001"/>
    <hyperlink r:id="rId4774" ref="G2002"/>
    <hyperlink r:id="rId4775" ref="H2002"/>
    <hyperlink r:id="rId4776" ref="G2003"/>
    <hyperlink r:id="rId4777" ref="H2003"/>
    <hyperlink r:id="rId4778" ref="G2004"/>
    <hyperlink r:id="rId4779" ref="H2004"/>
    <hyperlink r:id="rId4780" ref="G2005"/>
    <hyperlink r:id="rId4781" ref="H2005"/>
    <hyperlink r:id="rId4782" ref="F2006"/>
    <hyperlink r:id="rId4783" ref="G2006"/>
    <hyperlink r:id="rId4784" ref="H2006"/>
    <hyperlink r:id="rId4785" ref="G2007"/>
    <hyperlink r:id="rId4786" ref="H2007"/>
    <hyperlink r:id="rId4787" ref="G2008"/>
    <hyperlink r:id="rId4788" ref="H2008"/>
    <hyperlink r:id="rId4789" ref="G2009"/>
    <hyperlink r:id="rId4790" ref="H2009"/>
    <hyperlink r:id="rId4791" ref="G2010"/>
    <hyperlink r:id="rId4792" ref="H2010"/>
    <hyperlink r:id="rId4793" ref="F2011"/>
    <hyperlink r:id="rId4794" ref="G2011"/>
    <hyperlink r:id="rId4795" ref="H2011"/>
    <hyperlink r:id="rId4796" ref="F2012"/>
    <hyperlink r:id="rId4797" ref="G2012"/>
    <hyperlink r:id="rId4798" ref="H2012"/>
    <hyperlink r:id="rId4799" ref="G2013"/>
    <hyperlink r:id="rId4800" ref="H2013"/>
    <hyperlink r:id="rId4801" ref="G2014"/>
    <hyperlink r:id="rId4802" ref="H2014"/>
    <hyperlink r:id="rId4803" ref="G2015"/>
    <hyperlink r:id="rId4804" ref="H2015"/>
    <hyperlink r:id="rId4805" ref="G2016"/>
    <hyperlink r:id="rId4806" ref="H2016"/>
    <hyperlink r:id="rId4807" ref="G2017"/>
    <hyperlink r:id="rId4808" ref="H2017"/>
    <hyperlink r:id="rId4809" ref="G2018"/>
    <hyperlink r:id="rId4810" ref="H2018"/>
    <hyperlink r:id="rId4811" ref="G2019"/>
    <hyperlink r:id="rId4812" ref="H2019"/>
    <hyperlink r:id="rId4813" ref="F2020"/>
    <hyperlink r:id="rId4814" ref="G2020"/>
    <hyperlink r:id="rId4815" ref="H2020"/>
    <hyperlink r:id="rId4816" ref="G2021"/>
    <hyperlink r:id="rId4817" ref="H2021"/>
    <hyperlink r:id="rId4818" ref="G2022"/>
    <hyperlink r:id="rId4819" ref="H2022"/>
    <hyperlink r:id="rId4820" ref="G2023"/>
    <hyperlink r:id="rId4821" ref="H2023"/>
    <hyperlink r:id="rId4822" ref="G2024"/>
    <hyperlink r:id="rId4823" ref="H2024"/>
    <hyperlink r:id="rId4824" ref="F2025"/>
    <hyperlink r:id="rId4825" ref="G2025"/>
    <hyperlink r:id="rId4826" ref="H2025"/>
    <hyperlink r:id="rId4827" ref="G2026"/>
    <hyperlink r:id="rId4828" ref="H2026"/>
    <hyperlink r:id="rId4829" ref="F2027"/>
    <hyperlink r:id="rId4830" ref="G2027"/>
    <hyperlink r:id="rId4831" ref="H2027"/>
    <hyperlink r:id="rId4832" ref="G2028"/>
    <hyperlink r:id="rId4833" ref="H2028"/>
    <hyperlink r:id="rId4834" ref="G2029"/>
    <hyperlink r:id="rId4835" ref="H2029"/>
    <hyperlink r:id="rId4836" ref="G2030"/>
    <hyperlink r:id="rId4837" ref="H2030"/>
    <hyperlink r:id="rId4838" ref="G2031"/>
    <hyperlink r:id="rId4839" ref="H2031"/>
    <hyperlink r:id="rId4840" ref="F2032"/>
    <hyperlink r:id="rId4841" ref="G2032"/>
    <hyperlink r:id="rId4842" ref="H2032"/>
    <hyperlink r:id="rId4843" ref="G2033"/>
    <hyperlink r:id="rId4844" ref="H2033"/>
    <hyperlink r:id="rId4845" ref="F2034"/>
    <hyperlink r:id="rId4846" ref="G2034"/>
    <hyperlink r:id="rId4847" ref="H2034"/>
    <hyperlink r:id="rId4848" ref="F2035"/>
    <hyperlink r:id="rId4849" ref="G2035"/>
    <hyperlink r:id="rId4850" ref="H2035"/>
    <hyperlink r:id="rId4851" ref="G2036"/>
    <hyperlink r:id="rId4852" ref="H2036"/>
    <hyperlink r:id="rId4853" ref="G2037"/>
    <hyperlink r:id="rId4854" ref="H2037"/>
    <hyperlink r:id="rId4855" ref="G2038"/>
    <hyperlink r:id="rId4856" ref="H2038"/>
    <hyperlink r:id="rId4857" ref="F2039"/>
    <hyperlink r:id="rId4858" ref="G2039"/>
    <hyperlink r:id="rId4859" ref="H2039"/>
    <hyperlink r:id="rId4860" ref="G2040"/>
    <hyperlink r:id="rId4861" ref="H2040"/>
    <hyperlink r:id="rId4862" ref="G2041"/>
    <hyperlink r:id="rId4863" ref="H2041"/>
    <hyperlink r:id="rId4864" ref="G2042"/>
    <hyperlink r:id="rId4865" ref="H2042"/>
    <hyperlink r:id="rId4866" ref="G2043"/>
    <hyperlink r:id="rId4867" ref="H2043"/>
    <hyperlink r:id="rId4868" ref="G2044"/>
    <hyperlink r:id="rId4869" ref="H2044"/>
    <hyperlink r:id="rId4870" ref="G2045"/>
    <hyperlink r:id="rId4871" ref="H2045"/>
    <hyperlink r:id="rId4872" ref="G2046"/>
    <hyperlink r:id="rId4873" ref="H2046"/>
    <hyperlink r:id="rId4874" ref="F2047"/>
    <hyperlink r:id="rId4875" ref="G2047"/>
    <hyperlink r:id="rId4876" ref="H2047"/>
    <hyperlink r:id="rId4877" ref="F2048"/>
    <hyperlink r:id="rId4878" ref="G2048"/>
    <hyperlink r:id="rId4879" ref="H2048"/>
    <hyperlink r:id="rId4880" ref="F2049"/>
    <hyperlink r:id="rId4881" ref="G2049"/>
    <hyperlink r:id="rId4882" ref="H2049"/>
    <hyperlink r:id="rId4883" ref="G2050"/>
    <hyperlink r:id="rId4884" ref="H2050"/>
    <hyperlink r:id="rId4885" ref="G2051"/>
    <hyperlink r:id="rId4886" ref="H2051"/>
    <hyperlink r:id="rId4887" ref="G2052"/>
    <hyperlink r:id="rId4888" ref="H2052"/>
    <hyperlink r:id="rId4889" ref="G2053"/>
    <hyperlink r:id="rId4890" ref="H2053"/>
    <hyperlink r:id="rId4891" ref="G2054"/>
    <hyperlink r:id="rId4892" ref="H2054"/>
    <hyperlink r:id="rId4893" ref="G2055"/>
    <hyperlink r:id="rId4894" ref="H2055"/>
    <hyperlink r:id="rId4895" ref="G2056"/>
    <hyperlink r:id="rId4896" ref="H2056"/>
    <hyperlink r:id="rId4897" ref="G2057"/>
    <hyperlink r:id="rId4898" ref="H2057"/>
    <hyperlink r:id="rId4899" ref="G2058"/>
    <hyperlink r:id="rId4900" ref="H2058"/>
    <hyperlink r:id="rId4901" ref="G2059"/>
    <hyperlink r:id="rId4902" ref="H2059"/>
    <hyperlink r:id="rId4903" ref="F2060"/>
    <hyperlink r:id="rId4904" ref="G2060"/>
    <hyperlink r:id="rId4905" ref="H2060"/>
    <hyperlink r:id="rId4906" ref="G2061"/>
    <hyperlink r:id="rId4907" ref="H2061"/>
    <hyperlink r:id="rId4908" ref="F2062"/>
    <hyperlink r:id="rId4909" ref="G2062"/>
    <hyperlink r:id="rId4910" ref="H2062"/>
    <hyperlink r:id="rId4911" ref="F2063"/>
    <hyperlink r:id="rId4912" ref="G2063"/>
    <hyperlink r:id="rId4913" ref="H2063"/>
    <hyperlink r:id="rId4914" ref="F2064"/>
    <hyperlink r:id="rId4915" ref="G2064"/>
    <hyperlink r:id="rId4916" ref="H2064"/>
    <hyperlink r:id="rId4917" ref="F2065"/>
    <hyperlink r:id="rId4918" ref="G2065"/>
    <hyperlink r:id="rId4919" ref="H2065"/>
    <hyperlink r:id="rId4920" ref="G2066"/>
    <hyperlink r:id="rId4921" ref="H2066"/>
    <hyperlink r:id="rId4922" ref="F2067"/>
    <hyperlink r:id="rId4923" ref="G2067"/>
    <hyperlink r:id="rId4924" ref="H2067"/>
    <hyperlink r:id="rId4925" ref="G2068"/>
    <hyperlink r:id="rId4926" ref="H2068"/>
    <hyperlink r:id="rId4927" ref="F2069"/>
    <hyperlink r:id="rId4928" ref="G2069"/>
    <hyperlink r:id="rId4929" ref="H2069"/>
    <hyperlink r:id="rId4930" ref="G2070"/>
    <hyperlink r:id="rId4931" ref="H2070"/>
    <hyperlink r:id="rId4932" ref="G2071"/>
    <hyperlink r:id="rId4933" ref="H2071"/>
    <hyperlink r:id="rId4934" ref="F2072"/>
    <hyperlink r:id="rId4935" ref="G2072"/>
    <hyperlink r:id="rId4936" ref="H2072"/>
    <hyperlink r:id="rId4937" ref="G2073"/>
    <hyperlink r:id="rId4938" ref="H2073"/>
    <hyperlink r:id="rId4939" ref="G2074"/>
    <hyperlink r:id="rId4940" ref="H2074"/>
    <hyperlink r:id="rId4941" ref="G2075"/>
    <hyperlink r:id="rId4942" ref="H2075"/>
    <hyperlink r:id="rId4943" ref="G2076"/>
    <hyperlink r:id="rId4944" ref="H2076"/>
    <hyperlink r:id="rId4945" ref="G2077"/>
    <hyperlink r:id="rId4946" ref="H2077"/>
    <hyperlink r:id="rId4947" ref="G2078"/>
    <hyperlink r:id="rId4948" ref="H2078"/>
    <hyperlink r:id="rId4949" ref="F2079"/>
    <hyperlink r:id="rId4950" ref="G2079"/>
    <hyperlink r:id="rId4951" ref="H2079"/>
    <hyperlink r:id="rId4952" ref="F2080"/>
    <hyperlink r:id="rId4953" ref="G2080"/>
    <hyperlink r:id="rId4954" ref="H2080"/>
    <hyperlink r:id="rId4955" ref="F2081"/>
    <hyperlink r:id="rId4956" ref="G2081"/>
    <hyperlink r:id="rId4957" ref="H2081"/>
    <hyperlink r:id="rId4958" ref="F2082"/>
    <hyperlink r:id="rId4959" ref="G2082"/>
    <hyperlink r:id="rId4960" ref="H2082"/>
    <hyperlink r:id="rId4961" ref="F2083"/>
    <hyperlink r:id="rId4962" ref="G2083"/>
    <hyperlink r:id="rId4963" ref="H2083"/>
    <hyperlink r:id="rId4964" ref="F2084"/>
    <hyperlink r:id="rId4965" ref="G2084"/>
    <hyperlink r:id="rId4966" ref="H2084"/>
    <hyperlink r:id="rId4967" ref="F2085"/>
    <hyperlink r:id="rId4968" ref="G2085"/>
    <hyperlink r:id="rId4969" ref="H2085"/>
    <hyperlink r:id="rId4970" ref="F2086"/>
    <hyperlink r:id="rId4971" ref="G2086"/>
    <hyperlink r:id="rId4972" ref="H2086"/>
    <hyperlink r:id="rId4973" ref="F2087"/>
    <hyperlink r:id="rId4974" ref="G2087"/>
    <hyperlink r:id="rId4975" ref="H2087"/>
    <hyperlink r:id="rId4976" ref="G2088"/>
    <hyperlink r:id="rId4977" ref="H2088"/>
    <hyperlink r:id="rId4978" ref="F2089"/>
    <hyperlink r:id="rId4979" ref="G2089"/>
    <hyperlink r:id="rId4980" ref="H2089"/>
    <hyperlink r:id="rId4981" ref="G2090"/>
    <hyperlink r:id="rId4982" ref="H2090"/>
    <hyperlink r:id="rId4983" ref="F2091"/>
    <hyperlink r:id="rId4984" ref="G2091"/>
    <hyperlink r:id="rId4985" ref="H2091"/>
    <hyperlink r:id="rId4986" ref="F2092"/>
    <hyperlink r:id="rId4987" ref="G2092"/>
    <hyperlink r:id="rId4988" ref="H2092"/>
    <hyperlink r:id="rId4989" ref="F2093"/>
    <hyperlink r:id="rId4990" ref="G2093"/>
    <hyperlink r:id="rId4991" ref="H2093"/>
    <hyperlink r:id="rId4992" ref="F2094"/>
    <hyperlink r:id="rId4993" ref="G2094"/>
    <hyperlink r:id="rId4994" ref="H2094"/>
    <hyperlink r:id="rId4995" ref="G2095"/>
    <hyperlink r:id="rId4996" ref="H2095"/>
    <hyperlink r:id="rId4997" ref="F2096"/>
    <hyperlink r:id="rId4998" ref="G2096"/>
    <hyperlink r:id="rId4999" ref="H2096"/>
    <hyperlink r:id="rId5000" ref="F2097"/>
    <hyperlink r:id="rId5001" ref="G2097"/>
    <hyperlink r:id="rId5002" ref="H2097"/>
    <hyperlink r:id="rId5003" ref="G2098"/>
    <hyperlink r:id="rId5004" ref="H2098"/>
    <hyperlink r:id="rId5005" ref="G2099"/>
    <hyperlink r:id="rId5006" ref="H2099"/>
    <hyperlink r:id="rId5007" ref="F2100"/>
    <hyperlink r:id="rId5008" ref="G2100"/>
    <hyperlink r:id="rId5009" ref="H2100"/>
    <hyperlink r:id="rId5010" ref="G2101"/>
    <hyperlink r:id="rId5011" ref="H2101"/>
    <hyperlink r:id="rId5012" ref="G2102"/>
    <hyperlink r:id="rId5013" ref="H2102"/>
    <hyperlink r:id="rId5014" ref="G2103"/>
    <hyperlink r:id="rId5015" ref="H2103"/>
    <hyperlink r:id="rId5016" ref="G2104"/>
    <hyperlink r:id="rId5017" ref="H2104"/>
    <hyperlink r:id="rId5018" ref="G2105"/>
    <hyperlink r:id="rId5019" ref="H2105"/>
    <hyperlink r:id="rId5020" ref="G2106"/>
    <hyperlink r:id="rId5021" ref="H2106"/>
    <hyperlink r:id="rId5022" ref="G2107"/>
    <hyperlink r:id="rId5023" ref="H2107"/>
    <hyperlink r:id="rId5024" ref="G2108"/>
    <hyperlink r:id="rId5025" ref="H2108"/>
    <hyperlink r:id="rId5026" ref="G2109"/>
    <hyperlink r:id="rId5027" ref="H2109"/>
    <hyperlink r:id="rId5028" ref="F2110"/>
    <hyperlink r:id="rId5029" ref="G2110"/>
    <hyperlink r:id="rId5030" ref="H2110"/>
    <hyperlink r:id="rId5031" ref="G2111"/>
    <hyperlink r:id="rId5032" ref="H2111"/>
    <hyperlink r:id="rId5033" ref="G2112"/>
    <hyperlink r:id="rId5034" ref="H2112"/>
    <hyperlink r:id="rId5035" ref="G2113"/>
    <hyperlink r:id="rId5036" ref="H2113"/>
    <hyperlink r:id="rId5037" ref="G2114"/>
    <hyperlink r:id="rId5038" ref="H2114"/>
    <hyperlink r:id="rId5039" ref="F2115"/>
    <hyperlink r:id="rId5040" ref="G2115"/>
    <hyperlink r:id="rId5041" ref="H2115"/>
    <hyperlink r:id="rId5042" ref="F2116"/>
    <hyperlink r:id="rId5043" ref="G2116"/>
    <hyperlink r:id="rId5044" ref="H2116"/>
    <hyperlink r:id="rId5045" ref="G2117"/>
    <hyperlink r:id="rId5046" ref="H2117"/>
    <hyperlink r:id="rId5047" ref="G2118"/>
    <hyperlink r:id="rId5048" ref="H2118"/>
    <hyperlink r:id="rId5049" ref="G2119"/>
    <hyperlink r:id="rId5050" ref="H2119"/>
    <hyperlink r:id="rId5051" ref="G2120"/>
    <hyperlink r:id="rId5052" ref="H2120"/>
    <hyperlink r:id="rId5053" ref="G2121"/>
    <hyperlink r:id="rId5054" ref="H2121"/>
    <hyperlink r:id="rId5055" ref="G2122"/>
    <hyperlink r:id="rId5056" ref="H2122"/>
    <hyperlink r:id="rId5057" ref="G2123"/>
    <hyperlink r:id="rId5058" ref="H2123"/>
    <hyperlink r:id="rId5059" ref="F2124"/>
    <hyperlink r:id="rId5060" ref="G2124"/>
    <hyperlink r:id="rId5061" ref="H2124"/>
    <hyperlink r:id="rId5062" ref="G2125"/>
    <hyperlink r:id="rId5063" ref="H2125"/>
    <hyperlink r:id="rId5064" ref="G2126"/>
    <hyperlink r:id="rId5065" ref="H2126"/>
    <hyperlink r:id="rId5066" ref="G2127"/>
    <hyperlink r:id="rId5067" ref="H2127"/>
    <hyperlink r:id="rId5068" ref="F2128"/>
    <hyperlink r:id="rId5069" ref="G2128"/>
    <hyperlink r:id="rId5070" ref="H2128"/>
    <hyperlink r:id="rId5071" ref="F2129"/>
    <hyperlink r:id="rId5072" ref="G2129"/>
    <hyperlink r:id="rId5073" ref="H2129"/>
    <hyperlink r:id="rId5074" ref="F2130"/>
    <hyperlink r:id="rId5075" ref="G2130"/>
    <hyperlink r:id="rId5076" ref="H2130"/>
    <hyperlink r:id="rId5077" ref="F2131"/>
    <hyperlink r:id="rId5078" ref="G2131"/>
    <hyperlink r:id="rId5079" ref="H2131"/>
    <hyperlink r:id="rId5080" ref="G2132"/>
    <hyperlink r:id="rId5081" ref="H2132"/>
    <hyperlink r:id="rId5082" ref="G2133"/>
    <hyperlink r:id="rId5083" ref="H2133"/>
    <hyperlink r:id="rId5084" ref="F2134"/>
    <hyperlink r:id="rId5085" ref="G2134"/>
    <hyperlink r:id="rId5086" ref="H2134"/>
    <hyperlink r:id="rId5087" ref="G2135"/>
    <hyperlink r:id="rId5088" ref="H2135"/>
    <hyperlink r:id="rId5089" ref="F2136"/>
    <hyperlink r:id="rId5090" ref="G2136"/>
    <hyperlink r:id="rId5091" ref="H2136"/>
    <hyperlink r:id="rId5092" ref="G2137"/>
    <hyperlink r:id="rId5093" ref="H2137"/>
    <hyperlink r:id="rId5094" ref="G2138"/>
    <hyperlink r:id="rId5095" ref="H2138"/>
    <hyperlink r:id="rId5096" ref="G2139"/>
    <hyperlink r:id="rId5097" ref="H2139"/>
    <hyperlink r:id="rId5098" ref="G2140"/>
    <hyperlink r:id="rId5099" ref="H2140"/>
    <hyperlink r:id="rId5100" ref="G2141"/>
    <hyperlink r:id="rId5101" ref="H2141"/>
    <hyperlink r:id="rId5102" ref="F2142"/>
    <hyperlink r:id="rId5103" ref="G2142"/>
    <hyperlink r:id="rId5104" ref="H2142"/>
    <hyperlink r:id="rId5105" ref="F2143"/>
    <hyperlink r:id="rId5106" ref="G2143"/>
    <hyperlink r:id="rId5107" ref="H2143"/>
    <hyperlink r:id="rId5108" ref="G2144"/>
    <hyperlink r:id="rId5109" ref="H2144"/>
    <hyperlink r:id="rId5110" ref="F2145"/>
    <hyperlink r:id="rId5111" ref="G2145"/>
    <hyperlink r:id="rId5112" ref="H2145"/>
    <hyperlink r:id="rId5113" ref="F2146"/>
    <hyperlink r:id="rId5114" ref="G2146"/>
    <hyperlink r:id="rId5115" ref="H2146"/>
    <hyperlink r:id="rId5116" ref="F2147"/>
    <hyperlink r:id="rId5117" ref="G2147"/>
    <hyperlink r:id="rId5118" ref="H2147"/>
    <hyperlink r:id="rId5119" ref="G2148"/>
    <hyperlink r:id="rId5120" ref="H2148"/>
    <hyperlink r:id="rId5121" ref="G2149"/>
    <hyperlink r:id="rId5122" ref="H2149"/>
    <hyperlink r:id="rId5123" ref="F2150"/>
    <hyperlink r:id="rId5124" ref="G2150"/>
    <hyperlink r:id="rId5125" ref="H2150"/>
    <hyperlink r:id="rId5126" ref="F2151"/>
    <hyperlink r:id="rId5127" ref="G2151"/>
    <hyperlink r:id="rId5128" ref="H2151"/>
    <hyperlink r:id="rId5129" ref="F2152"/>
    <hyperlink r:id="rId5130" ref="G2152"/>
    <hyperlink r:id="rId5131" ref="H2152"/>
    <hyperlink r:id="rId5132" ref="G2153"/>
    <hyperlink r:id="rId5133" ref="H2153"/>
    <hyperlink r:id="rId5134" ref="G2154"/>
    <hyperlink r:id="rId5135" ref="H2154"/>
    <hyperlink r:id="rId5136" ref="G2155"/>
    <hyperlink r:id="rId5137" ref="H2155"/>
    <hyperlink r:id="rId5138" ref="G2156"/>
    <hyperlink r:id="rId5139" ref="H2156"/>
    <hyperlink r:id="rId5140" ref="G2157"/>
    <hyperlink r:id="rId5141" ref="H2157"/>
    <hyperlink r:id="rId5142" ref="G2158"/>
    <hyperlink r:id="rId5143" ref="H2158"/>
    <hyperlink r:id="rId5144" ref="G2159"/>
    <hyperlink r:id="rId5145" ref="H2159"/>
    <hyperlink r:id="rId5146" ref="G2160"/>
    <hyperlink r:id="rId5147" ref="H2160"/>
    <hyperlink r:id="rId5148" ref="G2161"/>
    <hyperlink r:id="rId5149" ref="H2161"/>
    <hyperlink r:id="rId5150" ref="G2162"/>
    <hyperlink r:id="rId5151" ref="H2162"/>
    <hyperlink r:id="rId5152" ref="F2163"/>
    <hyperlink r:id="rId5153" ref="G2163"/>
    <hyperlink r:id="rId5154" ref="H2163"/>
    <hyperlink r:id="rId5155" ref="F2164"/>
    <hyperlink r:id="rId5156" ref="G2164"/>
    <hyperlink r:id="rId5157" ref="H2164"/>
    <hyperlink r:id="rId5158" ref="F2165"/>
    <hyperlink r:id="rId5159" ref="G2165"/>
    <hyperlink r:id="rId5160" ref="H2165"/>
    <hyperlink r:id="rId5161" ref="G2166"/>
    <hyperlink r:id="rId5162" ref="H2166"/>
    <hyperlink r:id="rId5163" ref="G2167"/>
    <hyperlink r:id="rId5164" ref="H2167"/>
    <hyperlink r:id="rId5165" ref="F2168"/>
    <hyperlink r:id="rId5166" ref="G2168"/>
    <hyperlink r:id="rId5167" ref="H2168"/>
    <hyperlink r:id="rId5168" ref="F2169"/>
    <hyperlink r:id="rId5169" ref="G2169"/>
    <hyperlink r:id="rId5170" ref="H2169"/>
    <hyperlink r:id="rId5171" ref="F2170"/>
    <hyperlink r:id="rId5172" ref="G2170"/>
    <hyperlink r:id="rId5173" ref="H2170"/>
    <hyperlink r:id="rId5174" ref="F2171"/>
    <hyperlink r:id="rId5175" ref="G2171"/>
    <hyperlink r:id="rId5176" ref="H2171"/>
    <hyperlink r:id="rId5177" ref="F2172"/>
    <hyperlink r:id="rId5178" ref="G2172"/>
    <hyperlink r:id="rId5179" ref="H2172"/>
    <hyperlink r:id="rId5180" ref="F2173"/>
    <hyperlink r:id="rId5181" ref="G2173"/>
    <hyperlink r:id="rId5182" ref="H2173"/>
    <hyperlink r:id="rId5183" ref="F2174"/>
    <hyperlink r:id="rId5184" ref="G2174"/>
    <hyperlink r:id="rId5185" ref="H2174"/>
    <hyperlink r:id="rId5186" ref="F2175"/>
    <hyperlink r:id="rId5187" ref="G2175"/>
    <hyperlink r:id="rId5188" ref="H2175"/>
    <hyperlink r:id="rId5189" ref="F2176"/>
    <hyperlink r:id="rId5190" ref="G2176"/>
    <hyperlink r:id="rId5191" ref="H2176"/>
    <hyperlink r:id="rId5192" ref="F2177"/>
    <hyperlink r:id="rId5193" ref="G2177"/>
    <hyperlink r:id="rId5194" ref="H2177"/>
    <hyperlink r:id="rId5195" ref="F2178"/>
    <hyperlink r:id="rId5196" ref="G2178"/>
    <hyperlink r:id="rId5197" ref="H2178"/>
    <hyperlink r:id="rId5198" ref="G2179"/>
    <hyperlink r:id="rId5199" ref="H2179"/>
    <hyperlink r:id="rId5200" ref="F2180"/>
    <hyperlink r:id="rId5201" ref="G2180"/>
    <hyperlink r:id="rId5202" ref="H2180"/>
    <hyperlink r:id="rId5203" ref="F2181"/>
    <hyperlink r:id="rId5204" ref="G2181"/>
    <hyperlink r:id="rId5205" ref="H2181"/>
    <hyperlink r:id="rId5206" ref="G2182"/>
    <hyperlink r:id="rId5207" ref="H2182"/>
    <hyperlink r:id="rId5208" ref="G2183"/>
    <hyperlink r:id="rId5209" ref="H2183"/>
    <hyperlink r:id="rId5210" ref="F2184"/>
    <hyperlink r:id="rId5211" ref="G2184"/>
    <hyperlink r:id="rId5212" ref="H2184"/>
    <hyperlink r:id="rId5213" ref="G2185"/>
    <hyperlink r:id="rId5214" ref="H2185"/>
    <hyperlink r:id="rId5215" ref="G2186"/>
    <hyperlink r:id="rId5216" ref="H2186"/>
    <hyperlink r:id="rId5217" ref="G2187"/>
    <hyperlink r:id="rId5218" ref="H2187"/>
    <hyperlink r:id="rId5219" ref="G2188"/>
    <hyperlink r:id="rId5220" ref="H2188"/>
    <hyperlink r:id="rId5221" ref="G2189"/>
    <hyperlink r:id="rId5222" ref="H2189"/>
    <hyperlink r:id="rId5223" ref="G2190"/>
    <hyperlink r:id="rId5224" ref="H2190"/>
    <hyperlink r:id="rId5225" ref="F2191"/>
    <hyperlink r:id="rId5226" ref="G2191"/>
    <hyperlink r:id="rId5227" ref="H2191"/>
    <hyperlink r:id="rId5228" ref="G2192"/>
    <hyperlink r:id="rId5229" ref="H2192"/>
    <hyperlink r:id="rId5230" ref="G2193"/>
    <hyperlink r:id="rId5231" ref="H2193"/>
    <hyperlink r:id="rId5232" ref="G2194"/>
    <hyperlink r:id="rId5233" ref="H2194"/>
    <hyperlink r:id="rId5234" ref="F2195"/>
    <hyperlink r:id="rId5235" ref="G2195"/>
    <hyperlink r:id="rId5236" ref="H2195"/>
    <hyperlink r:id="rId5237" ref="G2196"/>
    <hyperlink r:id="rId5238" ref="H2196"/>
    <hyperlink r:id="rId5239" ref="F2197"/>
    <hyperlink r:id="rId5240" ref="G2197"/>
    <hyperlink r:id="rId5241" ref="H2197"/>
    <hyperlink r:id="rId5242" ref="F2198"/>
    <hyperlink r:id="rId5243" ref="G2198"/>
    <hyperlink r:id="rId5244" ref="H2198"/>
    <hyperlink r:id="rId5245" ref="G2199"/>
    <hyperlink r:id="rId5246" ref="H2199"/>
    <hyperlink r:id="rId5247" ref="G2200"/>
    <hyperlink r:id="rId5248" ref="H2200"/>
    <hyperlink r:id="rId5249" ref="G2201"/>
    <hyperlink r:id="rId5250" ref="H2201"/>
    <hyperlink r:id="rId5251" ref="G2202"/>
    <hyperlink r:id="rId5252" ref="H2202"/>
    <hyperlink r:id="rId5253" ref="F2203"/>
    <hyperlink r:id="rId5254" ref="G2203"/>
    <hyperlink r:id="rId5255" ref="H2203"/>
    <hyperlink r:id="rId5256" ref="G2204"/>
    <hyperlink r:id="rId5257" ref="H2204"/>
    <hyperlink r:id="rId5258" ref="G2205"/>
    <hyperlink r:id="rId5259" ref="H2205"/>
    <hyperlink r:id="rId5260" ref="G2206"/>
    <hyperlink r:id="rId5261" ref="H2206"/>
    <hyperlink r:id="rId5262" ref="F2207"/>
    <hyperlink r:id="rId5263" ref="G2207"/>
    <hyperlink r:id="rId5264" ref="H2207"/>
    <hyperlink r:id="rId5265" ref="F2208"/>
    <hyperlink r:id="rId5266" ref="G2208"/>
    <hyperlink r:id="rId5267" ref="H2208"/>
    <hyperlink r:id="rId5268" ref="F2209"/>
    <hyperlink r:id="rId5269" ref="G2209"/>
    <hyperlink r:id="rId5270" ref="H2209"/>
    <hyperlink r:id="rId5271" ref="F2210"/>
    <hyperlink r:id="rId5272" ref="G2210"/>
    <hyperlink r:id="rId5273" ref="H2210"/>
    <hyperlink r:id="rId5274" ref="F2211"/>
    <hyperlink r:id="rId5275" ref="G2211"/>
    <hyperlink r:id="rId5276" ref="H2211"/>
    <hyperlink r:id="rId5277" ref="F2212"/>
    <hyperlink r:id="rId5278" ref="G2212"/>
    <hyperlink r:id="rId5279" ref="H2212"/>
    <hyperlink r:id="rId5280" ref="F2213"/>
    <hyperlink r:id="rId5281" ref="G2213"/>
    <hyperlink r:id="rId5282" ref="H2213"/>
    <hyperlink r:id="rId5283" ref="F2214"/>
    <hyperlink r:id="rId5284" ref="G2214"/>
    <hyperlink r:id="rId5285" ref="H2214"/>
    <hyperlink r:id="rId5286" ref="F2215"/>
    <hyperlink r:id="rId5287" ref="G2215"/>
    <hyperlink r:id="rId5288" ref="H2215"/>
    <hyperlink r:id="rId5289" ref="F2216"/>
    <hyperlink r:id="rId5290" ref="G2216"/>
    <hyperlink r:id="rId5291" ref="H2216"/>
    <hyperlink r:id="rId5292" ref="F2217"/>
    <hyperlink r:id="rId5293" ref="G2217"/>
    <hyperlink r:id="rId5294" ref="H2217"/>
    <hyperlink r:id="rId5295" ref="F2218"/>
    <hyperlink r:id="rId5296" ref="G2218"/>
    <hyperlink r:id="rId5297" ref="H2218"/>
    <hyperlink r:id="rId5298" ref="F2219"/>
    <hyperlink r:id="rId5299" ref="G2219"/>
    <hyperlink r:id="rId5300" ref="H2219"/>
    <hyperlink r:id="rId5301" ref="F2220"/>
    <hyperlink r:id="rId5302" ref="G2220"/>
    <hyperlink r:id="rId5303" ref="H2220"/>
    <hyperlink r:id="rId5304" ref="G2221"/>
    <hyperlink r:id="rId5305" ref="H2221"/>
    <hyperlink r:id="rId5306" ref="F2222"/>
    <hyperlink r:id="rId5307" ref="G2222"/>
    <hyperlink r:id="rId5308" ref="H2222"/>
    <hyperlink r:id="rId5309" ref="F2223"/>
    <hyperlink r:id="rId5310" ref="G2223"/>
    <hyperlink r:id="rId5311" ref="H2223"/>
    <hyperlink r:id="rId5312" ref="F2224"/>
    <hyperlink r:id="rId5313" ref="G2224"/>
    <hyperlink r:id="rId5314" ref="H2224"/>
    <hyperlink r:id="rId5315" ref="G2225"/>
    <hyperlink r:id="rId5316" ref="H2225"/>
    <hyperlink r:id="rId5317" ref="G2226"/>
    <hyperlink r:id="rId5318" ref="H2226"/>
    <hyperlink r:id="rId5319" ref="G2227"/>
    <hyperlink r:id="rId5320" ref="H2227"/>
    <hyperlink r:id="rId5321" ref="F2228"/>
    <hyperlink r:id="rId5322" ref="G2228"/>
    <hyperlink r:id="rId5323" ref="H2228"/>
    <hyperlink r:id="rId5324" ref="F2229"/>
    <hyperlink r:id="rId5325" ref="G2229"/>
    <hyperlink r:id="rId5326" ref="H2229"/>
    <hyperlink r:id="rId5327" ref="F2230"/>
    <hyperlink r:id="rId5328" ref="G2230"/>
    <hyperlink r:id="rId5329" ref="H2230"/>
    <hyperlink r:id="rId5330" ref="G2231"/>
    <hyperlink r:id="rId5331" ref="H2231"/>
    <hyperlink r:id="rId5332" ref="F2232"/>
    <hyperlink r:id="rId5333" ref="G2232"/>
    <hyperlink r:id="rId5334" ref="H2232"/>
    <hyperlink r:id="rId5335" ref="G2233"/>
    <hyperlink r:id="rId5336" ref="H2233"/>
    <hyperlink r:id="rId5337" ref="F2234"/>
    <hyperlink r:id="rId5338" ref="G2234"/>
    <hyperlink r:id="rId5339" ref="H2234"/>
    <hyperlink r:id="rId5340" ref="G2235"/>
    <hyperlink r:id="rId5341" ref="H2235"/>
    <hyperlink r:id="rId5342" ref="G2236"/>
    <hyperlink r:id="rId5343" ref="H2236"/>
    <hyperlink r:id="rId5344" ref="G2237"/>
    <hyperlink r:id="rId5345" ref="H2237"/>
    <hyperlink r:id="rId5346" ref="F2238"/>
    <hyperlink r:id="rId5347" ref="G2238"/>
    <hyperlink r:id="rId5348" ref="H2238"/>
    <hyperlink r:id="rId5349" ref="G2239"/>
    <hyperlink r:id="rId5350" ref="H2239"/>
    <hyperlink r:id="rId5351" ref="G2240"/>
    <hyperlink r:id="rId5352" ref="H2240"/>
    <hyperlink r:id="rId5353" ref="G2241"/>
    <hyperlink r:id="rId5354" ref="H2241"/>
    <hyperlink r:id="rId5355" ref="G2242"/>
    <hyperlink r:id="rId5356" ref="H2242"/>
    <hyperlink r:id="rId5357" ref="F2243"/>
    <hyperlink r:id="rId5358" ref="G2243"/>
    <hyperlink r:id="rId5359" ref="H2243"/>
    <hyperlink r:id="rId5360" ref="F2244"/>
    <hyperlink r:id="rId5361" ref="G2244"/>
    <hyperlink r:id="rId5362" ref="H2244"/>
    <hyperlink r:id="rId5363" ref="G2245"/>
    <hyperlink r:id="rId5364" ref="H2245"/>
    <hyperlink r:id="rId5365" ref="G2246"/>
    <hyperlink r:id="rId5366" ref="H2246"/>
    <hyperlink r:id="rId5367" ref="G2247"/>
    <hyperlink r:id="rId5368" ref="H2247"/>
    <hyperlink r:id="rId5369" ref="G2248"/>
    <hyperlink r:id="rId5370" ref="H2248"/>
    <hyperlink r:id="rId5371" ref="F2249"/>
    <hyperlink r:id="rId5372" ref="G2249"/>
    <hyperlink r:id="rId5373" ref="H2249"/>
    <hyperlink r:id="rId5374" ref="G2250"/>
    <hyperlink r:id="rId5375" ref="H2250"/>
    <hyperlink r:id="rId5376" ref="F2251"/>
    <hyperlink r:id="rId5377" ref="G2251"/>
    <hyperlink r:id="rId5378" ref="H2251"/>
    <hyperlink r:id="rId5379" ref="G2252"/>
    <hyperlink r:id="rId5380" ref="H2252"/>
    <hyperlink r:id="rId5381" ref="G2253"/>
    <hyperlink r:id="rId5382" ref="H2253"/>
    <hyperlink r:id="rId5383" ref="G2254"/>
    <hyperlink r:id="rId5384" ref="H2254"/>
    <hyperlink r:id="rId5385" ref="F2255"/>
    <hyperlink r:id="rId5386" ref="G2255"/>
    <hyperlink r:id="rId5387" ref="H2255"/>
    <hyperlink r:id="rId5388" ref="G2256"/>
    <hyperlink r:id="rId5389" ref="H2256"/>
    <hyperlink r:id="rId5390" ref="G2257"/>
    <hyperlink r:id="rId5391" ref="H2257"/>
    <hyperlink r:id="rId5392" ref="G2258"/>
    <hyperlink r:id="rId5393" ref="H2258"/>
    <hyperlink r:id="rId5394" ref="G2259"/>
    <hyperlink r:id="rId5395" ref="H2259"/>
    <hyperlink r:id="rId5396" ref="G2260"/>
    <hyperlink r:id="rId5397" ref="H2260"/>
    <hyperlink r:id="rId5398" ref="G2261"/>
    <hyperlink r:id="rId5399" ref="H2261"/>
    <hyperlink r:id="rId5400" ref="G2262"/>
    <hyperlink r:id="rId5401" ref="H2262"/>
    <hyperlink r:id="rId5402" ref="G2263"/>
    <hyperlink r:id="rId5403" ref="H2263"/>
    <hyperlink r:id="rId5404" ref="G2264"/>
    <hyperlink r:id="rId5405" ref="H2264"/>
    <hyperlink r:id="rId5406" ref="G2265"/>
    <hyperlink r:id="rId5407" ref="H2265"/>
    <hyperlink r:id="rId5408" ref="F2266"/>
    <hyperlink r:id="rId5409" ref="G2266"/>
    <hyperlink r:id="rId5410" ref="H2266"/>
    <hyperlink r:id="rId5411" ref="F2267"/>
    <hyperlink r:id="rId5412" ref="G2267"/>
    <hyperlink r:id="rId5413" ref="H2267"/>
    <hyperlink r:id="rId5414" ref="F2268"/>
    <hyperlink r:id="rId5415" ref="G2268"/>
    <hyperlink r:id="rId5416" ref="H2268"/>
    <hyperlink r:id="rId5417" ref="G2269"/>
    <hyperlink r:id="rId5418" ref="H2269"/>
    <hyperlink r:id="rId5419" ref="G2270"/>
    <hyperlink r:id="rId5420" ref="H2270"/>
    <hyperlink r:id="rId5421" ref="G2271"/>
    <hyperlink r:id="rId5422" ref="H2271"/>
    <hyperlink r:id="rId5423" ref="G2272"/>
    <hyperlink r:id="rId5424" ref="H2272"/>
    <hyperlink r:id="rId5425" ref="G2273"/>
    <hyperlink r:id="rId5426" ref="H2273"/>
    <hyperlink r:id="rId5427" ref="G2274"/>
    <hyperlink r:id="rId5428" ref="H2274"/>
    <hyperlink r:id="rId5429" ref="G2275"/>
    <hyperlink r:id="rId5430" ref="H2275"/>
    <hyperlink r:id="rId5431" ref="G2276"/>
    <hyperlink r:id="rId5432" ref="H2276"/>
    <hyperlink r:id="rId5433" ref="G2277"/>
    <hyperlink r:id="rId5434" ref="H2277"/>
    <hyperlink r:id="rId5435" ref="F2278"/>
    <hyperlink r:id="rId5436" ref="G2278"/>
    <hyperlink r:id="rId5437" ref="H2278"/>
    <hyperlink r:id="rId5438" ref="F2279"/>
    <hyperlink r:id="rId5439" ref="G2279"/>
    <hyperlink r:id="rId5440" ref="H2279"/>
    <hyperlink r:id="rId5441" ref="F2280"/>
    <hyperlink r:id="rId5442" ref="G2280"/>
    <hyperlink r:id="rId5443" ref="H2280"/>
    <hyperlink r:id="rId5444" ref="F2281"/>
    <hyperlink r:id="rId5445" ref="G2281"/>
    <hyperlink r:id="rId5446" ref="H2281"/>
    <hyperlink r:id="rId5447" ref="F2282"/>
    <hyperlink r:id="rId5448" ref="G2282"/>
    <hyperlink r:id="rId5449" ref="H2282"/>
    <hyperlink r:id="rId5450" ref="G2283"/>
    <hyperlink r:id="rId5451" ref="H2283"/>
    <hyperlink r:id="rId5452" ref="G2284"/>
    <hyperlink r:id="rId5453" ref="H2284"/>
    <hyperlink r:id="rId5454" ref="G2285"/>
    <hyperlink r:id="rId5455" ref="H2285"/>
    <hyperlink r:id="rId5456" ref="G2286"/>
    <hyperlink r:id="rId5457" ref="H2286"/>
    <hyperlink r:id="rId5458" ref="G2287"/>
    <hyperlink r:id="rId5459" ref="H2287"/>
    <hyperlink r:id="rId5460" ref="G2288"/>
    <hyperlink r:id="rId5461" ref="H2288"/>
    <hyperlink r:id="rId5462" ref="G2289"/>
    <hyperlink r:id="rId5463" ref="H2289"/>
    <hyperlink r:id="rId5464" ref="G2290"/>
    <hyperlink r:id="rId5465" ref="H2290"/>
    <hyperlink r:id="rId5466" ref="G2291"/>
    <hyperlink r:id="rId5467" ref="H2291"/>
    <hyperlink r:id="rId5468" ref="G2292"/>
    <hyperlink r:id="rId5469" ref="H2292"/>
    <hyperlink r:id="rId5470" ref="G2293"/>
    <hyperlink r:id="rId5471" ref="H2293"/>
    <hyperlink r:id="rId5472" ref="F2294"/>
    <hyperlink r:id="rId5473" ref="G2294"/>
    <hyperlink r:id="rId5474" ref="H2294"/>
    <hyperlink r:id="rId5475" ref="G2295"/>
    <hyperlink r:id="rId5476" ref="H2295"/>
    <hyperlink r:id="rId5477" ref="G2296"/>
    <hyperlink r:id="rId5478" ref="H2296"/>
    <hyperlink r:id="rId5479" ref="G2297"/>
    <hyperlink r:id="rId5480" ref="H2297"/>
    <hyperlink r:id="rId5481" ref="F2298"/>
    <hyperlink r:id="rId5482" ref="G2298"/>
    <hyperlink r:id="rId5483" ref="H2298"/>
    <hyperlink r:id="rId5484" ref="F2299"/>
    <hyperlink r:id="rId5485" ref="G2299"/>
    <hyperlink r:id="rId5486" ref="H2299"/>
    <hyperlink r:id="rId5487" ref="F2300"/>
    <hyperlink r:id="rId5488" ref="G2300"/>
    <hyperlink r:id="rId5489" ref="H2300"/>
    <hyperlink r:id="rId5490" ref="F2301"/>
    <hyperlink r:id="rId5491" ref="G2301"/>
    <hyperlink r:id="rId5492" ref="H2301"/>
    <hyperlink r:id="rId5493" ref="G2302"/>
    <hyperlink r:id="rId5494" ref="H2302"/>
    <hyperlink r:id="rId5495" ref="G2303"/>
    <hyperlink r:id="rId5496" ref="H2303"/>
    <hyperlink r:id="rId5497" ref="G2304"/>
    <hyperlink r:id="rId5498" ref="H2304"/>
    <hyperlink r:id="rId5499" ref="G2305"/>
    <hyperlink r:id="rId5500" ref="H2305"/>
    <hyperlink r:id="rId5501" ref="G2306"/>
    <hyperlink r:id="rId5502" ref="H2306"/>
    <hyperlink r:id="rId5503" ref="G2307"/>
    <hyperlink r:id="rId5504" ref="H2307"/>
    <hyperlink r:id="rId5505" ref="G2308"/>
    <hyperlink r:id="rId5506" ref="H2308"/>
    <hyperlink r:id="rId5507" ref="G2309"/>
    <hyperlink r:id="rId5508" ref="H2309"/>
    <hyperlink r:id="rId5509" ref="G2310"/>
    <hyperlink r:id="rId5510" ref="H2310"/>
    <hyperlink r:id="rId5511" ref="G2311"/>
    <hyperlink r:id="rId5512" ref="H2311"/>
    <hyperlink r:id="rId5513" ref="G2312"/>
    <hyperlink r:id="rId5514" ref="H2312"/>
    <hyperlink r:id="rId5515" ref="G2313"/>
    <hyperlink r:id="rId5516" ref="H2313"/>
    <hyperlink r:id="rId5517" ref="G2314"/>
    <hyperlink r:id="rId5518" ref="H2314"/>
    <hyperlink r:id="rId5519" ref="G2315"/>
    <hyperlink r:id="rId5520" ref="H2315"/>
    <hyperlink r:id="rId5521" ref="G2316"/>
    <hyperlink r:id="rId5522" ref="H2316"/>
    <hyperlink r:id="rId5523" ref="G2317"/>
    <hyperlink r:id="rId5524" ref="H2317"/>
    <hyperlink r:id="rId5525" ref="F2318"/>
    <hyperlink r:id="rId5526" ref="G2318"/>
    <hyperlink r:id="rId5527" ref="H2318"/>
    <hyperlink r:id="rId5528" ref="F2319"/>
    <hyperlink r:id="rId5529" ref="G2319"/>
    <hyperlink r:id="rId5530" ref="H2319"/>
    <hyperlink r:id="rId5531" ref="G2320"/>
    <hyperlink r:id="rId5532" ref="H2320"/>
    <hyperlink r:id="rId5533" ref="G2321"/>
    <hyperlink r:id="rId5534" ref="H2321"/>
    <hyperlink r:id="rId5535" ref="G2322"/>
    <hyperlink r:id="rId5536" ref="H2322"/>
    <hyperlink r:id="rId5537" ref="G2323"/>
    <hyperlink r:id="rId5538" ref="H2323"/>
    <hyperlink r:id="rId5539" ref="G2324"/>
    <hyperlink r:id="rId5540" ref="H2324"/>
    <hyperlink r:id="rId5541" ref="G2325"/>
    <hyperlink r:id="rId5542" ref="H2325"/>
    <hyperlink r:id="rId5543" ref="G2326"/>
    <hyperlink r:id="rId5544" ref="H2326"/>
    <hyperlink r:id="rId5545" ref="G2327"/>
    <hyperlink r:id="rId5546" ref="H2327"/>
    <hyperlink r:id="rId5547" ref="G2328"/>
    <hyperlink r:id="rId5548" ref="H2328"/>
    <hyperlink r:id="rId5549" ref="G2329"/>
    <hyperlink r:id="rId5550" ref="H2329"/>
    <hyperlink r:id="rId5551" ref="G2330"/>
    <hyperlink r:id="rId5552" ref="H2330"/>
    <hyperlink r:id="rId5553" ref="G2331"/>
    <hyperlink r:id="rId5554" ref="H2331"/>
    <hyperlink r:id="rId5555" ref="G2332"/>
    <hyperlink r:id="rId5556" ref="H2332"/>
    <hyperlink r:id="rId5557" ref="G2333"/>
    <hyperlink r:id="rId5558" ref="H2333"/>
    <hyperlink r:id="rId5559" ref="G2334"/>
    <hyperlink r:id="rId5560" ref="H2334"/>
    <hyperlink r:id="rId5561" ref="G2335"/>
    <hyperlink r:id="rId5562" ref="H2335"/>
    <hyperlink r:id="rId5563" ref="G2336"/>
    <hyperlink r:id="rId5564" ref="H2336"/>
    <hyperlink r:id="rId5565" ref="G2337"/>
    <hyperlink r:id="rId5566" ref="H2337"/>
    <hyperlink r:id="rId5567" ref="G2338"/>
    <hyperlink r:id="rId5568" ref="H2338"/>
    <hyperlink r:id="rId5569" ref="F2339"/>
    <hyperlink r:id="rId5570" ref="G2339"/>
    <hyperlink r:id="rId5571" ref="H2339"/>
    <hyperlink r:id="rId5572" ref="G2340"/>
    <hyperlink r:id="rId5573" ref="H2340"/>
    <hyperlink r:id="rId5574" ref="G2341"/>
    <hyperlink r:id="rId5575" ref="H2341"/>
    <hyperlink r:id="rId5576" ref="F2342"/>
    <hyperlink r:id="rId5577" ref="G2342"/>
    <hyperlink r:id="rId5578" ref="H2342"/>
    <hyperlink r:id="rId5579" ref="G2343"/>
    <hyperlink r:id="rId5580" ref="H2343"/>
    <hyperlink r:id="rId5581" ref="F2344"/>
    <hyperlink r:id="rId5582" ref="G2344"/>
    <hyperlink r:id="rId5583" ref="H2344"/>
    <hyperlink r:id="rId5584" ref="G2345"/>
    <hyperlink r:id="rId5585" ref="H2345"/>
    <hyperlink r:id="rId5586" ref="F2346"/>
    <hyperlink r:id="rId5587" ref="G2346"/>
    <hyperlink r:id="rId5588" ref="H2346"/>
    <hyperlink r:id="rId5589" ref="G2347"/>
    <hyperlink r:id="rId5590" ref="H2347"/>
    <hyperlink r:id="rId5591" ref="G2348"/>
    <hyperlink r:id="rId5592" ref="H2348"/>
    <hyperlink r:id="rId5593" ref="G2349"/>
    <hyperlink r:id="rId5594" ref="H2349"/>
    <hyperlink r:id="rId5595" ref="F2350"/>
    <hyperlink r:id="rId5596" ref="G2350"/>
    <hyperlink r:id="rId5597" ref="H2350"/>
    <hyperlink r:id="rId5598" ref="G2351"/>
    <hyperlink r:id="rId5599" ref="H2351"/>
    <hyperlink r:id="rId5600" ref="G2352"/>
    <hyperlink r:id="rId5601" ref="H2352"/>
    <hyperlink r:id="rId5602" ref="F2353"/>
    <hyperlink r:id="rId5603" ref="G2353"/>
    <hyperlink r:id="rId5604" ref="H2353"/>
    <hyperlink r:id="rId5605" ref="F2354"/>
    <hyperlink r:id="rId5606" ref="G2354"/>
    <hyperlink r:id="rId5607" ref="H2354"/>
    <hyperlink r:id="rId5608" ref="G2355"/>
    <hyperlink r:id="rId5609" ref="H2355"/>
    <hyperlink r:id="rId5610" ref="G2356"/>
    <hyperlink r:id="rId5611" ref="H2356"/>
    <hyperlink r:id="rId5612" ref="G2357"/>
    <hyperlink r:id="rId5613" ref="H2357"/>
    <hyperlink r:id="rId5614" ref="G2358"/>
    <hyperlink r:id="rId5615" ref="H2358"/>
    <hyperlink r:id="rId5616" ref="F2359"/>
    <hyperlink r:id="rId5617" ref="G2359"/>
    <hyperlink r:id="rId5618" ref="H2359"/>
    <hyperlink r:id="rId5619" ref="G2360"/>
    <hyperlink r:id="rId5620" ref="H2360"/>
    <hyperlink r:id="rId5621" ref="G2361"/>
    <hyperlink r:id="rId5622" ref="H2361"/>
    <hyperlink r:id="rId5623" ref="G2362"/>
    <hyperlink r:id="rId5624" ref="H2362"/>
    <hyperlink r:id="rId5625" ref="G2363"/>
    <hyperlink r:id="rId5626" ref="H2363"/>
    <hyperlink r:id="rId5627" ref="G2364"/>
    <hyperlink r:id="rId5628" ref="H2364"/>
    <hyperlink r:id="rId5629" ref="G2365"/>
    <hyperlink r:id="rId5630" ref="H2365"/>
    <hyperlink r:id="rId5631" ref="G2366"/>
    <hyperlink r:id="rId5632" ref="H2366"/>
    <hyperlink r:id="rId5633" ref="G2367"/>
    <hyperlink r:id="rId5634" ref="H2367"/>
    <hyperlink r:id="rId5635" ref="G2368"/>
    <hyperlink r:id="rId5636" ref="H2368"/>
    <hyperlink r:id="rId5637" ref="F2369"/>
    <hyperlink r:id="rId5638" ref="G2369"/>
    <hyperlink r:id="rId5639" ref="H2369"/>
    <hyperlink r:id="rId5640" ref="G2370"/>
    <hyperlink r:id="rId5641" ref="H2370"/>
    <hyperlink r:id="rId5642" ref="G2371"/>
    <hyperlink r:id="rId5643" ref="H2371"/>
    <hyperlink r:id="rId5644" ref="G2372"/>
    <hyperlink r:id="rId5645" ref="H2372"/>
    <hyperlink r:id="rId5646" ref="G2373"/>
    <hyperlink r:id="rId5647" ref="H2373"/>
    <hyperlink r:id="rId5648" ref="G2374"/>
    <hyperlink r:id="rId5649" ref="H2374"/>
    <hyperlink r:id="rId5650" ref="F2375"/>
    <hyperlink r:id="rId5651" ref="G2375"/>
    <hyperlink r:id="rId5652" ref="H2375"/>
    <hyperlink r:id="rId5653" ref="G2376"/>
    <hyperlink r:id="rId5654" ref="H2376"/>
    <hyperlink r:id="rId5655" ref="G2377"/>
    <hyperlink r:id="rId5656" ref="H2377"/>
    <hyperlink r:id="rId5657" ref="G2378"/>
    <hyperlink r:id="rId5658" ref="H2378"/>
    <hyperlink r:id="rId5659" ref="G2379"/>
    <hyperlink r:id="rId5660" ref="H2379"/>
    <hyperlink r:id="rId5661" ref="G2380"/>
    <hyperlink r:id="rId5662" ref="H2380"/>
    <hyperlink r:id="rId5663" ref="G2381"/>
    <hyperlink r:id="rId5664" ref="H2381"/>
    <hyperlink r:id="rId5665" ref="G2382"/>
    <hyperlink r:id="rId5666" ref="H2382"/>
    <hyperlink r:id="rId5667" ref="F2383"/>
    <hyperlink r:id="rId5668" ref="G2383"/>
    <hyperlink r:id="rId5669" ref="H2383"/>
    <hyperlink r:id="rId5670" ref="G2384"/>
    <hyperlink r:id="rId5671" ref="H2384"/>
    <hyperlink r:id="rId5672" ref="G2385"/>
    <hyperlink r:id="rId5673" ref="H2385"/>
    <hyperlink r:id="rId5674" ref="G2386"/>
    <hyperlink r:id="rId5675" ref="H2386"/>
    <hyperlink r:id="rId5676" ref="G2387"/>
    <hyperlink r:id="rId5677" ref="H2387"/>
    <hyperlink r:id="rId5678" ref="F2388"/>
    <hyperlink r:id="rId5679" ref="G2388"/>
    <hyperlink r:id="rId5680" ref="H2388"/>
  </hyperlinks>
  <printOptions/>
  <pageMargins bottom="1.0" footer="0.0" header="0.0" left="0.75" right="0.75" top="1.0"/>
  <pageSetup orientation="landscape"/>
  <drawing r:id="rId56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44.14"/>
    <col customWidth="1" min="3" max="3" width="11.86"/>
    <col customWidth="1" min="5" max="5" width="142.0"/>
    <col customWidth="1" min="6" max="6" width="13.57"/>
    <col customWidth="1" min="7" max="7" width="32.86"/>
    <col customWidth="1" min="8" max="8" width="9.14"/>
  </cols>
  <sheetData>
    <row r="1" ht="15.0" customHeight="1">
      <c r="A1" s="2"/>
      <c r="B1" s="2"/>
      <c r="C1" s="2"/>
      <c r="D1" s="2"/>
      <c r="E1" s="2"/>
      <c r="F1" s="2"/>
      <c r="G1" s="2"/>
      <c r="H1" s="2"/>
      <c r="I1" s="2"/>
      <c r="J1" s="2"/>
      <c r="K1" s="2"/>
      <c r="L1" s="2"/>
      <c r="M1" s="2"/>
      <c r="N1" s="2"/>
      <c r="O1" s="2"/>
      <c r="P1" s="2"/>
      <c r="Q1" s="2"/>
      <c r="R1" s="2"/>
      <c r="S1" s="2"/>
      <c r="T1" s="2"/>
      <c r="U1" s="2"/>
      <c r="V1" s="2"/>
      <c r="W1" s="2"/>
      <c r="X1" s="2"/>
      <c r="Y1" s="2"/>
      <c r="Z1" s="2"/>
    </row>
    <row r="2">
      <c r="A2" s="2"/>
      <c r="B2" s="4" t="s">
        <v>11</v>
      </c>
      <c r="J2" s="2"/>
      <c r="K2" s="2"/>
      <c r="L2" s="2"/>
      <c r="M2" s="2"/>
      <c r="N2" s="2"/>
      <c r="O2" s="2"/>
      <c r="P2" s="2"/>
      <c r="Q2" s="2"/>
      <c r="R2" s="2"/>
      <c r="S2" s="2"/>
      <c r="T2" s="2"/>
      <c r="U2" s="2"/>
      <c r="V2" s="2"/>
      <c r="W2" s="2"/>
      <c r="X2" s="2"/>
      <c r="Y2" s="2"/>
      <c r="Z2" s="2"/>
    </row>
    <row r="3">
      <c r="A3" s="2"/>
      <c r="J3" s="2"/>
      <c r="K3" s="2"/>
      <c r="L3" s="2"/>
      <c r="M3" s="2"/>
      <c r="N3" s="2"/>
      <c r="O3" s="2"/>
      <c r="P3" s="2"/>
      <c r="Q3" s="2"/>
      <c r="R3" s="2"/>
      <c r="S3" s="2"/>
      <c r="T3" s="2"/>
      <c r="U3" s="2"/>
      <c r="V3" s="2"/>
      <c r="W3" s="2"/>
      <c r="X3" s="2"/>
      <c r="Y3" s="2"/>
      <c r="Z3" s="2"/>
    </row>
    <row r="4">
      <c r="A4" s="2"/>
      <c r="B4" s="2"/>
      <c r="C4" s="2"/>
      <c r="D4" s="2"/>
      <c r="E4" s="7"/>
      <c r="F4" s="8"/>
      <c r="G4" s="8"/>
      <c r="H4" s="8"/>
      <c r="I4" s="2"/>
      <c r="J4" s="2"/>
      <c r="K4" s="2"/>
      <c r="L4" s="2"/>
      <c r="M4" s="2"/>
      <c r="N4" s="2"/>
      <c r="O4" s="2"/>
      <c r="P4" s="2"/>
      <c r="Q4" s="2"/>
      <c r="R4" s="2"/>
      <c r="S4" s="2"/>
      <c r="T4" s="2"/>
      <c r="U4" s="2"/>
      <c r="V4" s="2"/>
      <c r="W4" s="2"/>
      <c r="X4" s="2"/>
      <c r="Y4" s="2"/>
      <c r="Z4" s="2"/>
    </row>
    <row r="5">
      <c r="A5" s="2"/>
      <c r="B5" s="13" t="str">
        <f>IFERROR(__xludf.DUMMYFUNCTION("QUERY('Imágenes WLE Colombia 2026'!A2:A1503, ""select A, count(A) where A is not null group by A order by count(A) desc label A 'Autor', count(A) 'Total Fotos'"", 0)"),"Autor")</f>
        <v>Autor</v>
      </c>
      <c r="C5" s="13" t="str">
        <f>IFERROR(__xludf.DUMMYFUNCTION("""COMPUTED_VALUE"""),"Total Fotos")</f>
        <v>Total Fotos</v>
      </c>
      <c r="D5" s="2"/>
      <c r="E5" s="2"/>
      <c r="F5" s="2"/>
      <c r="G5" s="2"/>
      <c r="H5" s="2"/>
      <c r="I5" s="2"/>
      <c r="J5" s="2"/>
      <c r="K5" s="2"/>
      <c r="L5" s="2"/>
      <c r="M5" s="2"/>
      <c r="N5" s="2"/>
      <c r="O5" s="2"/>
      <c r="P5" s="2"/>
      <c r="Q5" s="2"/>
      <c r="R5" s="2"/>
      <c r="S5" s="2"/>
      <c r="T5" s="2"/>
      <c r="U5" s="2"/>
      <c r="V5" s="2"/>
      <c r="W5" s="2"/>
      <c r="X5" s="2"/>
      <c r="Y5" s="2"/>
      <c r="Z5" s="2"/>
    </row>
    <row r="6">
      <c r="A6" s="2"/>
      <c r="B6" s="2" t="str">
        <f>IFERROR(__xludf.DUMMYFUNCTION("""COMPUTED_VALUE"""),"AmiGueko")</f>
        <v>AmiGueko</v>
      </c>
      <c r="C6" s="2">
        <f>IFERROR(__xludf.DUMMYFUNCTION("""COMPUTED_VALUE"""),263.0)</f>
        <v>263</v>
      </c>
      <c r="D6" s="2"/>
      <c r="E6" s="2"/>
      <c r="F6" s="2"/>
      <c r="G6" s="2"/>
      <c r="H6" s="2"/>
      <c r="I6" s="2"/>
      <c r="J6" s="2"/>
      <c r="K6" s="2"/>
      <c r="L6" s="2"/>
      <c r="M6" s="2"/>
      <c r="N6" s="2"/>
      <c r="O6" s="2"/>
      <c r="P6" s="2"/>
      <c r="Q6" s="2"/>
      <c r="R6" s="2"/>
      <c r="S6" s="2"/>
      <c r="T6" s="2"/>
      <c r="U6" s="2"/>
      <c r="V6" s="2"/>
      <c r="W6" s="2"/>
      <c r="X6" s="2"/>
      <c r="Y6" s="2"/>
      <c r="Z6" s="2"/>
    </row>
    <row r="7">
      <c r="A7" s="2"/>
      <c r="B7" s="2" t="str">
        <f>IFERROR(__xludf.DUMMYFUNCTION("""COMPUTED_VALUE"""),"Nathaly 1106")</f>
        <v>Nathaly 1106</v>
      </c>
      <c r="C7" s="2">
        <f>IFERROR(__xludf.DUMMYFUNCTION("""COMPUTED_VALUE"""),154.0)</f>
        <v>154</v>
      </c>
      <c r="D7" s="2"/>
      <c r="E7" s="2"/>
      <c r="F7" s="2"/>
      <c r="G7" s="2"/>
      <c r="H7" s="2"/>
      <c r="I7" s="2"/>
      <c r="J7" s="2"/>
      <c r="K7" s="2"/>
      <c r="L7" s="2"/>
      <c r="M7" s="2"/>
      <c r="N7" s="2"/>
      <c r="O7" s="2"/>
      <c r="P7" s="2"/>
      <c r="Q7" s="2"/>
      <c r="R7" s="2"/>
      <c r="S7" s="2"/>
      <c r="T7" s="2"/>
      <c r="U7" s="2"/>
      <c r="V7" s="2"/>
      <c r="W7" s="2"/>
      <c r="X7" s="2"/>
      <c r="Y7" s="2"/>
      <c r="Z7" s="2"/>
    </row>
    <row r="8">
      <c r="A8" s="2"/>
      <c r="B8" s="2" t="str">
        <f>IFERROR(__xludf.DUMMYFUNCTION("""COMPUTED_VALUE"""),"Diferoch")</f>
        <v>Diferoch</v>
      </c>
      <c r="C8" s="2">
        <f>IFERROR(__xludf.DUMMYFUNCTION("""COMPUTED_VALUE"""),143.0)</f>
        <v>143</v>
      </c>
      <c r="D8" s="2"/>
      <c r="E8" s="2"/>
      <c r="F8" s="2"/>
      <c r="G8" s="2"/>
      <c r="H8" s="2"/>
      <c r="I8" s="2"/>
      <c r="J8" s="2"/>
      <c r="K8" s="2"/>
      <c r="L8" s="2"/>
      <c r="M8" s="2"/>
      <c r="N8" s="2"/>
      <c r="O8" s="2"/>
      <c r="P8" s="2"/>
      <c r="Q8" s="2"/>
      <c r="R8" s="2"/>
      <c r="S8" s="2"/>
      <c r="T8" s="2"/>
      <c r="U8" s="2"/>
      <c r="V8" s="2"/>
      <c r="W8" s="2"/>
      <c r="X8" s="2"/>
      <c r="Y8" s="2"/>
      <c r="Z8" s="2"/>
    </row>
    <row r="9">
      <c r="A9" s="2"/>
      <c r="B9" s="2" t="str">
        <f>IFERROR(__xludf.DUMMYFUNCTION("""COMPUTED_VALUE"""),"Johan Andrés Toro")</f>
        <v>Johan Andrés Toro</v>
      </c>
      <c r="C9" s="2">
        <f>IFERROR(__xludf.DUMMYFUNCTION("""COMPUTED_VALUE"""),80.0)</f>
        <v>80</v>
      </c>
      <c r="D9" s="2"/>
      <c r="E9" s="2"/>
      <c r="F9" s="2"/>
      <c r="G9" s="2"/>
      <c r="H9" s="2"/>
      <c r="I9" s="2"/>
      <c r="J9" s="2"/>
      <c r="K9" s="2"/>
      <c r="L9" s="2"/>
      <c r="M9" s="2"/>
      <c r="N9" s="2"/>
      <c r="O9" s="2"/>
      <c r="P9" s="2"/>
      <c r="Q9" s="2"/>
      <c r="R9" s="2"/>
      <c r="S9" s="2"/>
      <c r="T9" s="2"/>
      <c r="U9" s="2"/>
      <c r="V9" s="2"/>
      <c r="W9" s="2"/>
      <c r="X9" s="2"/>
      <c r="Y9" s="2"/>
      <c r="Z9" s="2"/>
    </row>
    <row r="10">
      <c r="A10" s="2"/>
      <c r="B10" s="2" t="str">
        <f>IFERROR(__xludf.DUMMYFUNCTION("""COMPUTED_VALUE"""),"Herme Cantero")</f>
        <v>Herme Cantero</v>
      </c>
      <c r="C10" s="2">
        <f>IFERROR(__xludf.DUMMYFUNCTION("""COMPUTED_VALUE"""),64.0)</f>
        <v>64</v>
      </c>
      <c r="D10" s="2"/>
      <c r="E10" s="2"/>
      <c r="F10" s="2"/>
      <c r="G10" s="2"/>
      <c r="H10" s="2"/>
      <c r="I10" s="2"/>
      <c r="J10" s="2"/>
      <c r="K10" s="2"/>
      <c r="L10" s="2"/>
      <c r="M10" s="2"/>
      <c r="N10" s="2"/>
      <c r="O10" s="2"/>
      <c r="P10" s="2"/>
      <c r="Q10" s="2"/>
      <c r="R10" s="2"/>
      <c r="S10" s="2"/>
      <c r="T10" s="2"/>
      <c r="U10" s="2"/>
      <c r="V10" s="2"/>
      <c r="W10" s="2"/>
      <c r="X10" s="2"/>
      <c r="Y10" s="2"/>
      <c r="Z10" s="2"/>
    </row>
    <row r="11">
      <c r="A11" s="2"/>
      <c r="B11" s="2" t="str">
        <f>IFERROR(__xludf.DUMMYFUNCTION("""COMPUTED_VALUE"""),"Supertita")</f>
        <v>Supertita</v>
      </c>
      <c r="C11" s="2">
        <f>IFERROR(__xludf.DUMMYFUNCTION("""COMPUTED_VALUE"""),62.0)</f>
        <v>62</v>
      </c>
      <c r="D11" s="2"/>
      <c r="E11" s="2"/>
      <c r="F11" s="2"/>
      <c r="G11" s="2"/>
      <c r="H11" s="2"/>
      <c r="I11" s="2"/>
      <c r="J11" s="2"/>
      <c r="K11" s="2"/>
      <c r="L11" s="2"/>
      <c r="M11" s="2"/>
      <c r="N11" s="2"/>
      <c r="O11" s="2"/>
      <c r="P11" s="2"/>
      <c r="Q11" s="2"/>
      <c r="R11" s="2"/>
      <c r="S11" s="2"/>
      <c r="T11" s="2"/>
      <c r="U11" s="2"/>
      <c r="V11" s="2"/>
      <c r="W11" s="2"/>
      <c r="X11" s="2"/>
      <c r="Y11" s="2"/>
      <c r="Z11" s="2"/>
    </row>
    <row r="12">
      <c r="A12" s="2"/>
      <c r="B12" s="2" t="str">
        <f>IFERROR(__xludf.DUMMYFUNCTION("""COMPUTED_VALUE"""),"Nbareschu")</f>
        <v>Nbareschu</v>
      </c>
      <c r="C12" s="2">
        <f>IFERROR(__xludf.DUMMYFUNCTION("""COMPUTED_VALUE"""),47.0)</f>
        <v>47</v>
      </c>
      <c r="D12" s="2"/>
      <c r="E12" s="2"/>
      <c r="F12" s="2"/>
      <c r="G12" s="2"/>
      <c r="H12" s="2"/>
      <c r="I12" s="2"/>
      <c r="J12" s="2"/>
      <c r="K12" s="2"/>
      <c r="L12" s="2"/>
      <c r="M12" s="2"/>
      <c r="N12" s="2"/>
      <c r="O12" s="2"/>
      <c r="P12" s="2"/>
      <c r="Q12" s="2"/>
      <c r="R12" s="2"/>
      <c r="S12" s="2"/>
      <c r="T12" s="2"/>
      <c r="U12" s="2"/>
      <c r="V12" s="2"/>
      <c r="W12" s="2"/>
      <c r="X12" s="2"/>
      <c r="Y12" s="2"/>
      <c r="Z12" s="2"/>
    </row>
    <row r="13">
      <c r="A13" s="2"/>
      <c r="B13" s="2" t="str">
        <f>IFERROR(__xludf.DUMMYFUNCTION("""COMPUTED_VALUE"""),"Mottenpriesterin")</f>
        <v>Mottenpriesterin</v>
      </c>
      <c r="C13" s="2">
        <f>IFERROR(__xludf.DUMMYFUNCTION("""COMPUTED_VALUE"""),38.0)</f>
        <v>38</v>
      </c>
      <c r="D13" s="2"/>
      <c r="E13" s="2"/>
      <c r="F13" s="2"/>
      <c r="G13" s="2"/>
      <c r="H13" s="2"/>
      <c r="I13" s="2"/>
      <c r="J13" s="2"/>
      <c r="K13" s="2"/>
      <c r="L13" s="2"/>
      <c r="M13" s="2"/>
      <c r="N13" s="2"/>
      <c r="O13" s="2"/>
      <c r="P13" s="2"/>
      <c r="Q13" s="2"/>
      <c r="R13" s="2"/>
      <c r="S13" s="2"/>
      <c r="T13" s="2"/>
      <c r="U13" s="2"/>
      <c r="V13" s="2"/>
      <c r="W13" s="2"/>
      <c r="X13" s="2"/>
      <c r="Y13" s="2"/>
      <c r="Z13" s="2"/>
    </row>
    <row r="14">
      <c r="A14" s="2"/>
      <c r="B14" s="2" t="str">
        <f>IFERROR(__xludf.DUMMYFUNCTION("""COMPUTED_VALUE"""),"Noeliachalfoun")</f>
        <v>Noeliachalfoun</v>
      </c>
      <c r="C14" s="2">
        <f>IFERROR(__xludf.DUMMYFUNCTION("""COMPUTED_VALUE"""),37.0)</f>
        <v>37</v>
      </c>
      <c r="D14" s="2"/>
      <c r="E14" s="2"/>
      <c r="F14" s="2"/>
      <c r="G14" s="2"/>
      <c r="H14" s="2"/>
      <c r="I14" s="2"/>
      <c r="J14" s="2"/>
      <c r="K14" s="2"/>
      <c r="L14" s="2"/>
      <c r="M14" s="2"/>
      <c r="N14" s="2"/>
      <c r="O14" s="2"/>
      <c r="P14" s="2"/>
      <c r="Q14" s="2"/>
      <c r="R14" s="2"/>
      <c r="S14" s="2"/>
      <c r="T14" s="2"/>
      <c r="U14" s="2"/>
      <c r="V14" s="2"/>
      <c r="W14" s="2"/>
      <c r="X14" s="2"/>
      <c r="Y14" s="2"/>
      <c r="Z14" s="2"/>
    </row>
    <row r="15">
      <c r="A15" s="2"/>
      <c r="B15" s="2" t="str">
        <f>IFERROR(__xludf.DUMMYFUNCTION("""COMPUTED_VALUE"""),"Joseeem")</f>
        <v>Joseeem</v>
      </c>
      <c r="C15" s="2">
        <f>IFERROR(__xludf.DUMMYFUNCTION("""COMPUTED_VALUE"""),36.0)</f>
        <v>36</v>
      </c>
      <c r="D15" s="2"/>
      <c r="E15" s="2"/>
      <c r="F15" s="2"/>
      <c r="G15" s="2"/>
      <c r="H15" s="2"/>
      <c r="I15" s="2"/>
      <c r="J15" s="2"/>
      <c r="K15" s="2"/>
      <c r="L15" s="2"/>
      <c r="M15" s="2"/>
      <c r="N15" s="2"/>
      <c r="O15" s="2"/>
      <c r="P15" s="2"/>
      <c r="Q15" s="2"/>
      <c r="R15" s="2"/>
      <c r="S15" s="2"/>
      <c r="T15" s="2"/>
      <c r="U15" s="2"/>
      <c r="V15" s="2"/>
      <c r="W15" s="2"/>
      <c r="X15" s="2"/>
      <c r="Y15" s="2"/>
      <c r="Z15" s="2"/>
    </row>
    <row r="16">
      <c r="A16" s="2"/>
      <c r="B16" s="2" t="str">
        <f>IFERROR(__xludf.DUMMYFUNCTION("""COMPUTED_VALUE"""),"Juli 2000 her")</f>
        <v>Juli 2000 her</v>
      </c>
      <c r="C16" s="2">
        <f>IFERROR(__xludf.DUMMYFUNCTION("""COMPUTED_VALUE"""),35.0)</f>
        <v>35</v>
      </c>
      <c r="D16" s="2"/>
      <c r="E16" s="2"/>
      <c r="F16" s="2"/>
      <c r="G16" s="2"/>
      <c r="H16" s="2"/>
      <c r="I16" s="2"/>
      <c r="J16" s="2"/>
      <c r="K16" s="2"/>
      <c r="L16" s="2"/>
      <c r="M16" s="2"/>
      <c r="N16" s="2"/>
      <c r="O16" s="2"/>
      <c r="P16" s="2"/>
      <c r="Q16" s="2"/>
      <c r="R16" s="2"/>
      <c r="S16" s="2"/>
      <c r="T16" s="2"/>
      <c r="U16" s="2"/>
      <c r="V16" s="2"/>
      <c r="W16" s="2"/>
      <c r="X16" s="2"/>
      <c r="Y16" s="2"/>
      <c r="Z16" s="2"/>
    </row>
    <row r="17">
      <c r="A17" s="2"/>
      <c r="B17" s="2" t="str">
        <f>IFERROR(__xludf.DUMMYFUNCTION("""COMPUTED_VALUE"""),"Jedidiahhorne")</f>
        <v>Jedidiahhorne</v>
      </c>
      <c r="C17" s="2">
        <f>IFERROR(__xludf.DUMMYFUNCTION("""COMPUTED_VALUE"""),32.0)</f>
        <v>32</v>
      </c>
      <c r="D17" s="2"/>
      <c r="E17" s="2"/>
      <c r="F17" s="2"/>
      <c r="G17" s="2"/>
      <c r="H17" s="2"/>
      <c r="I17" s="2"/>
      <c r="J17" s="2"/>
      <c r="K17" s="2"/>
      <c r="L17" s="2"/>
      <c r="M17" s="2"/>
      <c r="N17" s="2"/>
      <c r="O17" s="2"/>
      <c r="P17" s="2"/>
      <c r="Q17" s="2"/>
      <c r="R17" s="2"/>
      <c r="S17" s="2"/>
      <c r="T17" s="2"/>
      <c r="U17" s="2"/>
      <c r="V17" s="2"/>
      <c r="W17" s="2"/>
      <c r="X17" s="2"/>
      <c r="Y17" s="2"/>
      <c r="Z17" s="2"/>
    </row>
    <row r="18">
      <c r="A18" s="2"/>
      <c r="B18" s="2" t="str">
        <f>IFERROR(__xludf.DUMMYFUNCTION("""COMPUTED_VALUE"""),"Jhas24.09")</f>
        <v>Jhas24.09</v>
      </c>
      <c r="C18" s="2">
        <f>IFERROR(__xludf.DUMMYFUNCTION("""COMPUTED_VALUE"""),31.0)</f>
        <v>31</v>
      </c>
      <c r="D18" s="2"/>
      <c r="E18" s="2"/>
      <c r="F18" s="2"/>
      <c r="G18" s="2"/>
      <c r="H18" s="2"/>
      <c r="I18" s="2"/>
      <c r="J18" s="2"/>
      <c r="K18" s="2"/>
      <c r="L18" s="2"/>
      <c r="M18" s="2"/>
      <c r="N18" s="2"/>
      <c r="O18" s="2"/>
      <c r="P18" s="2"/>
      <c r="Q18" s="2"/>
      <c r="R18" s="2"/>
      <c r="S18" s="2"/>
      <c r="T18" s="2"/>
      <c r="U18" s="2"/>
      <c r="V18" s="2"/>
      <c r="W18" s="2"/>
      <c r="X18" s="2"/>
      <c r="Y18" s="2"/>
      <c r="Z18" s="2"/>
    </row>
    <row r="19">
      <c r="A19" s="2"/>
      <c r="B19" s="2" t="str">
        <f>IFERROR(__xludf.DUMMYFUNCTION("""COMPUTED_VALUE"""),"Elprofeta91")</f>
        <v>Elprofeta91</v>
      </c>
      <c r="C19" s="2">
        <f>IFERROR(__xludf.DUMMYFUNCTION("""COMPUTED_VALUE"""),29.0)</f>
        <v>29</v>
      </c>
      <c r="D19" s="2"/>
      <c r="E19" s="2"/>
      <c r="F19" s="2"/>
      <c r="G19" s="2"/>
      <c r="H19" s="2"/>
      <c r="I19" s="2"/>
      <c r="J19" s="2"/>
      <c r="K19" s="2"/>
      <c r="L19" s="2"/>
      <c r="M19" s="2"/>
      <c r="N19" s="2"/>
      <c r="O19" s="2"/>
      <c r="P19" s="2"/>
      <c r="Q19" s="2"/>
      <c r="R19" s="2"/>
      <c r="S19" s="2"/>
      <c r="T19" s="2"/>
      <c r="U19" s="2"/>
      <c r="V19" s="2"/>
      <c r="W19" s="2"/>
      <c r="X19" s="2"/>
      <c r="Y19" s="2"/>
      <c r="Z19" s="2"/>
    </row>
    <row r="20">
      <c r="A20" s="2"/>
      <c r="B20" s="2" t="str">
        <f>IFERROR(__xludf.DUMMYFUNCTION("""COMPUTED_VALUE"""),"Mfrancoavellaneda")</f>
        <v>Mfrancoavellaneda</v>
      </c>
      <c r="C20" s="2">
        <f>IFERROR(__xludf.DUMMYFUNCTION("""COMPUTED_VALUE"""),26.0)</f>
        <v>26</v>
      </c>
      <c r="D20" s="2"/>
      <c r="E20" s="2"/>
      <c r="F20" s="2"/>
      <c r="G20" s="2"/>
      <c r="H20" s="2"/>
      <c r="I20" s="2"/>
      <c r="J20" s="2"/>
      <c r="K20" s="2"/>
      <c r="L20" s="2"/>
      <c r="M20" s="2"/>
      <c r="N20" s="2"/>
      <c r="O20" s="2"/>
      <c r="P20" s="2"/>
      <c r="Q20" s="2"/>
      <c r="R20" s="2"/>
      <c r="S20" s="2"/>
      <c r="T20" s="2"/>
      <c r="U20" s="2"/>
      <c r="V20" s="2"/>
      <c r="W20" s="2"/>
      <c r="X20" s="2"/>
      <c r="Y20" s="2"/>
      <c r="Z20" s="2"/>
    </row>
    <row r="21">
      <c r="A21" s="2"/>
      <c r="B21" s="2" t="str">
        <f>IFERROR(__xludf.DUMMYFUNCTION("""COMPUTED_VALUE"""),"NMontoya (WMCO)")</f>
        <v>NMontoya (WMCO)</v>
      </c>
      <c r="C21" s="2">
        <f>IFERROR(__xludf.DUMMYFUNCTION("""COMPUTED_VALUE"""),25.0)</f>
        <v>25</v>
      </c>
      <c r="D21" s="2"/>
      <c r="E21" s="2"/>
      <c r="F21" s="2"/>
      <c r="G21" s="2"/>
      <c r="H21" s="2"/>
      <c r="I21" s="2"/>
      <c r="J21" s="2"/>
      <c r="K21" s="2"/>
      <c r="L21" s="2"/>
      <c r="M21" s="2"/>
      <c r="N21" s="2"/>
      <c r="O21" s="2"/>
      <c r="P21" s="2"/>
      <c r="Q21" s="2"/>
      <c r="R21" s="2"/>
      <c r="S21" s="2"/>
      <c r="T21" s="2"/>
      <c r="U21" s="2"/>
      <c r="V21" s="2"/>
      <c r="W21" s="2"/>
      <c r="X21" s="2"/>
      <c r="Y21" s="2"/>
      <c r="Z21" s="2"/>
    </row>
    <row r="22">
      <c r="A22" s="2"/>
      <c r="B22" s="2" t="str">
        <f>IFERROR(__xludf.DUMMYFUNCTION("""COMPUTED_VALUE"""),"Rodrigomacrophoto")</f>
        <v>Rodrigomacrophoto</v>
      </c>
      <c r="C22" s="2">
        <f>IFERROR(__xludf.DUMMYFUNCTION("""COMPUTED_VALUE"""),25.0)</f>
        <v>25</v>
      </c>
      <c r="D22" s="2"/>
      <c r="E22" s="2"/>
      <c r="F22" s="2"/>
      <c r="G22" s="2"/>
      <c r="H22" s="2"/>
      <c r="I22" s="2"/>
      <c r="J22" s="2"/>
      <c r="K22" s="2"/>
      <c r="L22" s="2"/>
      <c r="M22" s="2"/>
      <c r="N22" s="2"/>
      <c r="O22" s="2"/>
      <c r="P22" s="2"/>
      <c r="Q22" s="2"/>
      <c r="R22" s="2"/>
      <c r="S22" s="2"/>
      <c r="T22" s="2"/>
      <c r="U22" s="2"/>
      <c r="V22" s="2"/>
      <c r="W22" s="2"/>
      <c r="X22" s="2"/>
      <c r="Y22" s="2"/>
      <c r="Z22" s="2"/>
    </row>
    <row r="23">
      <c r="A23" s="2"/>
      <c r="B23" s="2" t="str">
        <f>IFERROR(__xludf.DUMMYFUNCTION("""COMPUTED_VALUE"""),"CHAVESJUAN19")</f>
        <v>CHAVESJUAN19</v>
      </c>
      <c r="C23" s="2">
        <f>IFERROR(__xludf.DUMMYFUNCTION("""COMPUTED_VALUE"""),24.0)</f>
        <v>24</v>
      </c>
      <c r="D23" s="2"/>
      <c r="E23" s="2"/>
      <c r="F23" s="2"/>
      <c r="G23" s="2"/>
      <c r="H23" s="2"/>
      <c r="I23" s="2"/>
      <c r="J23" s="2"/>
      <c r="K23" s="2"/>
      <c r="L23" s="2"/>
      <c r="M23" s="2"/>
      <c r="N23" s="2"/>
      <c r="O23" s="2"/>
      <c r="P23" s="2"/>
      <c r="Q23" s="2"/>
      <c r="R23" s="2"/>
      <c r="S23" s="2"/>
      <c r="T23" s="2"/>
      <c r="U23" s="2"/>
      <c r="V23" s="2"/>
      <c r="W23" s="2"/>
      <c r="X23" s="2"/>
      <c r="Y23" s="2"/>
      <c r="Z23" s="2"/>
    </row>
    <row r="24">
      <c r="A24" s="2"/>
      <c r="B24" s="2" t="str">
        <f>IFERROR(__xludf.DUMMYFUNCTION("""COMPUTED_VALUE"""),"Juanrapave")</f>
        <v>Juanrapave</v>
      </c>
      <c r="C24" s="2">
        <f>IFERROR(__xludf.DUMMYFUNCTION("""COMPUTED_VALUE"""),24.0)</f>
        <v>24</v>
      </c>
      <c r="D24" s="2"/>
      <c r="E24" s="2"/>
      <c r="F24" s="2"/>
      <c r="G24" s="2"/>
      <c r="H24" s="2"/>
      <c r="I24" s="2"/>
      <c r="J24" s="2"/>
      <c r="K24" s="2"/>
      <c r="L24" s="2"/>
      <c r="M24" s="2"/>
      <c r="N24" s="2"/>
      <c r="O24" s="2"/>
      <c r="P24" s="2"/>
      <c r="Q24" s="2"/>
      <c r="R24" s="2"/>
      <c r="S24" s="2"/>
      <c r="T24" s="2"/>
      <c r="U24" s="2"/>
      <c r="V24" s="2"/>
      <c r="W24" s="2"/>
      <c r="X24" s="2"/>
      <c r="Y24" s="2"/>
      <c r="Z24" s="2"/>
    </row>
    <row r="25">
      <c r="A25" s="2"/>
      <c r="B25" s="2" t="str">
        <f>IFERROR(__xludf.DUMMYFUNCTION("""COMPUTED_VALUE"""),"Laupedrazaa")</f>
        <v>Laupedrazaa</v>
      </c>
      <c r="C25" s="2">
        <f>IFERROR(__xludf.DUMMYFUNCTION("""COMPUTED_VALUE"""),23.0)</f>
        <v>23</v>
      </c>
      <c r="D25" s="2"/>
      <c r="E25" s="2"/>
      <c r="F25" s="2"/>
      <c r="G25" s="2"/>
      <c r="H25" s="2"/>
      <c r="I25" s="2"/>
      <c r="J25" s="2"/>
      <c r="K25" s="2"/>
      <c r="L25" s="2"/>
      <c r="M25" s="2"/>
      <c r="N25" s="2"/>
      <c r="O25" s="2"/>
      <c r="P25" s="2"/>
      <c r="Q25" s="2"/>
      <c r="R25" s="2"/>
      <c r="S25" s="2"/>
      <c r="T25" s="2"/>
      <c r="U25" s="2"/>
      <c r="V25" s="2"/>
      <c r="W25" s="2"/>
      <c r="X25" s="2"/>
      <c r="Y25" s="2"/>
      <c r="Z25" s="2"/>
    </row>
    <row r="26">
      <c r="A26" s="2"/>
      <c r="B26" s="2" t="str">
        <f>IFERROR(__xludf.DUMMYFUNCTION("""COMPUTED_VALUE"""),"Allysami2215")</f>
        <v>Allysami2215</v>
      </c>
      <c r="C26" s="2">
        <f>IFERROR(__xludf.DUMMYFUNCTION("""COMPUTED_VALUE"""),22.0)</f>
        <v>22</v>
      </c>
      <c r="D26" s="2"/>
      <c r="E26" s="2"/>
      <c r="F26" s="2"/>
      <c r="G26" s="2"/>
      <c r="H26" s="2"/>
      <c r="I26" s="2"/>
      <c r="J26" s="2"/>
      <c r="K26" s="2"/>
      <c r="L26" s="2"/>
      <c r="M26" s="2"/>
      <c r="N26" s="2"/>
      <c r="O26" s="2"/>
      <c r="P26" s="2"/>
      <c r="Q26" s="2"/>
      <c r="R26" s="2"/>
      <c r="S26" s="2"/>
      <c r="T26" s="2"/>
      <c r="U26" s="2"/>
      <c r="V26" s="2"/>
      <c r="W26" s="2"/>
      <c r="X26" s="2"/>
      <c r="Y26" s="2"/>
      <c r="Z26" s="2"/>
    </row>
    <row r="27">
      <c r="A27" s="2"/>
      <c r="B27" s="2" t="str">
        <f>IFERROR(__xludf.DUMMYFUNCTION("""COMPUTED_VALUE"""),"JJCL09")</f>
        <v>JJCL09</v>
      </c>
      <c r="C27" s="2">
        <f>IFERROR(__xludf.DUMMYFUNCTION("""COMPUTED_VALUE"""),22.0)</f>
        <v>22</v>
      </c>
      <c r="D27" s="2"/>
      <c r="E27" s="2"/>
      <c r="F27" s="2"/>
      <c r="G27" s="2"/>
      <c r="H27" s="2"/>
      <c r="I27" s="2"/>
      <c r="J27" s="2"/>
      <c r="K27" s="2"/>
      <c r="L27" s="2"/>
      <c r="M27" s="2"/>
      <c r="N27" s="2"/>
      <c r="O27" s="2"/>
      <c r="P27" s="2"/>
      <c r="Q27" s="2"/>
      <c r="R27" s="2"/>
      <c r="S27" s="2"/>
      <c r="T27" s="2"/>
      <c r="U27" s="2"/>
      <c r="V27" s="2"/>
      <c r="W27" s="2"/>
      <c r="X27" s="2"/>
      <c r="Y27" s="2"/>
      <c r="Z27" s="2"/>
    </row>
    <row r="28">
      <c r="A28" s="2"/>
      <c r="B28" s="2" t="str">
        <f>IFERROR(__xludf.DUMMYFUNCTION("""COMPUTED_VALUE"""),"XimmoY")</f>
        <v>XimmoY</v>
      </c>
      <c r="C28" s="2">
        <f>IFERROR(__xludf.DUMMYFUNCTION("""COMPUTED_VALUE"""),21.0)</f>
        <v>21</v>
      </c>
      <c r="D28" s="2"/>
      <c r="E28" s="2"/>
      <c r="F28" s="2"/>
      <c r="G28" s="2"/>
      <c r="H28" s="2"/>
      <c r="I28" s="2"/>
      <c r="J28" s="2"/>
      <c r="K28" s="2"/>
      <c r="L28" s="2"/>
      <c r="M28" s="2"/>
      <c r="N28" s="2"/>
      <c r="O28" s="2"/>
      <c r="P28" s="2"/>
      <c r="Q28" s="2"/>
      <c r="R28" s="2"/>
      <c r="S28" s="2"/>
      <c r="T28" s="2"/>
      <c r="U28" s="2"/>
      <c r="V28" s="2"/>
      <c r="W28" s="2"/>
      <c r="X28" s="2"/>
      <c r="Y28" s="2"/>
      <c r="Z28" s="2"/>
    </row>
    <row r="29">
      <c r="A29" s="2"/>
      <c r="B29" s="2" t="str">
        <f>IFERROR(__xludf.DUMMYFUNCTION("""COMPUTED_VALUE"""),"Edwinzerep")</f>
        <v>Edwinzerep</v>
      </c>
      <c r="C29" s="2">
        <f>IFERROR(__xludf.DUMMYFUNCTION("""COMPUTED_VALUE"""),20.0)</f>
        <v>20</v>
      </c>
      <c r="D29" s="2"/>
      <c r="E29" s="2"/>
      <c r="F29" s="2"/>
      <c r="G29" s="2"/>
      <c r="H29" s="2"/>
      <c r="I29" s="2"/>
      <c r="J29" s="2"/>
      <c r="K29" s="2"/>
      <c r="L29" s="2"/>
      <c r="M29" s="2"/>
      <c r="N29" s="2"/>
      <c r="O29" s="2"/>
      <c r="P29" s="2"/>
      <c r="Q29" s="2"/>
      <c r="R29" s="2"/>
      <c r="S29" s="2"/>
      <c r="T29" s="2"/>
      <c r="U29" s="2"/>
      <c r="V29" s="2"/>
      <c r="W29" s="2"/>
      <c r="X29" s="2"/>
      <c r="Y29" s="2"/>
      <c r="Z29" s="2"/>
    </row>
    <row r="30">
      <c r="A30" s="2"/>
      <c r="B30" s="2" t="str">
        <f>IFERROR(__xludf.DUMMYFUNCTION("""COMPUTED_VALUE"""),"Estudiante0001")</f>
        <v>Estudiante0001</v>
      </c>
      <c r="C30" s="2">
        <f>IFERROR(__xludf.DUMMYFUNCTION("""COMPUTED_VALUE"""),20.0)</f>
        <v>20</v>
      </c>
      <c r="D30" s="2"/>
      <c r="E30" s="2"/>
      <c r="F30" s="2"/>
      <c r="G30" s="2"/>
      <c r="H30" s="2"/>
      <c r="I30" s="2"/>
      <c r="J30" s="2"/>
      <c r="K30" s="2"/>
      <c r="L30" s="2"/>
      <c r="M30" s="2"/>
      <c r="N30" s="2"/>
      <c r="O30" s="2"/>
      <c r="P30" s="2"/>
      <c r="Q30" s="2"/>
      <c r="R30" s="2"/>
      <c r="S30" s="2"/>
      <c r="T30" s="2"/>
      <c r="U30" s="2"/>
      <c r="V30" s="2"/>
      <c r="W30" s="2"/>
      <c r="X30" s="2"/>
      <c r="Y30" s="2"/>
      <c r="Z30" s="2"/>
    </row>
    <row r="31">
      <c r="A31" s="2"/>
      <c r="B31" s="2" t="str">
        <f>IFERROR(__xludf.DUMMYFUNCTION("""COMPUTED_VALUE"""),"IvanVillacorte")</f>
        <v>IvanVillacorte</v>
      </c>
      <c r="C31" s="2">
        <f>IFERROR(__xludf.DUMMYFUNCTION("""COMPUTED_VALUE"""),20.0)</f>
        <v>20</v>
      </c>
      <c r="D31" s="2"/>
      <c r="E31" s="2"/>
      <c r="F31" s="2"/>
      <c r="G31" s="2"/>
      <c r="H31" s="2"/>
      <c r="I31" s="2"/>
      <c r="J31" s="2"/>
      <c r="K31" s="2"/>
      <c r="L31" s="2"/>
      <c r="M31" s="2"/>
      <c r="N31" s="2"/>
      <c r="O31" s="2"/>
      <c r="P31" s="2"/>
      <c r="Q31" s="2"/>
      <c r="R31" s="2"/>
      <c r="S31" s="2"/>
      <c r="T31" s="2"/>
      <c r="U31" s="2"/>
      <c r="V31" s="2"/>
      <c r="W31" s="2"/>
      <c r="X31" s="2"/>
      <c r="Y31" s="2"/>
      <c r="Z31" s="2"/>
    </row>
    <row r="32">
      <c r="A32" s="2"/>
      <c r="B32" s="2" t="str">
        <f>IFERROR(__xludf.DUMMYFUNCTION("""COMPUTED_VALUE"""),"NicolleTorresG")</f>
        <v>NicolleTorresG</v>
      </c>
      <c r="C32" s="2">
        <f>IFERROR(__xludf.DUMMYFUNCTION("""COMPUTED_VALUE"""),19.0)</f>
        <v>19</v>
      </c>
      <c r="D32" s="2"/>
      <c r="E32" s="2"/>
      <c r="F32" s="2"/>
      <c r="G32" s="2"/>
      <c r="H32" s="2"/>
      <c r="I32" s="2"/>
      <c r="J32" s="2"/>
      <c r="K32" s="2"/>
      <c r="L32" s="2"/>
      <c r="M32" s="2"/>
      <c r="N32" s="2"/>
      <c r="O32" s="2"/>
      <c r="P32" s="2"/>
      <c r="Q32" s="2"/>
      <c r="R32" s="2"/>
      <c r="S32" s="2"/>
      <c r="T32" s="2"/>
      <c r="U32" s="2"/>
      <c r="V32" s="2"/>
      <c r="W32" s="2"/>
      <c r="X32" s="2"/>
      <c r="Y32" s="2"/>
      <c r="Z32" s="2"/>
    </row>
    <row r="33">
      <c r="A33" s="2"/>
      <c r="B33" s="2" t="str">
        <f>IFERROR(__xludf.DUMMYFUNCTION("""COMPUTED_VALUE"""),"Oscarvelascomora")</f>
        <v>Oscarvelascomora</v>
      </c>
      <c r="C33" s="2">
        <f>IFERROR(__xludf.DUMMYFUNCTION("""COMPUTED_VALUE"""),19.0)</f>
        <v>19</v>
      </c>
      <c r="D33" s="2"/>
      <c r="E33" s="2"/>
      <c r="F33" s="2"/>
      <c r="G33" s="2"/>
      <c r="H33" s="2"/>
      <c r="I33" s="2"/>
      <c r="J33" s="2"/>
      <c r="K33" s="2"/>
      <c r="L33" s="2"/>
      <c r="M33" s="2"/>
      <c r="N33" s="2"/>
      <c r="O33" s="2"/>
      <c r="P33" s="2"/>
      <c r="Q33" s="2"/>
      <c r="R33" s="2"/>
      <c r="S33" s="2"/>
      <c r="T33" s="2"/>
      <c r="U33" s="2"/>
      <c r="V33" s="2"/>
      <c r="W33" s="2"/>
      <c r="X33" s="2"/>
      <c r="Y33" s="2"/>
      <c r="Z33" s="2"/>
    </row>
    <row r="34">
      <c r="A34" s="2"/>
      <c r="B34" s="2" t="str">
        <f>IFERROR(__xludf.DUMMYFUNCTION("""COMPUTED_VALUE"""),"Willandre1194")</f>
        <v>Willandre1194</v>
      </c>
      <c r="C34" s="2">
        <f>IFERROR(__xludf.DUMMYFUNCTION("""COMPUTED_VALUE"""),18.0)</f>
        <v>18</v>
      </c>
      <c r="D34" s="2"/>
      <c r="E34" s="2"/>
      <c r="F34" s="2"/>
      <c r="G34" s="2"/>
      <c r="H34" s="2"/>
      <c r="I34" s="2"/>
      <c r="J34" s="2"/>
      <c r="K34" s="2"/>
      <c r="L34" s="2"/>
      <c r="M34" s="2"/>
      <c r="N34" s="2"/>
      <c r="O34" s="2"/>
      <c r="P34" s="2"/>
      <c r="Q34" s="2"/>
      <c r="R34" s="2"/>
      <c r="S34" s="2"/>
      <c r="T34" s="2"/>
      <c r="U34" s="2"/>
      <c r="V34" s="2"/>
      <c r="W34" s="2"/>
      <c r="X34" s="2"/>
      <c r="Y34" s="2"/>
      <c r="Z34" s="2"/>
    </row>
    <row r="35">
      <c r="A35" s="2"/>
      <c r="B35" s="2" t="str">
        <f>IFERROR(__xludf.DUMMYFUNCTION("""COMPUTED_VALUE"""),"DeibyJk")</f>
        <v>DeibyJk</v>
      </c>
      <c r="C35" s="2">
        <f>IFERROR(__xludf.DUMMYFUNCTION("""COMPUTED_VALUE"""),17.0)</f>
        <v>17</v>
      </c>
      <c r="D35" s="2"/>
      <c r="E35" s="2"/>
      <c r="F35" s="2"/>
      <c r="G35" s="2"/>
      <c r="H35" s="2"/>
      <c r="I35" s="2"/>
      <c r="J35" s="2"/>
      <c r="K35" s="2"/>
      <c r="L35" s="2"/>
      <c r="M35" s="2"/>
      <c r="N35" s="2"/>
      <c r="O35" s="2"/>
      <c r="P35" s="2"/>
      <c r="Q35" s="2"/>
      <c r="R35" s="2"/>
      <c r="S35" s="2"/>
      <c r="T35" s="2"/>
      <c r="U35" s="2"/>
      <c r="V35" s="2"/>
      <c r="W35" s="2"/>
      <c r="X35" s="2"/>
      <c r="Y35" s="2"/>
      <c r="Z35" s="2"/>
    </row>
    <row r="36">
      <c r="A36" s="2"/>
      <c r="B36" s="2" t="str">
        <f>IFERROR(__xludf.DUMMYFUNCTION("""COMPUTED_VALUE"""),"Halleyuncometafotografo")</f>
        <v>Halleyuncometafotografo</v>
      </c>
      <c r="C36" s="2">
        <f>IFERROR(__xludf.DUMMYFUNCTION("""COMPUTED_VALUE"""),17.0)</f>
        <v>17</v>
      </c>
      <c r="D36" s="2"/>
      <c r="E36" s="2"/>
      <c r="F36" s="2"/>
      <c r="G36" s="2"/>
      <c r="H36" s="2"/>
      <c r="I36" s="2"/>
      <c r="J36" s="2"/>
      <c r="K36" s="2"/>
      <c r="L36" s="2"/>
      <c r="M36" s="2"/>
      <c r="N36" s="2"/>
      <c r="O36" s="2"/>
      <c r="P36" s="2"/>
      <c r="Q36" s="2"/>
      <c r="R36" s="2"/>
      <c r="S36" s="2"/>
      <c r="T36" s="2"/>
      <c r="U36" s="2"/>
      <c r="V36" s="2"/>
      <c r="W36" s="2"/>
      <c r="X36" s="2"/>
      <c r="Y36" s="2"/>
      <c r="Z36" s="2"/>
    </row>
    <row r="37">
      <c r="A37" s="2"/>
      <c r="B37" s="2" t="str">
        <f>IFERROR(__xludf.DUMMYFUNCTION("""COMPUTED_VALUE"""),"Charlesjsharp")</f>
        <v>Charlesjsharp</v>
      </c>
      <c r="C37" s="2">
        <f>IFERROR(__xludf.DUMMYFUNCTION("""COMPUTED_VALUE"""),16.0)</f>
        <v>16</v>
      </c>
      <c r="D37" s="2"/>
      <c r="E37" s="2"/>
      <c r="F37" s="2"/>
      <c r="G37" s="2"/>
      <c r="H37" s="2"/>
      <c r="I37" s="2"/>
      <c r="J37" s="2"/>
      <c r="K37" s="2"/>
      <c r="L37" s="2"/>
      <c r="M37" s="2"/>
      <c r="N37" s="2"/>
      <c r="O37" s="2"/>
      <c r="P37" s="2"/>
      <c r="Q37" s="2"/>
      <c r="R37" s="2"/>
      <c r="S37" s="2"/>
      <c r="T37" s="2"/>
      <c r="U37" s="2"/>
      <c r="V37" s="2"/>
      <c r="W37" s="2"/>
      <c r="X37" s="2"/>
      <c r="Y37" s="2"/>
      <c r="Z37" s="2"/>
    </row>
    <row r="38">
      <c r="A38" s="2"/>
      <c r="B38" s="2" t="str">
        <f>IFERROR(__xludf.DUMMYFUNCTION("""COMPUTED_VALUE"""),"Maracome")</f>
        <v>Maracome</v>
      </c>
      <c r="C38" s="2">
        <f>IFERROR(__xludf.DUMMYFUNCTION("""COMPUTED_VALUE"""),15.0)</f>
        <v>15</v>
      </c>
      <c r="D38" s="2"/>
      <c r="E38" s="2"/>
      <c r="F38" s="2"/>
      <c r="G38" s="2"/>
      <c r="H38" s="2"/>
      <c r="I38" s="2"/>
      <c r="J38" s="2"/>
      <c r="K38" s="2"/>
      <c r="L38" s="2"/>
      <c r="M38" s="2"/>
      <c r="N38" s="2"/>
      <c r="O38" s="2"/>
      <c r="P38" s="2"/>
      <c r="Q38" s="2"/>
      <c r="R38" s="2"/>
      <c r="S38" s="2"/>
      <c r="T38" s="2"/>
      <c r="U38" s="2"/>
      <c r="V38" s="2"/>
      <c r="W38" s="2"/>
      <c r="X38" s="2"/>
      <c r="Y38" s="2"/>
      <c r="Z38" s="2"/>
    </row>
    <row r="39">
      <c r="A39" s="2"/>
      <c r="B39" s="2" t="str">
        <f>IFERROR(__xludf.DUMMYFUNCTION("""COMPUTED_VALUE"""),"SebasWork")</f>
        <v>SebasWork</v>
      </c>
      <c r="C39" s="2">
        <f>IFERROR(__xludf.DUMMYFUNCTION("""COMPUTED_VALUE"""),15.0)</f>
        <v>15</v>
      </c>
      <c r="D39" s="2"/>
      <c r="E39" s="2"/>
      <c r="F39" s="2"/>
      <c r="G39" s="2"/>
      <c r="H39" s="2"/>
      <c r="I39" s="2"/>
      <c r="J39" s="2"/>
      <c r="K39" s="2"/>
      <c r="L39" s="2"/>
      <c r="M39" s="2"/>
      <c r="N39" s="2"/>
      <c r="O39" s="2"/>
      <c r="P39" s="2"/>
      <c r="Q39" s="2"/>
      <c r="R39" s="2"/>
      <c r="S39" s="2"/>
      <c r="T39" s="2"/>
      <c r="U39" s="2"/>
      <c r="V39" s="2"/>
      <c r="W39" s="2"/>
      <c r="X39" s="2"/>
      <c r="Y39" s="2"/>
      <c r="Z39" s="2"/>
    </row>
    <row r="40">
      <c r="A40" s="2"/>
      <c r="B40" s="2" t="str">
        <f>IFERROR(__xludf.DUMMYFUNCTION("""COMPUTED_VALUE"""),"Daijiruu")</f>
        <v>Daijiruu</v>
      </c>
      <c r="C40" s="2">
        <f>IFERROR(__xludf.DUMMYFUNCTION("""COMPUTED_VALUE"""),14.0)</f>
        <v>14</v>
      </c>
      <c r="D40" s="2"/>
      <c r="E40" s="2"/>
      <c r="F40" s="2"/>
      <c r="G40" s="2"/>
      <c r="H40" s="2"/>
      <c r="I40" s="2"/>
      <c r="J40" s="2"/>
      <c r="K40" s="2"/>
      <c r="L40" s="2"/>
      <c r="M40" s="2"/>
      <c r="N40" s="2"/>
      <c r="O40" s="2"/>
      <c r="P40" s="2"/>
      <c r="Q40" s="2"/>
      <c r="R40" s="2"/>
      <c r="S40" s="2"/>
      <c r="T40" s="2"/>
      <c r="U40" s="2"/>
      <c r="V40" s="2"/>
      <c r="W40" s="2"/>
      <c r="X40" s="2"/>
      <c r="Y40" s="2"/>
      <c r="Z40" s="2"/>
    </row>
    <row r="41">
      <c r="A41" s="2"/>
      <c r="B41" s="2" t="str">
        <f>IFERROR(__xludf.DUMMYFUNCTION("""COMPUTED_VALUE"""),"Easlava7")</f>
        <v>Easlava7</v>
      </c>
      <c r="C41" s="2">
        <f>IFERROR(__xludf.DUMMYFUNCTION("""COMPUTED_VALUE"""),14.0)</f>
        <v>14</v>
      </c>
      <c r="D41" s="2"/>
      <c r="E41" s="2"/>
      <c r="F41" s="2"/>
      <c r="G41" s="2"/>
      <c r="H41" s="2"/>
      <c r="I41" s="2"/>
      <c r="J41" s="2"/>
      <c r="K41" s="2"/>
      <c r="L41" s="2"/>
      <c r="M41" s="2"/>
      <c r="N41" s="2"/>
      <c r="O41" s="2"/>
      <c r="P41" s="2"/>
      <c r="Q41" s="2"/>
      <c r="R41" s="2"/>
      <c r="S41" s="2"/>
      <c r="T41" s="2"/>
      <c r="U41" s="2"/>
      <c r="V41" s="2"/>
      <c r="W41" s="2"/>
      <c r="X41" s="2"/>
      <c r="Y41" s="2"/>
      <c r="Z41" s="2"/>
    </row>
    <row r="42">
      <c r="A42" s="2"/>
      <c r="B42" s="2" t="str">
        <f>IFERROR(__xludf.DUMMYFUNCTION("""COMPUTED_VALUE"""),"Eumastacidae")</f>
        <v>Eumastacidae</v>
      </c>
      <c r="C42" s="2">
        <f>IFERROR(__xludf.DUMMYFUNCTION("""COMPUTED_VALUE"""),14.0)</f>
        <v>14</v>
      </c>
      <c r="D42" s="2"/>
      <c r="E42" s="2"/>
      <c r="F42" s="2"/>
      <c r="G42" s="2"/>
      <c r="H42" s="2"/>
      <c r="I42" s="2"/>
      <c r="J42" s="2"/>
      <c r="K42" s="2"/>
      <c r="L42" s="2"/>
      <c r="M42" s="2"/>
      <c r="N42" s="2"/>
      <c r="O42" s="2"/>
      <c r="P42" s="2"/>
      <c r="Q42" s="2"/>
      <c r="R42" s="2"/>
      <c r="S42" s="2"/>
      <c r="T42" s="2"/>
      <c r="U42" s="2"/>
      <c r="V42" s="2"/>
      <c r="W42" s="2"/>
      <c r="X42" s="2"/>
      <c r="Y42" s="2"/>
      <c r="Z42" s="2"/>
    </row>
    <row r="43">
      <c r="A43" s="2"/>
      <c r="B43" s="2" t="str">
        <f>IFERROR(__xludf.DUMMYFUNCTION("""COMPUTED_VALUE"""),"Juan Carlos Sáenz Rodríguez")</f>
        <v>Juan Carlos Sáenz Rodríguez</v>
      </c>
      <c r="C43" s="2">
        <f>IFERROR(__xludf.DUMMYFUNCTION("""COMPUTED_VALUE"""),14.0)</f>
        <v>14</v>
      </c>
      <c r="D43" s="2"/>
      <c r="E43" s="2"/>
      <c r="F43" s="2"/>
      <c r="G43" s="2"/>
      <c r="H43" s="2"/>
      <c r="I43" s="2"/>
      <c r="J43" s="2"/>
      <c r="K43" s="2"/>
      <c r="L43" s="2"/>
      <c r="M43" s="2"/>
      <c r="N43" s="2"/>
      <c r="O43" s="2"/>
      <c r="P43" s="2"/>
      <c r="Q43" s="2"/>
      <c r="R43" s="2"/>
      <c r="S43" s="2"/>
      <c r="T43" s="2"/>
      <c r="U43" s="2"/>
      <c r="V43" s="2"/>
      <c r="W43" s="2"/>
      <c r="X43" s="2"/>
      <c r="Y43" s="2"/>
      <c r="Z43" s="2"/>
    </row>
    <row r="44">
      <c r="A44" s="2"/>
      <c r="B44" s="2" t="str">
        <f>IFERROR(__xludf.DUMMYFUNCTION("""COMPUTED_VALUE"""),"NunuAiyi")</f>
        <v>NunuAiyi</v>
      </c>
      <c r="C44" s="2">
        <f>IFERROR(__xludf.DUMMYFUNCTION("""COMPUTED_VALUE"""),14.0)</f>
        <v>14</v>
      </c>
      <c r="D44" s="2"/>
      <c r="E44" s="2"/>
      <c r="F44" s="2"/>
      <c r="G44" s="2"/>
      <c r="H44" s="2"/>
      <c r="I44" s="2"/>
      <c r="J44" s="2"/>
      <c r="K44" s="2"/>
      <c r="L44" s="2"/>
      <c r="M44" s="2"/>
      <c r="N44" s="2"/>
      <c r="O44" s="2"/>
      <c r="P44" s="2"/>
      <c r="Q44" s="2"/>
      <c r="R44" s="2"/>
      <c r="S44" s="2"/>
      <c r="T44" s="2"/>
      <c r="U44" s="2"/>
      <c r="V44" s="2"/>
      <c r="W44" s="2"/>
      <c r="X44" s="2"/>
      <c r="Y44" s="2"/>
      <c r="Z44" s="2"/>
    </row>
    <row r="45">
      <c r="A45" s="2"/>
      <c r="B45" s="2" t="str">
        <f>IFERROR(__xludf.DUMMYFUNCTION("""COMPUTED_VALUE"""),"Peperomia11")</f>
        <v>Peperomia11</v>
      </c>
      <c r="C45" s="2">
        <f>IFERROR(__xludf.DUMMYFUNCTION("""COMPUTED_VALUE"""),14.0)</f>
        <v>14</v>
      </c>
      <c r="D45" s="2"/>
      <c r="E45" s="2"/>
      <c r="F45" s="2"/>
      <c r="G45" s="2"/>
      <c r="H45" s="2"/>
      <c r="I45" s="2"/>
      <c r="J45" s="2"/>
      <c r="K45" s="2"/>
      <c r="L45" s="2"/>
      <c r="M45" s="2"/>
      <c r="N45" s="2"/>
      <c r="O45" s="2"/>
      <c r="P45" s="2"/>
      <c r="Q45" s="2"/>
      <c r="R45" s="2"/>
      <c r="S45" s="2"/>
      <c r="T45" s="2"/>
      <c r="U45" s="2"/>
      <c r="V45" s="2"/>
      <c r="W45" s="2"/>
      <c r="X45" s="2"/>
      <c r="Y45" s="2"/>
      <c r="Z45" s="2"/>
    </row>
    <row r="46">
      <c r="A46" s="2"/>
      <c r="B46" s="2" t="str">
        <f>IFERROR(__xludf.DUMMYFUNCTION("""COMPUTED_VALUE"""),"Vvelashue21")</f>
        <v>Vvelashue21</v>
      </c>
      <c r="C46" s="2">
        <f>IFERROR(__xludf.DUMMYFUNCTION("""COMPUTED_VALUE"""),14.0)</f>
        <v>14</v>
      </c>
      <c r="D46" s="2"/>
      <c r="E46" s="2"/>
      <c r="F46" s="2"/>
      <c r="G46" s="2"/>
      <c r="H46" s="2"/>
      <c r="I46" s="2"/>
      <c r="J46" s="2"/>
      <c r="K46" s="2"/>
      <c r="L46" s="2"/>
      <c r="M46" s="2"/>
      <c r="N46" s="2"/>
      <c r="O46" s="2"/>
      <c r="P46" s="2"/>
      <c r="Q46" s="2"/>
      <c r="R46" s="2"/>
      <c r="S46" s="2"/>
      <c r="T46" s="2"/>
      <c r="U46" s="2"/>
      <c r="V46" s="2"/>
      <c r="W46" s="2"/>
      <c r="X46" s="2"/>
      <c r="Y46" s="2"/>
      <c r="Z46" s="2"/>
    </row>
    <row r="47">
      <c r="A47" s="2"/>
      <c r="B47" s="2" t="str">
        <f>IFERROR(__xludf.DUMMYFUNCTION("""COMPUTED_VALUE"""),"Zolsemiya")</f>
        <v>Zolsemiya</v>
      </c>
      <c r="C47" s="2">
        <f>IFERROR(__xludf.DUMMYFUNCTION("""COMPUTED_VALUE"""),14.0)</f>
        <v>14</v>
      </c>
      <c r="D47" s="2"/>
      <c r="E47" s="2"/>
      <c r="F47" s="2"/>
      <c r="G47" s="2"/>
      <c r="H47" s="2"/>
      <c r="I47" s="2"/>
      <c r="J47" s="2"/>
      <c r="K47" s="2"/>
      <c r="L47" s="2"/>
      <c r="M47" s="2"/>
      <c r="N47" s="2"/>
      <c r="O47" s="2"/>
      <c r="P47" s="2"/>
      <c r="Q47" s="2"/>
      <c r="R47" s="2"/>
      <c r="S47" s="2"/>
      <c r="T47" s="2"/>
      <c r="U47" s="2"/>
      <c r="V47" s="2"/>
      <c r="W47" s="2"/>
      <c r="X47" s="2"/>
      <c r="Y47" s="2"/>
      <c r="Z47" s="2"/>
    </row>
    <row r="48">
      <c r="A48" s="2"/>
      <c r="B48" s="2" t="str">
        <f>IFERROR(__xludf.DUMMYFUNCTION("""COMPUTED_VALUE"""),"Avargasc1")</f>
        <v>Avargasc1</v>
      </c>
      <c r="C48" s="2">
        <f>IFERROR(__xludf.DUMMYFUNCTION("""COMPUTED_VALUE"""),13.0)</f>
        <v>13</v>
      </c>
      <c r="D48" s="2"/>
      <c r="E48" s="2"/>
      <c r="F48" s="2"/>
      <c r="G48" s="2"/>
      <c r="H48" s="2"/>
      <c r="I48" s="2"/>
      <c r="J48" s="2"/>
      <c r="K48" s="2"/>
      <c r="L48" s="2"/>
      <c r="M48" s="2"/>
      <c r="N48" s="2"/>
      <c r="O48" s="2"/>
      <c r="P48" s="2"/>
      <c r="Q48" s="2"/>
      <c r="R48" s="2"/>
      <c r="S48" s="2"/>
      <c r="T48" s="2"/>
      <c r="U48" s="2"/>
      <c r="V48" s="2"/>
      <c r="W48" s="2"/>
      <c r="X48" s="2"/>
      <c r="Y48" s="2"/>
      <c r="Z48" s="2"/>
    </row>
    <row r="49">
      <c r="A49" s="2"/>
      <c r="B49" s="2" t="str">
        <f>IFERROR(__xludf.DUMMYFUNCTION("""COMPUTED_VALUE"""),"JuanitoCISF")</f>
        <v>JuanitoCISF</v>
      </c>
      <c r="C49" s="2">
        <f>IFERROR(__xludf.DUMMYFUNCTION("""COMPUTED_VALUE"""),13.0)</f>
        <v>13</v>
      </c>
      <c r="D49" s="2"/>
      <c r="E49" s="2"/>
      <c r="F49" s="2"/>
      <c r="G49" s="2"/>
      <c r="H49" s="2"/>
      <c r="I49" s="2"/>
      <c r="J49" s="2"/>
      <c r="K49" s="2"/>
      <c r="L49" s="2"/>
      <c r="M49" s="2"/>
      <c r="N49" s="2"/>
      <c r="O49" s="2"/>
      <c r="P49" s="2"/>
      <c r="Q49" s="2"/>
      <c r="R49" s="2"/>
      <c r="S49" s="2"/>
      <c r="T49" s="2"/>
      <c r="U49" s="2"/>
      <c r="V49" s="2"/>
      <c r="W49" s="2"/>
      <c r="X49" s="2"/>
      <c r="Y49" s="2"/>
      <c r="Z49" s="2"/>
    </row>
    <row r="50">
      <c r="A50" s="2"/>
      <c r="B50" s="2" t="str">
        <f>IFERROR(__xludf.DUMMYFUNCTION("""COMPUTED_VALUE"""),"Jukaper23")</f>
        <v>Jukaper23</v>
      </c>
      <c r="C50" s="2">
        <f>IFERROR(__xludf.DUMMYFUNCTION("""COMPUTED_VALUE"""),13.0)</f>
        <v>13</v>
      </c>
      <c r="D50" s="2"/>
      <c r="E50" s="2"/>
      <c r="F50" s="2"/>
      <c r="G50" s="2"/>
      <c r="H50" s="2"/>
      <c r="I50" s="2"/>
      <c r="J50" s="2"/>
      <c r="K50" s="2"/>
      <c r="L50" s="2"/>
      <c r="M50" s="2"/>
      <c r="N50" s="2"/>
      <c r="O50" s="2"/>
      <c r="P50" s="2"/>
      <c r="Q50" s="2"/>
      <c r="R50" s="2"/>
      <c r="S50" s="2"/>
      <c r="T50" s="2"/>
      <c r="U50" s="2"/>
      <c r="V50" s="2"/>
      <c r="W50" s="2"/>
      <c r="X50" s="2"/>
      <c r="Y50" s="2"/>
      <c r="Z50" s="2"/>
    </row>
    <row r="51">
      <c r="A51" s="2"/>
      <c r="B51" s="2" t="str">
        <f>IFERROR(__xludf.DUMMYFUNCTION("""COMPUTED_VALUE"""),"KingJo09")</f>
        <v>KingJo09</v>
      </c>
      <c r="C51" s="2">
        <f>IFERROR(__xludf.DUMMYFUNCTION("""COMPUTED_VALUE"""),13.0)</f>
        <v>13</v>
      </c>
      <c r="D51" s="2"/>
      <c r="E51" s="2"/>
      <c r="F51" s="2"/>
      <c r="G51" s="2"/>
      <c r="H51" s="2"/>
      <c r="I51" s="2"/>
      <c r="J51" s="2"/>
      <c r="K51" s="2"/>
      <c r="L51" s="2"/>
      <c r="M51" s="2"/>
      <c r="N51" s="2"/>
      <c r="O51" s="2"/>
      <c r="P51" s="2"/>
      <c r="Q51" s="2"/>
      <c r="R51" s="2"/>
      <c r="S51" s="2"/>
      <c r="T51" s="2"/>
      <c r="U51" s="2"/>
      <c r="V51" s="2"/>
      <c r="W51" s="2"/>
      <c r="X51" s="2"/>
      <c r="Y51" s="2"/>
      <c r="Z51" s="2"/>
    </row>
    <row r="52">
      <c r="A52" s="2"/>
      <c r="B52" s="2" t="str">
        <f>IFERROR(__xludf.DUMMYFUNCTION("""COMPUTED_VALUE"""),"Natlycu")</f>
        <v>Natlycu</v>
      </c>
      <c r="C52" s="2">
        <f>IFERROR(__xludf.DUMMYFUNCTION("""COMPUTED_VALUE"""),13.0)</f>
        <v>13</v>
      </c>
      <c r="D52" s="2"/>
      <c r="E52" s="2"/>
      <c r="F52" s="2"/>
      <c r="G52" s="2"/>
      <c r="H52" s="2"/>
      <c r="I52" s="2"/>
      <c r="J52" s="2"/>
      <c r="K52" s="2"/>
      <c r="L52" s="2"/>
      <c r="M52" s="2"/>
      <c r="N52" s="2"/>
      <c r="O52" s="2"/>
      <c r="P52" s="2"/>
      <c r="Q52" s="2"/>
      <c r="R52" s="2"/>
      <c r="S52" s="2"/>
      <c r="T52" s="2"/>
      <c r="U52" s="2"/>
      <c r="V52" s="2"/>
      <c r="W52" s="2"/>
      <c r="X52" s="2"/>
      <c r="Y52" s="2"/>
      <c r="Z52" s="2"/>
    </row>
    <row r="53">
      <c r="A53" s="2"/>
      <c r="B53" s="2" t="str">
        <f>IFERROR(__xludf.DUMMYFUNCTION("""COMPUTED_VALUE"""),"Reduvida3")</f>
        <v>Reduvida3</v>
      </c>
      <c r="C53" s="2">
        <f>IFERROR(__xludf.DUMMYFUNCTION("""COMPUTED_VALUE"""),13.0)</f>
        <v>13</v>
      </c>
      <c r="D53" s="2"/>
      <c r="E53" s="2"/>
      <c r="F53" s="2"/>
      <c r="G53" s="2"/>
      <c r="H53" s="2"/>
      <c r="I53" s="2"/>
      <c r="J53" s="2"/>
      <c r="K53" s="2"/>
      <c r="L53" s="2"/>
      <c r="M53" s="2"/>
      <c r="N53" s="2"/>
      <c r="O53" s="2"/>
      <c r="P53" s="2"/>
      <c r="Q53" s="2"/>
      <c r="R53" s="2"/>
      <c r="S53" s="2"/>
      <c r="T53" s="2"/>
      <c r="U53" s="2"/>
      <c r="V53" s="2"/>
      <c r="W53" s="2"/>
      <c r="X53" s="2"/>
      <c r="Y53" s="2"/>
      <c r="Z53" s="2"/>
    </row>
    <row r="54">
      <c r="A54" s="2"/>
      <c r="B54" s="2" t="str">
        <f>IFERROR(__xludf.DUMMYFUNCTION("""COMPUTED_VALUE"""),"Anvar2420")</f>
        <v>Anvar2420</v>
      </c>
      <c r="C54" s="2">
        <f>IFERROR(__xludf.DUMMYFUNCTION("""COMPUTED_VALUE"""),12.0)</f>
        <v>12</v>
      </c>
      <c r="D54" s="2"/>
      <c r="E54" s="2"/>
      <c r="F54" s="2"/>
      <c r="G54" s="2"/>
      <c r="H54" s="2"/>
      <c r="I54" s="2"/>
      <c r="J54" s="2"/>
      <c r="K54" s="2"/>
      <c r="L54" s="2"/>
      <c r="M54" s="2"/>
      <c r="N54" s="2"/>
      <c r="O54" s="2"/>
      <c r="P54" s="2"/>
      <c r="Q54" s="2"/>
      <c r="R54" s="2"/>
      <c r="S54" s="2"/>
      <c r="T54" s="2"/>
      <c r="U54" s="2"/>
      <c r="V54" s="2"/>
      <c r="W54" s="2"/>
      <c r="X54" s="2"/>
      <c r="Y54" s="2"/>
      <c r="Z54" s="2"/>
    </row>
    <row r="55">
      <c r="A55" s="2"/>
      <c r="B55" s="2" t="str">
        <f>IFERROR(__xludf.DUMMYFUNCTION("""COMPUTED_VALUE"""),"MemoOssa")</f>
        <v>MemoOssa</v>
      </c>
      <c r="C55" s="2">
        <f>IFERROR(__xludf.DUMMYFUNCTION("""COMPUTED_VALUE"""),12.0)</f>
        <v>12</v>
      </c>
      <c r="D55" s="2"/>
      <c r="E55" s="2"/>
      <c r="F55" s="2"/>
      <c r="G55" s="2"/>
      <c r="H55" s="2"/>
      <c r="I55" s="2"/>
      <c r="J55" s="2"/>
      <c r="K55" s="2"/>
      <c r="L55" s="2"/>
      <c r="M55" s="2"/>
      <c r="N55" s="2"/>
      <c r="O55" s="2"/>
      <c r="P55" s="2"/>
      <c r="Q55" s="2"/>
      <c r="R55" s="2"/>
      <c r="S55" s="2"/>
      <c r="T55" s="2"/>
      <c r="U55" s="2"/>
      <c r="V55" s="2"/>
      <c r="W55" s="2"/>
      <c r="X55" s="2"/>
      <c r="Y55" s="2"/>
      <c r="Z55" s="2"/>
    </row>
    <row r="56">
      <c r="A56" s="2"/>
      <c r="B56" s="2" t="str">
        <f>IFERROR(__xludf.DUMMYFUNCTION("""COMPUTED_VALUE"""),"Adrianava.yviene")</f>
        <v>Adrianava.yviene</v>
      </c>
      <c r="C56" s="2">
        <f>IFERROR(__xludf.DUMMYFUNCTION("""COMPUTED_VALUE"""),11.0)</f>
        <v>11</v>
      </c>
      <c r="D56" s="2"/>
      <c r="E56" s="2"/>
      <c r="F56" s="2"/>
      <c r="G56" s="2"/>
      <c r="H56" s="2"/>
      <c r="I56" s="2"/>
      <c r="J56" s="2"/>
      <c r="K56" s="2"/>
      <c r="L56" s="2"/>
      <c r="M56" s="2"/>
      <c r="N56" s="2"/>
      <c r="O56" s="2"/>
      <c r="P56" s="2"/>
      <c r="Q56" s="2"/>
      <c r="R56" s="2"/>
      <c r="S56" s="2"/>
      <c r="T56" s="2"/>
      <c r="U56" s="2"/>
      <c r="V56" s="2"/>
      <c r="W56" s="2"/>
      <c r="X56" s="2"/>
      <c r="Y56" s="2"/>
      <c r="Z56" s="2"/>
    </row>
    <row r="57">
      <c r="A57" s="2"/>
      <c r="B57" s="2" t="str">
        <f>IFERROR(__xludf.DUMMYFUNCTION("""COMPUTED_VALUE"""),"Camell32")</f>
        <v>Camell32</v>
      </c>
      <c r="C57" s="2">
        <f>IFERROR(__xludf.DUMMYFUNCTION("""COMPUTED_VALUE"""),11.0)</f>
        <v>11</v>
      </c>
      <c r="D57" s="2"/>
      <c r="E57" s="2"/>
      <c r="F57" s="2"/>
      <c r="G57" s="2"/>
      <c r="H57" s="2"/>
      <c r="I57" s="2"/>
      <c r="J57" s="2"/>
      <c r="K57" s="2"/>
      <c r="L57" s="2"/>
      <c r="M57" s="2"/>
      <c r="N57" s="2"/>
      <c r="O57" s="2"/>
      <c r="P57" s="2"/>
      <c r="Q57" s="2"/>
      <c r="R57" s="2"/>
      <c r="S57" s="2"/>
      <c r="T57" s="2"/>
      <c r="U57" s="2"/>
      <c r="V57" s="2"/>
      <c r="W57" s="2"/>
      <c r="X57" s="2"/>
      <c r="Y57" s="2"/>
      <c r="Z57" s="2"/>
    </row>
    <row r="58">
      <c r="A58" s="2"/>
      <c r="B58" s="2" t="str">
        <f>IFERROR(__xludf.DUMMYFUNCTION("""COMPUTED_VALUE"""),"Juan Antonio Liévano A")</f>
        <v>Juan Antonio Liévano A</v>
      </c>
      <c r="C58" s="2">
        <f>IFERROR(__xludf.DUMMYFUNCTION("""COMPUTED_VALUE"""),11.0)</f>
        <v>11</v>
      </c>
      <c r="D58" s="2"/>
      <c r="E58" s="2"/>
      <c r="F58" s="2"/>
      <c r="G58" s="2"/>
      <c r="H58" s="2"/>
      <c r="I58" s="2"/>
      <c r="J58" s="2"/>
      <c r="K58" s="2"/>
      <c r="L58" s="2"/>
      <c r="M58" s="2"/>
      <c r="N58" s="2"/>
      <c r="O58" s="2"/>
      <c r="P58" s="2"/>
      <c r="Q58" s="2"/>
      <c r="R58" s="2"/>
      <c r="S58" s="2"/>
      <c r="T58" s="2"/>
      <c r="U58" s="2"/>
      <c r="V58" s="2"/>
      <c r="W58" s="2"/>
      <c r="X58" s="2"/>
      <c r="Y58" s="2"/>
      <c r="Z58" s="2"/>
    </row>
    <row r="59">
      <c r="A59" s="2"/>
      <c r="B59" s="2" t="str">
        <f>IFERROR(__xludf.DUMMYFUNCTION("""COMPUTED_VALUE"""),"Mar 21DS")</f>
        <v>Mar 21DS</v>
      </c>
      <c r="C59" s="2">
        <f>IFERROR(__xludf.DUMMYFUNCTION("""COMPUTED_VALUE"""),11.0)</f>
        <v>11</v>
      </c>
      <c r="D59" s="2"/>
      <c r="E59" s="2"/>
      <c r="F59" s="2"/>
      <c r="G59" s="2"/>
      <c r="H59" s="2"/>
      <c r="I59" s="2"/>
      <c r="J59" s="2"/>
      <c r="K59" s="2"/>
      <c r="L59" s="2"/>
      <c r="M59" s="2"/>
      <c r="N59" s="2"/>
      <c r="O59" s="2"/>
      <c r="P59" s="2"/>
      <c r="Q59" s="2"/>
      <c r="R59" s="2"/>
      <c r="S59" s="2"/>
      <c r="T59" s="2"/>
      <c r="U59" s="2"/>
      <c r="V59" s="2"/>
      <c r="W59" s="2"/>
      <c r="X59" s="2"/>
      <c r="Y59" s="2"/>
      <c r="Z59" s="2"/>
    </row>
    <row r="60">
      <c r="A60" s="2"/>
      <c r="B60" s="2" t="str">
        <f>IFERROR(__xludf.DUMMYFUNCTION("""COMPUTED_VALUE"""),"Mig.ast20")</f>
        <v>Mig.ast20</v>
      </c>
      <c r="C60" s="2">
        <f>IFERROR(__xludf.DUMMYFUNCTION("""COMPUTED_VALUE"""),11.0)</f>
        <v>11</v>
      </c>
      <c r="D60" s="2"/>
      <c r="E60" s="2"/>
      <c r="F60" s="2"/>
      <c r="G60" s="2"/>
      <c r="H60" s="2"/>
      <c r="I60" s="2"/>
      <c r="J60" s="2"/>
      <c r="K60" s="2"/>
      <c r="L60" s="2"/>
      <c r="M60" s="2"/>
      <c r="N60" s="2"/>
      <c r="O60" s="2"/>
      <c r="P60" s="2"/>
      <c r="Q60" s="2"/>
      <c r="R60" s="2"/>
      <c r="S60" s="2"/>
      <c r="T60" s="2"/>
      <c r="U60" s="2"/>
      <c r="V60" s="2"/>
      <c r="W60" s="2"/>
      <c r="X60" s="2"/>
      <c r="Y60" s="2"/>
      <c r="Z60" s="2"/>
    </row>
    <row r="61">
      <c r="A61" s="2"/>
      <c r="B61" s="2" t="str">
        <f>IFERROR(__xludf.DUMMYFUNCTION("""COMPUTED_VALUE"""),"Project5443")</f>
        <v>Project5443</v>
      </c>
      <c r="C61" s="2">
        <f>IFERROR(__xludf.DUMMYFUNCTION("""COMPUTED_VALUE"""),11.0)</f>
        <v>11</v>
      </c>
      <c r="D61" s="2"/>
      <c r="E61" s="2"/>
      <c r="F61" s="2"/>
      <c r="G61" s="2"/>
      <c r="H61" s="2"/>
      <c r="I61" s="2"/>
      <c r="J61" s="2"/>
      <c r="K61" s="2"/>
      <c r="L61" s="2"/>
      <c r="M61" s="2"/>
      <c r="N61" s="2"/>
      <c r="O61" s="2"/>
      <c r="P61" s="2"/>
      <c r="Q61" s="2"/>
      <c r="R61" s="2"/>
      <c r="S61" s="2"/>
      <c r="T61" s="2"/>
      <c r="U61" s="2"/>
      <c r="V61" s="2"/>
      <c r="W61" s="2"/>
      <c r="X61" s="2"/>
      <c r="Y61" s="2"/>
      <c r="Z61" s="2"/>
    </row>
    <row r="62">
      <c r="A62" s="2"/>
      <c r="B62" s="2" t="str">
        <f>IFERROR(__xludf.DUMMYFUNCTION("""COMPUTED_VALUE"""),"Romauribe")</f>
        <v>Romauribe</v>
      </c>
      <c r="C62" s="2">
        <f>IFERROR(__xludf.DUMMYFUNCTION("""COMPUTED_VALUE"""),11.0)</f>
        <v>11</v>
      </c>
      <c r="D62" s="2"/>
      <c r="E62" s="2"/>
      <c r="F62" s="2"/>
      <c r="G62" s="2"/>
      <c r="H62" s="2"/>
      <c r="I62" s="2"/>
      <c r="J62" s="2"/>
      <c r="K62" s="2"/>
      <c r="L62" s="2"/>
      <c r="M62" s="2"/>
      <c r="N62" s="2"/>
      <c r="O62" s="2"/>
      <c r="P62" s="2"/>
      <c r="Q62" s="2"/>
      <c r="R62" s="2"/>
      <c r="S62" s="2"/>
      <c r="T62" s="2"/>
      <c r="U62" s="2"/>
      <c r="V62" s="2"/>
      <c r="W62" s="2"/>
      <c r="X62" s="2"/>
      <c r="Y62" s="2"/>
      <c r="Z62" s="2"/>
    </row>
    <row r="63">
      <c r="A63" s="2"/>
      <c r="B63" s="2" t="str">
        <f>IFERROR(__xludf.DUMMYFUNCTION("""COMPUTED_VALUE"""),"Tudum1213")</f>
        <v>Tudum1213</v>
      </c>
      <c r="C63" s="2">
        <f>IFERROR(__xludf.DUMMYFUNCTION("""COMPUTED_VALUE"""),11.0)</f>
        <v>11</v>
      </c>
      <c r="D63" s="2"/>
      <c r="E63" s="2"/>
      <c r="F63" s="2"/>
      <c r="G63" s="2"/>
      <c r="H63" s="2"/>
      <c r="I63" s="2"/>
      <c r="J63" s="2"/>
      <c r="K63" s="2"/>
      <c r="L63" s="2"/>
      <c r="M63" s="2"/>
      <c r="N63" s="2"/>
      <c r="O63" s="2"/>
      <c r="P63" s="2"/>
      <c r="Q63" s="2"/>
      <c r="R63" s="2"/>
      <c r="S63" s="2"/>
      <c r="T63" s="2"/>
      <c r="U63" s="2"/>
      <c r="V63" s="2"/>
      <c r="W63" s="2"/>
      <c r="X63" s="2"/>
      <c r="Y63" s="2"/>
      <c r="Z63" s="2"/>
    </row>
    <row r="64">
      <c r="A64" s="2"/>
      <c r="B64" s="2" t="str">
        <f>IFERROR(__xludf.DUMMYFUNCTION("""COMPUTED_VALUE"""),"XRkstudiox")</f>
        <v>XRkstudiox</v>
      </c>
      <c r="C64" s="2">
        <f>IFERROR(__xludf.DUMMYFUNCTION("""COMPUTED_VALUE"""),11.0)</f>
        <v>11</v>
      </c>
      <c r="D64" s="2"/>
      <c r="E64" s="2"/>
      <c r="F64" s="2"/>
      <c r="G64" s="2"/>
      <c r="H64" s="2"/>
      <c r="I64" s="2"/>
      <c r="J64" s="2"/>
      <c r="K64" s="2"/>
      <c r="L64" s="2"/>
      <c r="M64" s="2"/>
      <c r="N64" s="2"/>
      <c r="O64" s="2"/>
      <c r="P64" s="2"/>
      <c r="Q64" s="2"/>
      <c r="R64" s="2"/>
      <c r="S64" s="2"/>
      <c r="T64" s="2"/>
      <c r="U64" s="2"/>
      <c r="V64" s="2"/>
      <c r="W64" s="2"/>
      <c r="X64" s="2"/>
      <c r="Y64" s="2"/>
      <c r="Z64" s="2"/>
    </row>
    <row r="65">
      <c r="A65" s="2"/>
      <c r="B65" s="2" t="str">
        <f>IFERROR(__xludf.DUMMYFUNCTION("""COMPUTED_VALUE"""),"Yiyi93")</f>
        <v>Yiyi93</v>
      </c>
      <c r="C65" s="2">
        <f>IFERROR(__xludf.DUMMYFUNCTION("""COMPUTED_VALUE"""),11.0)</f>
        <v>11</v>
      </c>
      <c r="D65" s="2"/>
      <c r="E65" s="2"/>
      <c r="F65" s="2"/>
      <c r="G65" s="2"/>
      <c r="H65" s="2"/>
      <c r="I65" s="2"/>
      <c r="J65" s="2"/>
      <c r="K65" s="2"/>
      <c r="L65" s="2"/>
      <c r="M65" s="2"/>
      <c r="N65" s="2"/>
      <c r="O65" s="2"/>
      <c r="P65" s="2"/>
      <c r="Q65" s="2"/>
      <c r="R65" s="2"/>
      <c r="S65" s="2"/>
      <c r="T65" s="2"/>
      <c r="U65" s="2"/>
      <c r="V65" s="2"/>
      <c r="W65" s="2"/>
      <c r="X65" s="2"/>
      <c r="Y65" s="2"/>
      <c r="Z65" s="2"/>
    </row>
    <row r="66">
      <c r="A66" s="2"/>
      <c r="B66" s="2" t="str">
        <f>IFERROR(__xludf.DUMMYFUNCTION("""COMPUTED_VALUE"""),"Alzevi")</f>
        <v>Alzevi</v>
      </c>
      <c r="C66" s="2">
        <f>IFERROR(__xludf.DUMMYFUNCTION("""COMPUTED_VALUE"""),10.0)</f>
        <v>10</v>
      </c>
      <c r="D66" s="2"/>
      <c r="E66" s="2"/>
      <c r="F66" s="2"/>
      <c r="G66" s="2"/>
      <c r="H66" s="2"/>
      <c r="I66" s="2"/>
      <c r="J66" s="2"/>
      <c r="K66" s="2"/>
      <c r="L66" s="2"/>
      <c r="M66" s="2"/>
      <c r="N66" s="2"/>
      <c r="O66" s="2"/>
      <c r="P66" s="2"/>
      <c r="Q66" s="2"/>
      <c r="R66" s="2"/>
      <c r="S66" s="2"/>
      <c r="T66" s="2"/>
      <c r="U66" s="2"/>
      <c r="V66" s="2"/>
      <c r="W66" s="2"/>
      <c r="X66" s="2"/>
      <c r="Y66" s="2"/>
      <c r="Z66" s="2"/>
    </row>
    <row r="67">
      <c r="A67" s="2"/>
      <c r="B67" s="2" t="str">
        <f>IFERROR(__xludf.DUMMYFUNCTION("""COMPUTED_VALUE"""),"Dsjkkms")</f>
        <v>Dsjkkms</v>
      </c>
      <c r="C67" s="2">
        <f>IFERROR(__xludf.DUMMYFUNCTION("""COMPUTED_VALUE"""),10.0)</f>
        <v>10</v>
      </c>
      <c r="D67" s="2"/>
      <c r="E67" s="2"/>
      <c r="F67" s="2"/>
      <c r="G67" s="2"/>
      <c r="H67" s="2"/>
      <c r="I67" s="2"/>
      <c r="J67" s="2"/>
      <c r="K67" s="2"/>
      <c r="L67" s="2"/>
      <c r="M67" s="2"/>
      <c r="N67" s="2"/>
      <c r="O67" s="2"/>
      <c r="P67" s="2"/>
      <c r="Q67" s="2"/>
      <c r="R67" s="2"/>
      <c r="S67" s="2"/>
      <c r="T67" s="2"/>
      <c r="U67" s="2"/>
      <c r="V67" s="2"/>
      <c r="W67" s="2"/>
      <c r="X67" s="2"/>
      <c r="Y67" s="2"/>
      <c r="Z67" s="2"/>
    </row>
    <row r="68">
      <c r="A68" s="2"/>
      <c r="B68" s="2" t="str">
        <f>IFERROR(__xludf.DUMMYFUNCTION("""COMPUTED_VALUE"""),"Karumain")</f>
        <v>Karumain</v>
      </c>
      <c r="C68" s="2">
        <f>IFERROR(__xludf.DUMMYFUNCTION("""COMPUTED_VALUE"""),10.0)</f>
        <v>10</v>
      </c>
      <c r="D68" s="2"/>
      <c r="E68" s="2"/>
      <c r="F68" s="2"/>
      <c r="G68" s="2"/>
      <c r="H68" s="2"/>
      <c r="I68" s="2"/>
      <c r="J68" s="2"/>
      <c r="K68" s="2"/>
      <c r="L68" s="2"/>
      <c r="M68" s="2"/>
      <c r="N68" s="2"/>
      <c r="O68" s="2"/>
      <c r="P68" s="2"/>
      <c r="Q68" s="2"/>
      <c r="R68" s="2"/>
      <c r="S68" s="2"/>
      <c r="T68" s="2"/>
      <c r="U68" s="2"/>
      <c r="V68" s="2"/>
      <c r="W68" s="2"/>
      <c r="X68" s="2"/>
      <c r="Y68" s="2"/>
      <c r="Z68" s="2"/>
    </row>
    <row r="69">
      <c r="A69" s="2"/>
      <c r="B69" s="2" t="str">
        <f>IFERROR(__xludf.DUMMYFUNCTION("""COMPUTED_VALUE"""),"PauMU86")</f>
        <v>PauMU86</v>
      </c>
      <c r="C69" s="2">
        <f>IFERROR(__xludf.DUMMYFUNCTION("""COMPUTED_VALUE"""),10.0)</f>
        <v>10</v>
      </c>
      <c r="D69" s="2"/>
      <c r="E69" s="2"/>
      <c r="F69" s="2"/>
      <c r="G69" s="2"/>
      <c r="H69" s="2"/>
      <c r="I69" s="2"/>
      <c r="J69" s="2"/>
      <c r="K69" s="2"/>
      <c r="L69" s="2"/>
      <c r="M69" s="2"/>
      <c r="N69" s="2"/>
      <c r="O69" s="2"/>
      <c r="P69" s="2"/>
      <c r="Q69" s="2"/>
      <c r="R69" s="2"/>
      <c r="S69" s="2"/>
      <c r="T69" s="2"/>
      <c r="U69" s="2"/>
      <c r="V69" s="2"/>
      <c r="W69" s="2"/>
      <c r="X69" s="2"/>
      <c r="Y69" s="2"/>
      <c r="Z69" s="2"/>
    </row>
    <row r="70">
      <c r="A70" s="2"/>
      <c r="B70" s="2" t="str">
        <f>IFERROR(__xludf.DUMMYFUNCTION("""COMPUTED_VALUE"""),"Alexpanther")</f>
        <v>Alexpanther</v>
      </c>
      <c r="C70" s="2">
        <f>IFERROR(__xludf.DUMMYFUNCTION("""COMPUTED_VALUE"""),9.0)</f>
        <v>9</v>
      </c>
      <c r="D70" s="2"/>
      <c r="E70" s="2"/>
      <c r="F70" s="2"/>
      <c r="G70" s="2"/>
      <c r="H70" s="2"/>
      <c r="I70" s="2"/>
      <c r="J70" s="2"/>
      <c r="K70" s="2"/>
      <c r="L70" s="2"/>
      <c r="M70" s="2"/>
      <c r="N70" s="2"/>
      <c r="O70" s="2"/>
      <c r="P70" s="2"/>
      <c r="Q70" s="2"/>
      <c r="R70" s="2"/>
      <c r="S70" s="2"/>
      <c r="T70" s="2"/>
      <c r="U70" s="2"/>
      <c r="V70" s="2"/>
      <c r="W70" s="2"/>
      <c r="X70" s="2"/>
      <c r="Y70" s="2"/>
      <c r="Z70" s="2"/>
    </row>
    <row r="71">
      <c r="A71" s="2"/>
      <c r="B71" s="2" t="str">
        <f>IFERROR(__xludf.DUMMYFUNCTION("""COMPUTED_VALUE"""),"Dyrt.yis")</f>
        <v>Dyrt.yis</v>
      </c>
      <c r="C71" s="2">
        <f>IFERROR(__xludf.DUMMYFUNCTION("""COMPUTED_VALUE"""),9.0)</f>
        <v>9</v>
      </c>
      <c r="D71" s="2"/>
      <c r="E71" s="2"/>
      <c r="F71" s="2"/>
      <c r="G71" s="2"/>
      <c r="H71" s="2"/>
      <c r="I71" s="2"/>
      <c r="J71" s="2"/>
      <c r="K71" s="2"/>
      <c r="L71" s="2"/>
      <c r="M71" s="2"/>
      <c r="N71" s="2"/>
      <c r="O71" s="2"/>
      <c r="P71" s="2"/>
      <c r="Q71" s="2"/>
      <c r="R71" s="2"/>
      <c r="S71" s="2"/>
      <c r="T71" s="2"/>
      <c r="U71" s="2"/>
      <c r="V71" s="2"/>
      <c r="W71" s="2"/>
      <c r="X71" s="2"/>
      <c r="Y71" s="2"/>
      <c r="Z71" s="2"/>
    </row>
    <row r="72">
      <c r="A72" s="2"/>
      <c r="B72" s="2" t="str">
        <f>IFERROR(__xludf.DUMMYFUNCTION("""COMPUTED_VALUE"""),"JinM143")</f>
        <v>JinM143</v>
      </c>
      <c r="C72" s="2">
        <f>IFERROR(__xludf.DUMMYFUNCTION("""COMPUTED_VALUE"""),9.0)</f>
        <v>9</v>
      </c>
      <c r="D72" s="2"/>
      <c r="E72" s="2"/>
      <c r="F72" s="2"/>
      <c r="G72" s="2"/>
      <c r="H72" s="2"/>
      <c r="I72" s="2"/>
      <c r="J72" s="2"/>
      <c r="K72" s="2"/>
      <c r="L72" s="2"/>
      <c r="M72" s="2"/>
      <c r="N72" s="2"/>
      <c r="O72" s="2"/>
      <c r="P72" s="2"/>
      <c r="Q72" s="2"/>
      <c r="R72" s="2"/>
      <c r="S72" s="2"/>
      <c r="T72" s="2"/>
      <c r="U72" s="2"/>
      <c r="V72" s="2"/>
      <c r="W72" s="2"/>
      <c r="X72" s="2"/>
      <c r="Y72" s="2"/>
      <c r="Z72" s="2"/>
    </row>
    <row r="73">
      <c r="A73" s="2"/>
      <c r="B73" s="2" t="str">
        <f>IFERROR(__xludf.DUMMYFUNCTION("""COMPUTED_VALUE"""),"LentedeBerilo")</f>
        <v>LentedeBerilo</v>
      </c>
      <c r="C73" s="2">
        <f>IFERROR(__xludf.DUMMYFUNCTION("""COMPUTED_VALUE"""),9.0)</f>
        <v>9</v>
      </c>
      <c r="D73" s="2"/>
      <c r="E73" s="2"/>
      <c r="F73" s="2"/>
      <c r="G73" s="2"/>
      <c r="H73" s="2"/>
      <c r="I73" s="2"/>
      <c r="J73" s="2"/>
      <c r="K73" s="2"/>
      <c r="L73" s="2"/>
      <c r="M73" s="2"/>
      <c r="N73" s="2"/>
      <c r="O73" s="2"/>
      <c r="P73" s="2"/>
      <c r="Q73" s="2"/>
      <c r="R73" s="2"/>
      <c r="S73" s="2"/>
      <c r="T73" s="2"/>
      <c r="U73" s="2"/>
      <c r="V73" s="2"/>
      <c r="W73" s="2"/>
      <c r="X73" s="2"/>
      <c r="Y73" s="2"/>
      <c r="Z73" s="2"/>
    </row>
    <row r="74">
      <c r="A74" s="2"/>
      <c r="B74" s="2" t="str">
        <f>IFERROR(__xludf.DUMMYFUNCTION("""COMPUTED_VALUE"""),"Sandramirezgiraldo")</f>
        <v>Sandramirezgiraldo</v>
      </c>
      <c r="C74" s="2">
        <f>IFERROR(__xludf.DUMMYFUNCTION("""COMPUTED_VALUE"""),9.0)</f>
        <v>9</v>
      </c>
      <c r="D74" s="2"/>
      <c r="E74" s="2"/>
      <c r="F74" s="2"/>
      <c r="G74" s="2"/>
      <c r="H74" s="2"/>
      <c r="I74" s="2"/>
      <c r="J74" s="2"/>
      <c r="K74" s="2"/>
      <c r="L74" s="2"/>
      <c r="M74" s="2"/>
      <c r="N74" s="2"/>
      <c r="O74" s="2"/>
      <c r="P74" s="2"/>
      <c r="Q74" s="2"/>
      <c r="R74" s="2"/>
      <c r="S74" s="2"/>
      <c r="T74" s="2"/>
      <c r="U74" s="2"/>
      <c r="V74" s="2"/>
      <c r="W74" s="2"/>
      <c r="X74" s="2"/>
      <c r="Y74" s="2"/>
      <c r="Z74" s="2"/>
    </row>
    <row r="75">
      <c r="A75" s="2"/>
      <c r="B75" s="2" t="str">
        <f>IFERROR(__xludf.DUMMYFUNCTION("""COMPUTED_VALUE"""),"Andres Ggalindo")</f>
        <v>Andres Ggalindo</v>
      </c>
      <c r="C75" s="2">
        <f>IFERROR(__xludf.DUMMYFUNCTION("""COMPUTED_VALUE"""),8.0)</f>
        <v>8</v>
      </c>
      <c r="D75" s="2"/>
      <c r="E75" s="2"/>
      <c r="F75" s="2"/>
      <c r="G75" s="2"/>
      <c r="H75" s="2"/>
      <c r="I75" s="2"/>
      <c r="J75" s="2"/>
      <c r="K75" s="2"/>
      <c r="L75" s="2"/>
      <c r="M75" s="2"/>
      <c r="N75" s="2"/>
      <c r="O75" s="2"/>
      <c r="P75" s="2"/>
      <c r="Q75" s="2"/>
      <c r="R75" s="2"/>
      <c r="S75" s="2"/>
      <c r="T75" s="2"/>
      <c r="U75" s="2"/>
      <c r="V75" s="2"/>
      <c r="W75" s="2"/>
      <c r="X75" s="2"/>
      <c r="Y75" s="2"/>
      <c r="Z75" s="2"/>
    </row>
    <row r="76">
      <c r="A76" s="2"/>
      <c r="B76" s="2" t="str">
        <f>IFERROR(__xludf.DUMMYFUNCTION("""COMPUTED_VALUE"""),"Atomini")</f>
        <v>Atomini</v>
      </c>
      <c r="C76" s="2">
        <f>IFERROR(__xludf.DUMMYFUNCTION("""COMPUTED_VALUE"""),8.0)</f>
        <v>8</v>
      </c>
      <c r="D76" s="2"/>
      <c r="E76" s="2"/>
      <c r="F76" s="2"/>
      <c r="G76" s="2"/>
      <c r="H76" s="2"/>
      <c r="I76" s="2"/>
      <c r="J76" s="2"/>
      <c r="K76" s="2"/>
      <c r="L76" s="2"/>
      <c r="M76" s="2"/>
      <c r="N76" s="2"/>
      <c r="O76" s="2"/>
      <c r="P76" s="2"/>
      <c r="Q76" s="2"/>
      <c r="R76" s="2"/>
      <c r="S76" s="2"/>
      <c r="T76" s="2"/>
      <c r="U76" s="2"/>
      <c r="V76" s="2"/>
      <c r="W76" s="2"/>
      <c r="X76" s="2"/>
      <c r="Y76" s="2"/>
      <c r="Z76" s="2"/>
    </row>
    <row r="77">
      <c r="A77" s="2"/>
      <c r="B77" s="2" t="str">
        <f>IFERROR(__xludf.DUMMYFUNCTION("""COMPUTED_VALUE"""),"Dalacuel")</f>
        <v>Dalacuel</v>
      </c>
      <c r="C77" s="2">
        <f>IFERROR(__xludf.DUMMYFUNCTION("""COMPUTED_VALUE"""),8.0)</f>
        <v>8</v>
      </c>
      <c r="D77" s="2"/>
      <c r="E77" s="2"/>
      <c r="F77" s="2"/>
      <c r="G77" s="2"/>
      <c r="H77" s="2"/>
      <c r="I77" s="2"/>
      <c r="J77" s="2"/>
      <c r="K77" s="2"/>
      <c r="L77" s="2"/>
      <c r="M77" s="2"/>
      <c r="N77" s="2"/>
      <c r="O77" s="2"/>
      <c r="P77" s="2"/>
      <c r="Q77" s="2"/>
      <c r="R77" s="2"/>
      <c r="S77" s="2"/>
      <c r="T77" s="2"/>
      <c r="U77" s="2"/>
      <c r="V77" s="2"/>
      <c r="W77" s="2"/>
      <c r="X77" s="2"/>
      <c r="Y77" s="2"/>
      <c r="Z77" s="2"/>
    </row>
    <row r="78">
      <c r="A78" s="2"/>
      <c r="B78" s="2" t="str">
        <f>IFERROR(__xludf.DUMMYFUNCTION("""COMPUTED_VALUE"""),"Leo123qwerty")</f>
        <v>Leo123qwerty</v>
      </c>
      <c r="C78" s="2">
        <f>IFERROR(__xludf.DUMMYFUNCTION("""COMPUTED_VALUE"""),8.0)</f>
        <v>8</v>
      </c>
      <c r="D78" s="2"/>
      <c r="E78" s="2"/>
      <c r="F78" s="2"/>
      <c r="G78" s="2"/>
      <c r="H78" s="2"/>
      <c r="I78" s="2"/>
      <c r="J78" s="2"/>
      <c r="K78" s="2"/>
      <c r="L78" s="2"/>
      <c r="M78" s="2"/>
      <c r="N78" s="2"/>
      <c r="O78" s="2"/>
      <c r="P78" s="2"/>
      <c r="Q78" s="2"/>
      <c r="R78" s="2"/>
      <c r="S78" s="2"/>
      <c r="T78" s="2"/>
      <c r="U78" s="2"/>
      <c r="V78" s="2"/>
      <c r="W78" s="2"/>
      <c r="X78" s="2"/>
      <c r="Y78" s="2"/>
      <c r="Z78" s="2"/>
    </row>
    <row r="79">
      <c r="A79" s="2"/>
      <c r="B79" s="2" t="str">
        <f>IFERROR(__xludf.DUMMYFUNCTION("""COMPUTED_VALUE"""),"Luisalberto p")</f>
        <v>Luisalberto p</v>
      </c>
      <c r="C79" s="2">
        <f>IFERROR(__xludf.DUMMYFUNCTION("""COMPUTED_VALUE"""),8.0)</f>
        <v>8</v>
      </c>
      <c r="D79" s="2"/>
      <c r="E79" s="2"/>
      <c r="F79" s="2"/>
      <c r="G79" s="2"/>
      <c r="H79" s="2"/>
      <c r="I79" s="2"/>
      <c r="J79" s="2"/>
      <c r="K79" s="2"/>
      <c r="L79" s="2"/>
      <c r="M79" s="2"/>
      <c r="N79" s="2"/>
      <c r="O79" s="2"/>
      <c r="P79" s="2"/>
      <c r="Q79" s="2"/>
      <c r="R79" s="2"/>
      <c r="S79" s="2"/>
      <c r="T79" s="2"/>
      <c r="U79" s="2"/>
      <c r="V79" s="2"/>
      <c r="W79" s="2"/>
      <c r="X79" s="2"/>
      <c r="Y79" s="2"/>
      <c r="Z79" s="2"/>
    </row>
    <row r="80">
      <c r="A80" s="2"/>
      <c r="B80" s="2" t="str">
        <f>IFERROR(__xludf.DUMMYFUNCTION("""COMPUTED_VALUE"""),"Munigarro")</f>
        <v>Munigarro</v>
      </c>
      <c r="C80" s="2">
        <f>IFERROR(__xludf.DUMMYFUNCTION("""COMPUTED_VALUE"""),8.0)</f>
        <v>8</v>
      </c>
      <c r="D80" s="2"/>
      <c r="E80" s="2"/>
      <c r="F80" s="2"/>
      <c r="G80" s="2"/>
      <c r="H80" s="2"/>
      <c r="I80" s="2"/>
      <c r="J80" s="2"/>
      <c r="K80" s="2"/>
      <c r="L80" s="2"/>
      <c r="M80" s="2"/>
      <c r="N80" s="2"/>
      <c r="O80" s="2"/>
      <c r="P80" s="2"/>
      <c r="Q80" s="2"/>
      <c r="R80" s="2"/>
      <c r="S80" s="2"/>
      <c r="T80" s="2"/>
      <c r="U80" s="2"/>
      <c r="V80" s="2"/>
      <c r="W80" s="2"/>
      <c r="X80" s="2"/>
      <c r="Y80" s="2"/>
      <c r="Z80" s="2"/>
    </row>
    <row r="81">
      <c r="A81" s="2"/>
      <c r="B81" s="2" t="str">
        <f>IFERROR(__xludf.DUMMYFUNCTION("""COMPUTED_VALUE"""),"Sebastian Durango")</f>
        <v>Sebastian Durango</v>
      </c>
      <c r="C81" s="2">
        <f>IFERROR(__xludf.DUMMYFUNCTION("""COMPUTED_VALUE"""),8.0)</f>
        <v>8</v>
      </c>
      <c r="D81" s="2"/>
      <c r="E81" s="2"/>
      <c r="F81" s="2"/>
      <c r="G81" s="2"/>
      <c r="H81" s="2"/>
      <c r="I81" s="2"/>
      <c r="J81" s="2"/>
      <c r="K81" s="2"/>
      <c r="L81" s="2"/>
      <c r="M81" s="2"/>
      <c r="N81" s="2"/>
      <c r="O81" s="2"/>
      <c r="P81" s="2"/>
      <c r="Q81" s="2"/>
      <c r="R81" s="2"/>
      <c r="S81" s="2"/>
      <c r="T81" s="2"/>
      <c r="U81" s="2"/>
      <c r="V81" s="2"/>
      <c r="W81" s="2"/>
      <c r="X81" s="2"/>
      <c r="Y81" s="2"/>
      <c r="Z81" s="2"/>
    </row>
    <row r="82">
      <c r="A82" s="2"/>
      <c r="B82" s="2" t="str">
        <f>IFERROR(__xludf.DUMMYFUNCTION("""COMPUTED_VALUE"""),"SergiXCX")</f>
        <v>SergiXCX</v>
      </c>
      <c r="C82" s="2">
        <f>IFERROR(__xludf.DUMMYFUNCTION("""COMPUTED_VALUE"""),8.0)</f>
        <v>8</v>
      </c>
      <c r="D82" s="2"/>
      <c r="E82" s="2"/>
      <c r="F82" s="2"/>
      <c r="G82" s="2"/>
      <c r="H82" s="2"/>
      <c r="I82" s="2"/>
      <c r="J82" s="2"/>
      <c r="K82" s="2"/>
      <c r="L82" s="2"/>
      <c r="M82" s="2"/>
      <c r="N82" s="2"/>
      <c r="O82" s="2"/>
      <c r="P82" s="2"/>
      <c r="Q82" s="2"/>
      <c r="R82" s="2"/>
      <c r="S82" s="2"/>
      <c r="T82" s="2"/>
      <c r="U82" s="2"/>
      <c r="V82" s="2"/>
      <c r="W82" s="2"/>
      <c r="X82" s="2"/>
      <c r="Y82" s="2"/>
      <c r="Z82" s="2"/>
    </row>
    <row r="83">
      <c r="A83" s="2"/>
      <c r="B83" s="2" t="str">
        <f>IFERROR(__xludf.DUMMYFUNCTION("""COMPUTED_VALUE"""),"Adrianvargasag")</f>
        <v>Adrianvargasag</v>
      </c>
      <c r="C83" s="2">
        <f>IFERROR(__xludf.DUMMYFUNCTION("""COMPUTED_VALUE"""),7.0)</f>
        <v>7</v>
      </c>
      <c r="D83" s="2"/>
      <c r="E83" s="2"/>
      <c r="F83" s="2"/>
      <c r="G83" s="2"/>
      <c r="H83" s="2"/>
      <c r="I83" s="2"/>
      <c r="J83" s="2"/>
      <c r="K83" s="2"/>
      <c r="L83" s="2"/>
      <c r="M83" s="2"/>
      <c r="N83" s="2"/>
      <c r="O83" s="2"/>
      <c r="P83" s="2"/>
      <c r="Q83" s="2"/>
      <c r="R83" s="2"/>
      <c r="S83" s="2"/>
      <c r="T83" s="2"/>
      <c r="U83" s="2"/>
      <c r="V83" s="2"/>
      <c r="W83" s="2"/>
      <c r="X83" s="2"/>
      <c r="Y83" s="2"/>
      <c r="Z83" s="2"/>
    </row>
    <row r="84">
      <c r="A84" s="2"/>
      <c r="B84" s="2" t="str">
        <f>IFERROR(__xludf.DUMMYFUNCTION("""COMPUTED_VALUE"""),"AlbruMar")</f>
        <v>AlbruMar</v>
      </c>
      <c r="C84" s="2">
        <f>IFERROR(__xludf.DUMMYFUNCTION("""COMPUTED_VALUE"""),7.0)</f>
        <v>7</v>
      </c>
      <c r="D84" s="2"/>
      <c r="E84" s="2"/>
      <c r="F84" s="2"/>
      <c r="G84" s="2"/>
      <c r="H84" s="2"/>
      <c r="I84" s="2"/>
      <c r="J84" s="2"/>
      <c r="K84" s="2"/>
      <c r="L84" s="2"/>
      <c r="M84" s="2"/>
      <c r="N84" s="2"/>
      <c r="O84" s="2"/>
      <c r="P84" s="2"/>
      <c r="Q84" s="2"/>
      <c r="R84" s="2"/>
      <c r="S84" s="2"/>
      <c r="T84" s="2"/>
      <c r="U84" s="2"/>
      <c r="V84" s="2"/>
      <c r="W84" s="2"/>
      <c r="X84" s="2"/>
      <c r="Y84" s="2"/>
      <c r="Z84" s="2"/>
    </row>
    <row r="85">
      <c r="A85" s="2"/>
      <c r="B85" s="2" t="str">
        <f>IFERROR(__xludf.DUMMYFUNCTION("""COMPUTED_VALUE"""),"ColombianFibonacci")</f>
        <v>ColombianFibonacci</v>
      </c>
      <c r="C85" s="2">
        <f>IFERROR(__xludf.DUMMYFUNCTION("""COMPUTED_VALUE"""),7.0)</f>
        <v>7</v>
      </c>
      <c r="D85" s="2"/>
      <c r="E85" s="2"/>
      <c r="F85" s="2"/>
      <c r="G85" s="2"/>
      <c r="H85" s="2"/>
      <c r="I85" s="2"/>
      <c r="J85" s="2"/>
      <c r="K85" s="2"/>
      <c r="L85" s="2"/>
      <c r="M85" s="2"/>
      <c r="N85" s="2"/>
      <c r="O85" s="2"/>
      <c r="P85" s="2"/>
      <c r="Q85" s="2"/>
      <c r="R85" s="2"/>
      <c r="S85" s="2"/>
      <c r="T85" s="2"/>
      <c r="U85" s="2"/>
      <c r="V85" s="2"/>
      <c r="W85" s="2"/>
      <c r="X85" s="2"/>
      <c r="Y85" s="2"/>
      <c r="Z85" s="2"/>
    </row>
    <row r="86">
      <c r="A86" s="2"/>
      <c r="B86" s="2" t="str">
        <f>IFERROR(__xludf.DUMMYFUNCTION("""COMPUTED_VALUE"""),"Luifereduardoo")</f>
        <v>Luifereduardoo</v>
      </c>
      <c r="C86" s="2">
        <f>IFERROR(__xludf.DUMMYFUNCTION("""COMPUTED_VALUE"""),7.0)</f>
        <v>7</v>
      </c>
      <c r="D86" s="2"/>
      <c r="E86" s="2"/>
      <c r="F86" s="2"/>
      <c r="G86" s="2"/>
      <c r="H86" s="2"/>
      <c r="I86" s="2"/>
      <c r="J86" s="2"/>
      <c r="K86" s="2"/>
      <c r="L86" s="2"/>
      <c r="M86" s="2"/>
      <c r="N86" s="2"/>
      <c r="O86" s="2"/>
      <c r="P86" s="2"/>
      <c r="Q86" s="2"/>
      <c r="R86" s="2"/>
      <c r="S86" s="2"/>
      <c r="T86" s="2"/>
      <c r="U86" s="2"/>
      <c r="V86" s="2"/>
      <c r="W86" s="2"/>
      <c r="X86" s="2"/>
      <c r="Y86" s="2"/>
      <c r="Z86" s="2"/>
    </row>
    <row r="87">
      <c r="A87" s="2"/>
      <c r="B87" s="2" t="str">
        <f>IFERROR(__xludf.DUMMYFUNCTION("""COMPUTED_VALUE"""),"Maarianacruzm")</f>
        <v>Maarianacruzm</v>
      </c>
      <c r="C87" s="2">
        <f>IFERROR(__xludf.DUMMYFUNCTION("""COMPUTED_VALUE"""),7.0)</f>
        <v>7</v>
      </c>
      <c r="D87" s="2"/>
      <c r="E87" s="2"/>
      <c r="F87" s="2"/>
      <c r="G87" s="2"/>
      <c r="H87" s="2"/>
      <c r="I87" s="2"/>
      <c r="J87" s="2"/>
      <c r="K87" s="2"/>
      <c r="L87" s="2"/>
      <c r="M87" s="2"/>
      <c r="N87" s="2"/>
      <c r="O87" s="2"/>
      <c r="P87" s="2"/>
      <c r="Q87" s="2"/>
      <c r="R87" s="2"/>
      <c r="S87" s="2"/>
      <c r="T87" s="2"/>
      <c r="U87" s="2"/>
      <c r="V87" s="2"/>
      <c r="W87" s="2"/>
      <c r="X87" s="2"/>
      <c r="Y87" s="2"/>
      <c r="Z87" s="2"/>
    </row>
    <row r="88">
      <c r="A88" s="2"/>
      <c r="B88" s="2" t="str">
        <f>IFERROR(__xludf.DUMMYFUNCTION("""COMPUTED_VALUE"""),"Mathias David P")</f>
        <v>Mathias David P</v>
      </c>
      <c r="C88" s="2">
        <f>IFERROR(__xludf.DUMMYFUNCTION("""COMPUTED_VALUE"""),7.0)</f>
        <v>7</v>
      </c>
      <c r="D88" s="2"/>
      <c r="E88" s="2"/>
      <c r="F88" s="2"/>
      <c r="G88" s="2"/>
      <c r="H88" s="2"/>
      <c r="I88" s="2"/>
      <c r="J88" s="2"/>
      <c r="K88" s="2"/>
      <c r="L88" s="2"/>
      <c r="M88" s="2"/>
      <c r="N88" s="2"/>
      <c r="O88" s="2"/>
      <c r="P88" s="2"/>
      <c r="Q88" s="2"/>
      <c r="R88" s="2"/>
      <c r="S88" s="2"/>
      <c r="T88" s="2"/>
      <c r="U88" s="2"/>
      <c r="V88" s="2"/>
      <c r="W88" s="2"/>
      <c r="X88" s="2"/>
      <c r="Y88" s="2"/>
      <c r="Z88" s="2"/>
    </row>
    <row r="89">
      <c r="A89" s="2"/>
      <c r="B89" s="2" t="str">
        <f>IFERROR(__xludf.DUMMYFUNCTION("""COMPUTED_VALUE"""),"Maximo10momeridio")</f>
        <v>Maximo10momeridio</v>
      </c>
      <c r="C89" s="2">
        <f>IFERROR(__xludf.DUMMYFUNCTION("""COMPUTED_VALUE"""),7.0)</f>
        <v>7</v>
      </c>
      <c r="D89" s="2"/>
      <c r="E89" s="2"/>
      <c r="F89" s="2"/>
      <c r="G89" s="2"/>
      <c r="H89" s="2"/>
      <c r="I89" s="2"/>
      <c r="J89" s="2"/>
      <c r="K89" s="2"/>
      <c r="L89" s="2"/>
      <c r="M89" s="2"/>
      <c r="N89" s="2"/>
      <c r="O89" s="2"/>
      <c r="P89" s="2"/>
      <c r="Q89" s="2"/>
      <c r="R89" s="2"/>
      <c r="S89" s="2"/>
      <c r="T89" s="2"/>
      <c r="U89" s="2"/>
      <c r="V89" s="2"/>
      <c r="W89" s="2"/>
      <c r="X89" s="2"/>
      <c r="Y89" s="2"/>
      <c r="Z89" s="2"/>
    </row>
    <row r="90">
      <c r="A90" s="2"/>
      <c r="B90" s="2" t="str">
        <f>IFERROR(__xludf.DUMMYFUNCTION("""COMPUTED_VALUE"""),"NataMendietaOrtega")</f>
        <v>NataMendietaOrtega</v>
      </c>
      <c r="C90" s="2">
        <f>IFERROR(__xludf.DUMMYFUNCTION("""COMPUTED_VALUE"""),7.0)</f>
        <v>7</v>
      </c>
      <c r="D90" s="2"/>
      <c r="E90" s="2"/>
      <c r="F90" s="2"/>
      <c r="G90" s="2"/>
      <c r="H90" s="2"/>
      <c r="I90" s="2"/>
      <c r="J90" s="2"/>
      <c r="K90" s="2"/>
      <c r="L90" s="2"/>
      <c r="M90" s="2"/>
      <c r="N90" s="2"/>
      <c r="O90" s="2"/>
      <c r="P90" s="2"/>
      <c r="Q90" s="2"/>
      <c r="R90" s="2"/>
      <c r="S90" s="2"/>
      <c r="T90" s="2"/>
      <c r="U90" s="2"/>
      <c r="V90" s="2"/>
      <c r="W90" s="2"/>
      <c r="X90" s="2"/>
      <c r="Y90" s="2"/>
      <c r="Z90" s="2"/>
    </row>
    <row r="91">
      <c r="A91" s="2"/>
      <c r="B91" s="2" t="str">
        <f>IFERROR(__xludf.DUMMYFUNCTION("""COMPUTED_VALUE"""),"Sanfelpa")</f>
        <v>Sanfelpa</v>
      </c>
      <c r="C91" s="2">
        <f>IFERROR(__xludf.DUMMYFUNCTION("""COMPUTED_VALUE"""),7.0)</f>
        <v>7</v>
      </c>
      <c r="D91" s="2"/>
      <c r="E91" s="2"/>
      <c r="F91" s="2"/>
      <c r="G91" s="2"/>
      <c r="H91" s="2"/>
      <c r="I91" s="2"/>
      <c r="J91" s="2"/>
      <c r="K91" s="2"/>
      <c r="L91" s="2"/>
      <c r="M91" s="2"/>
      <c r="N91" s="2"/>
      <c r="O91" s="2"/>
      <c r="P91" s="2"/>
      <c r="Q91" s="2"/>
      <c r="R91" s="2"/>
      <c r="S91" s="2"/>
      <c r="T91" s="2"/>
      <c r="U91" s="2"/>
      <c r="V91" s="2"/>
      <c r="W91" s="2"/>
      <c r="X91" s="2"/>
      <c r="Y91" s="2"/>
      <c r="Z91" s="2"/>
    </row>
    <row r="92">
      <c r="A92" s="2"/>
      <c r="B92" s="21" t="str">
        <f>IFERROR(__xludf.DUMMYFUNCTION("""COMPUTED_VALUE"""),"Bioedna.ro")</f>
        <v>Bioedna.ro</v>
      </c>
      <c r="C92" s="2">
        <f>IFERROR(__xludf.DUMMYFUNCTION("""COMPUTED_VALUE"""),6.0)</f>
        <v>6</v>
      </c>
      <c r="D92" s="2"/>
      <c r="E92" s="2"/>
      <c r="F92" s="2"/>
      <c r="G92" s="2"/>
      <c r="H92" s="2"/>
      <c r="I92" s="2"/>
      <c r="J92" s="2"/>
      <c r="K92" s="2"/>
      <c r="L92" s="2"/>
      <c r="M92" s="2"/>
      <c r="N92" s="2"/>
      <c r="O92" s="2"/>
      <c r="P92" s="2"/>
      <c r="Q92" s="2"/>
      <c r="R92" s="2"/>
      <c r="S92" s="2"/>
      <c r="T92" s="2"/>
      <c r="U92" s="2"/>
      <c r="V92" s="2"/>
      <c r="W92" s="2"/>
      <c r="X92" s="2"/>
      <c r="Y92" s="2"/>
      <c r="Z92" s="2"/>
    </row>
    <row r="93">
      <c r="A93" s="2"/>
      <c r="B93" s="2" t="str">
        <f>IFERROR(__xludf.DUMMYFUNCTION("""COMPUTED_VALUE"""),"C0MC25")</f>
        <v>C0MC25</v>
      </c>
      <c r="C93" s="2">
        <f>IFERROR(__xludf.DUMMYFUNCTION("""COMPUTED_VALUE"""),6.0)</f>
        <v>6</v>
      </c>
      <c r="D93" s="2"/>
      <c r="E93" s="2"/>
      <c r="F93" s="2"/>
      <c r="G93" s="2"/>
      <c r="H93" s="2"/>
      <c r="I93" s="2"/>
      <c r="J93" s="2"/>
      <c r="K93" s="2"/>
      <c r="L93" s="2"/>
      <c r="M93" s="2"/>
      <c r="N93" s="2"/>
      <c r="O93" s="2"/>
      <c r="P93" s="2"/>
      <c r="Q93" s="2"/>
      <c r="R93" s="2"/>
      <c r="S93" s="2"/>
      <c r="T93" s="2"/>
      <c r="U93" s="2"/>
      <c r="V93" s="2"/>
      <c r="W93" s="2"/>
      <c r="X93" s="2"/>
      <c r="Y93" s="2"/>
      <c r="Z93" s="2"/>
    </row>
    <row r="94">
      <c r="A94" s="2"/>
      <c r="B94" s="2" t="str">
        <f>IFERROR(__xludf.DUMMYFUNCTION("""COMPUTED_VALUE"""),"Claudia.L Rueda.L")</f>
        <v>Claudia.L Rueda.L</v>
      </c>
      <c r="C94" s="2">
        <f>IFERROR(__xludf.DUMMYFUNCTION("""COMPUTED_VALUE"""),6.0)</f>
        <v>6</v>
      </c>
      <c r="D94" s="2"/>
      <c r="E94" s="2"/>
      <c r="F94" s="2"/>
      <c r="G94" s="2"/>
      <c r="H94" s="2"/>
      <c r="I94" s="2"/>
      <c r="J94" s="2"/>
      <c r="K94" s="2"/>
      <c r="L94" s="2"/>
      <c r="M94" s="2"/>
      <c r="N94" s="2"/>
      <c r="O94" s="2"/>
      <c r="P94" s="2"/>
      <c r="Q94" s="2"/>
      <c r="R94" s="2"/>
      <c r="S94" s="2"/>
      <c r="T94" s="2"/>
      <c r="U94" s="2"/>
      <c r="V94" s="2"/>
      <c r="W94" s="2"/>
      <c r="X94" s="2"/>
      <c r="Y94" s="2"/>
      <c r="Z94" s="2"/>
    </row>
    <row r="95">
      <c r="A95" s="2"/>
      <c r="B95" s="2" t="str">
        <f>IFERROR(__xludf.DUMMYFUNCTION("""COMPUTED_VALUE"""),"Crisrueda99")</f>
        <v>Crisrueda99</v>
      </c>
      <c r="C95" s="2">
        <f>IFERROR(__xludf.DUMMYFUNCTION("""COMPUTED_VALUE"""),6.0)</f>
        <v>6</v>
      </c>
      <c r="D95" s="2"/>
      <c r="E95" s="2"/>
      <c r="F95" s="2"/>
      <c r="G95" s="2"/>
      <c r="H95" s="2"/>
      <c r="I95" s="2"/>
      <c r="J95" s="2"/>
      <c r="K95" s="2"/>
      <c r="L95" s="2"/>
      <c r="M95" s="2"/>
      <c r="N95" s="2"/>
      <c r="O95" s="2"/>
      <c r="P95" s="2"/>
      <c r="Q95" s="2"/>
      <c r="R95" s="2"/>
      <c r="S95" s="2"/>
      <c r="T95" s="2"/>
      <c r="U95" s="2"/>
      <c r="V95" s="2"/>
      <c r="W95" s="2"/>
      <c r="X95" s="2"/>
      <c r="Y95" s="2"/>
      <c r="Z95" s="2"/>
    </row>
    <row r="96">
      <c r="A96" s="2"/>
      <c r="B96" s="2" t="str">
        <f>IFERROR(__xludf.DUMMYFUNCTION("""COMPUTED_VALUE"""),"Gojan222")</f>
        <v>Gojan222</v>
      </c>
      <c r="C96" s="2">
        <f>IFERROR(__xludf.DUMMYFUNCTION("""COMPUTED_VALUE"""),6.0)</f>
        <v>6</v>
      </c>
      <c r="D96" s="2"/>
      <c r="E96" s="2"/>
      <c r="F96" s="2"/>
      <c r="G96" s="2"/>
      <c r="H96" s="2"/>
      <c r="I96" s="2"/>
      <c r="J96" s="2"/>
      <c r="K96" s="2"/>
      <c r="L96" s="2"/>
      <c r="M96" s="2"/>
      <c r="N96" s="2"/>
      <c r="O96" s="2"/>
      <c r="P96" s="2"/>
      <c r="Q96" s="2"/>
      <c r="R96" s="2"/>
      <c r="S96" s="2"/>
      <c r="T96" s="2"/>
      <c r="U96" s="2"/>
      <c r="V96" s="2"/>
      <c r="W96" s="2"/>
      <c r="X96" s="2"/>
      <c r="Y96" s="2"/>
      <c r="Z96" s="2"/>
    </row>
    <row r="97">
      <c r="A97" s="2"/>
      <c r="B97" s="2" t="str">
        <f>IFERROR(__xludf.DUMMYFUNCTION("""COMPUTED_VALUE"""),"Guiverfer")</f>
        <v>Guiverfer</v>
      </c>
      <c r="C97" s="2">
        <f>IFERROR(__xludf.DUMMYFUNCTION("""COMPUTED_VALUE"""),6.0)</f>
        <v>6</v>
      </c>
      <c r="D97" s="2"/>
      <c r="E97" s="2"/>
      <c r="F97" s="2"/>
      <c r="G97" s="2"/>
      <c r="H97" s="2"/>
      <c r="I97" s="2"/>
      <c r="J97" s="2"/>
      <c r="K97" s="2"/>
      <c r="L97" s="2"/>
      <c r="M97" s="2"/>
      <c r="N97" s="2"/>
      <c r="O97" s="2"/>
      <c r="P97" s="2"/>
      <c r="Q97" s="2"/>
      <c r="R97" s="2"/>
      <c r="S97" s="2"/>
      <c r="T97" s="2"/>
      <c r="U97" s="2"/>
      <c r="V97" s="2"/>
      <c r="W97" s="2"/>
      <c r="X97" s="2"/>
      <c r="Y97" s="2"/>
      <c r="Z97" s="2"/>
    </row>
    <row r="98">
      <c r="A98" s="2"/>
      <c r="B98" s="2" t="str">
        <f>IFERROR(__xludf.DUMMYFUNCTION("""COMPUTED_VALUE"""),"Johannelob")</f>
        <v>Johannelob</v>
      </c>
      <c r="C98" s="2">
        <f>IFERROR(__xludf.DUMMYFUNCTION("""COMPUTED_VALUE"""),6.0)</f>
        <v>6</v>
      </c>
      <c r="D98" s="2"/>
      <c r="E98" s="2"/>
      <c r="F98" s="2"/>
      <c r="G98" s="2"/>
      <c r="H98" s="2"/>
      <c r="I98" s="2"/>
      <c r="J98" s="2"/>
      <c r="K98" s="2"/>
      <c r="L98" s="2"/>
      <c r="M98" s="2"/>
      <c r="N98" s="2"/>
      <c r="O98" s="2"/>
      <c r="P98" s="2"/>
      <c r="Q98" s="2"/>
      <c r="R98" s="2"/>
      <c r="S98" s="2"/>
      <c r="T98" s="2"/>
      <c r="U98" s="2"/>
      <c r="V98" s="2"/>
      <c r="W98" s="2"/>
      <c r="X98" s="2"/>
      <c r="Y98" s="2"/>
      <c r="Z98" s="2"/>
    </row>
    <row r="99">
      <c r="A99" s="2"/>
      <c r="B99" s="2" t="str">
        <f>IFERROR(__xludf.DUMMYFUNCTION("""COMPUTED_VALUE"""),"Lamoraleja")</f>
        <v>Lamoraleja</v>
      </c>
      <c r="C99" s="2">
        <f>IFERROR(__xludf.DUMMYFUNCTION("""COMPUTED_VALUE"""),6.0)</f>
        <v>6</v>
      </c>
      <c r="D99" s="2"/>
      <c r="E99" s="2"/>
      <c r="F99" s="2"/>
      <c r="G99" s="2"/>
      <c r="H99" s="2"/>
      <c r="I99" s="2"/>
      <c r="J99" s="2"/>
      <c r="K99" s="2"/>
      <c r="L99" s="2"/>
      <c r="M99" s="2"/>
      <c r="N99" s="2"/>
      <c r="O99" s="2"/>
      <c r="P99" s="2"/>
      <c r="Q99" s="2"/>
      <c r="R99" s="2"/>
      <c r="S99" s="2"/>
      <c r="T99" s="2"/>
      <c r="U99" s="2"/>
      <c r="V99" s="2"/>
      <c r="W99" s="2"/>
      <c r="X99" s="2"/>
      <c r="Y99" s="2"/>
      <c r="Z99" s="2"/>
    </row>
    <row r="100">
      <c r="A100" s="2"/>
      <c r="B100" s="2" t="str">
        <f>IFERROR(__xludf.DUMMYFUNCTION("""COMPUTED_VALUE"""),"Lualollipop")</f>
        <v>Lualollipop</v>
      </c>
      <c r="C100" s="2">
        <f>IFERROR(__xludf.DUMMYFUNCTION("""COMPUTED_VALUE"""),6.0)</f>
        <v>6</v>
      </c>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t="str">
        <f>IFERROR(__xludf.DUMMYFUNCTION("""COMPUTED_VALUE"""),"MelyC43")</f>
        <v>MelyC43</v>
      </c>
      <c r="C101" s="2">
        <f>IFERROR(__xludf.DUMMYFUNCTION("""COMPUTED_VALUE"""),6.0)</f>
        <v>6</v>
      </c>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t="str">
        <f>IFERROR(__xludf.DUMMYFUNCTION("""COMPUTED_VALUE"""),"Pperafan")</f>
        <v>Pperafan</v>
      </c>
      <c r="C102" s="2">
        <f>IFERROR(__xludf.DUMMYFUNCTION("""COMPUTED_VALUE"""),6.0)</f>
        <v>6</v>
      </c>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t="str">
        <f>IFERROR(__xludf.DUMMYFUNCTION("""COMPUTED_VALUE"""),"Sophy Martinez")</f>
        <v>Sophy Martinez</v>
      </c>
      <c r="C103" s="2">
        <f>IFERROR(__xludf.DUMMYFUNCTION("""COMPUTED_VALUE"""),6.0)</f>
        <v>6</v>
      </c>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t="str">
        <f>IFERROR(__xludf.DUMMYFUNCTION("""COMPUTED_VALUE"""),"SoyElMaloColon")</f>
        <v>SoyElMaloColon</v>
      </c>
      <c r="C104" s="2">
        <f>IFERROR(__xludf.DUMMYFUNCTION("""COMPUTED_VALUE"""),6.0)</f>
        <v>6</v>
      </c>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t="str">
        <f>IFERROR(__xludf.DUMMYFUNCTION("""COMPUTED_VALUE"""),"TeaBonsai")</f>
        <v>TeaBonsai</v>
      </c>
      <c r="C105" s="2">
        <f>IFERROR(__xludf.DUMMYFUNCTION("""COMPUTED_VALUE"""),6.0)</f>
        <v>6</v>
      </c>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t="str">
        <f>IFERROR(__xludf.DUMMYFUNCTION("""COMPUTED_VALUE"""),"Torres María")</f>
        <v>Torres María</v>
      </c>
      <c r="C106" s="2">
        <f>IFERROR(__xludf.DUMMYFUNCTION("""COMPUTED_VALUE"""),6.0)</f>
        <v>6</v>
      </c>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t="str">
        <f>IFERROR(__xludf.DUMMYFUNCTION("""COMPUTED_VALUE"""),"Unknown contributed")</f>
        <v>Unknown contributed</v>
      </c>
      <c r="C107" s="2">
        <f>IFERROR(__xludf.DUMMYFUNCTION("""COMPUTED_VALUE"""),6.0)</f>
        <v>6</v>
      </c>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t="str">
        <f>IFERROR(__xludf.DUMMYFUNCTION("""COMPUTED_VALUE"""),"Anrit71")</f>
        <v>Anrit71</v>
      </c>
      <c r="C108" s="2">
        <f>IFERROR(__xludf.DUMMYFUNCTION("""COMPUTED_VALUE"""),5.0)</f>
        <v>5</v>
      </c>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t="str">
        <f>IFERROR(__xludf.DUMMYFUNCTION("""COMPUTED_VALUE"""),"AntonioEliseo")</f>
        <v>AntonioEliseo</v>
      </c>
      <c r="C109" s="2">
        <f>IFERROR(__xludf.DUMMYFUNCTION("""COMPUTED_VALUE"""),5.0)</f>
        <v>5</v>
      </c>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t="str">
        <f>IFERROR(__xludf.DUMMYFUNCTION("""COMPUTED_VALUE"""),"Jhon Barrera")</f>
        <v>Jhon Barrera</v>
      </c>
      <c r="C110" s="2">
        <f>IFERROR(__xludf.DUMMYFUNCTION("""COMPUTED_VALUE"""),5.0)</f>
        <v>5</v>
      </c>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t="str">
        <f>IFERROR(__xludf.DUMMYFUNCTION("""COMPUTED_VALUE"""),"Mat1318")</f>
        <v>Mat1318</v>
      </c>
      <c r="C111" s="2">
        <f>IFERROR(__xludf.DUMMYFUNCTION("""COMPUTED_VALUE"""),5.0)</f>
        <v>5</v>
      </c>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t="str">
        <f>IFERROR(__xludf.DUMMYFUNCTION("""COMPUTED_VALUE"""),"Moisés Barrera Sogamoso")</f>
        <v>Moisés Barrera Sogamoso</v>
      </c>
      <c r="C112" s="2">
        <f>IFERROR(__xludf.DUMMYFUNCTION("""COMPUTED_VALUE"""),5.0)</f>
        <v>5</v>
      </c>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t="str">
        <f>IFERROR(__xludf.DUMMYFUNCTION("""COMPUTED_VALUE"""),"Natalia gferia")</f>
        <v>Natalia gferia</v>
      </c>
      <c r="C113" s="2">
        <f>IFERROR(__xludf.DUMMYFUNCTION("""COMPUTED_VALUE"""),5.0)</f>
        <v>5</v>
      </c>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t="str">
        <f>IFERROR(__xludf.DUMMYFUNCTION("""COMPUTED_VALUE"""),"Quillero1973")</f>
        <v>Quillero1973</v>
      </c>
      <c r="C114" s="2">
        <f>IFERROR(__xludf.DUMMYFUNCTION("""COMPUTED_VALUE"""),5.0)</f>
        <v>5</v>
      </c>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t="str">
        <f>IFERROR(__xludf.DUMMYFUNCTION("""COMPUTED_VALUE"""),"Sebasgr05")</f>
        <v>Sebasgr05</v>
      </c>
      <c r="C115" s="2">
        <f>IFERROR(__xludf.DUMMYFUNCTION("""COMPUTED_VALUE"""),5.0)</f>
        <v>5</v>
      </c>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t="str">
        <f>IFERROR(__xludf.DUMMYFUNCTION("""COMPUTED_VALUE"""),"VirginiaClavijo")</f>
        <v>VirginiaClavijo</v>
      </c>
      <c r="C116" s="2">
        <f>IFERROR(__xludf.DUMMYFUNCTION("""COMPUTED_VALUE"""),5.0)</f>
        <v>5</v>
      </c>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t="str">
        <f>IFERROR(__xludf.DUMMYFUNCTION("""COMPUTED_VALUE"""),"Andresdflorez23")</f>
        <v>Andresdflorez23</v>
      </c>
      <c r="C117" s="2">
        <f>IFERROR(__xludf.DUMMYFUNCTION("""COMPUTED_VALUE"""),4.0)</f>
        <v>4</v>
      </c>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t="str">
        <f>IFERROR(__xludf.DUMMYFUNCTION("""COMPUTED_VALUE"""),"Antoniacorralosorio")</f>
        <v>Antoniacorralosorio</v>
      </c>
      <c r="C118" s="2">
        <f>IFERROR(__xludf.DUMMYFUNCTION("""COMPUTED_VALUE"""),4.0)</f>
        <v>4</v>
      </c>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t="str">
        <f>IFERROR(__xludf.DUMMYFUNCTION("""COMPUTED_VALUE"""),"Aparizap")</f>
        <v>Aparizap</v>
      </c>
      <c r="C119" s="2">
        <f>IFERROR(__xludf.DUMMYFUNCTION("""COMPUTED_VALUE"""),4.0)</f>
        <v>4</v>
      </c>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t="str">
        <f>IFERROR(__xludf.DUMMYFUNCTION("""COMPUTED_VALUE"""),"Cathetovar")</f>
        <v>Cathetovar</v>
      </c>
      <c r="C120" s="2">
        <f>IFERROR(__xludf.DUMMYFUNCTION("""COMPUTED_VALUE"""),4.0)</f>
        <v>4</v>
      </c>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t="str">
        <f>IFERROR(__xludf.DUMMYFUNCTION("""COMPUTED_VALUE"""),"Ciri.macro")</f>
        <v>Ciri.macro</v>
      </c>
      <c r="C121" s="2">
        <f>IFERROR(__xludf.DUMMYFUNCTION("""COMPUTED_VALUE"""),4.0)</f>
        <v>4</v>
      </c>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t="str">
        <f>IFERROR(__xludf.DUMMYFUNCTION("""COMPUTED_VALUE"""),"Dayrana Daniela Celedon Gamez")</f>
        <v>Dayrana Daniela Celedon Gamez</v>
      </c>
      <c r="C122" s="2">
        <f>IFERROR(__xludf.DUMMYFUNCTION("""COMPUTED_VALUE"""),4.0)</f>
        <v>4</v>
      </c>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t="str">
        <f>IFERROR(__xludf.DUMMYFUNCTION("""COMPUTED_VALUE"""),"Elcrespodeloscuentos")</f>
        <v>Elcrespodeloscuentos</v>
      </c>
      <c r="C123" s="2">
        <f>IFERROR(__xludf.DUMMYFUNCTION("""COMPUTED_VALUE"""),4.0)</f>
        <v>4</v>
      </c>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t="str">
        <f>IFERROR(__xludf.DUMMYFUNCTION("""COMPUTED_VALUE"""),"Jdcamacho12")</f>
        <v>Jdcamacho12</v>
      </c>
      <c r="C124" s="2">
        <f>IFERROR(__xludf.DUMMYFUNCTION("""COMPUTED_VALUE"""),4.0)</f>
        <v>4</v>
      </c>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t="str">
        <f>IFERROR(__xludf.DUMMYFUNCTION("""COMPUTED_VALUE"""),"Jose Arbelaez 78")</f>
        <v>Jose Arbelaez 78</v>
      </c>
      <c r="C125" s="2">
        <f>IFERROR(__xludf.DUMMYFUNCTION("""COMPUTED_VALUE"""),4.0)</f>
        <v>4</v>
      </c>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t="str">
        <f>IFERROR(__xludf.DUMMYFUNCTION("""COMPUTED_VALUE"""),"Judcar")</f>
        <v>Judcar</v>
      </c>
      <c r="C126" s="2">
        <f>IFERROR(__xludf.DUMMYFUNCTION("""COMPUTED_VALUE"""),4.0)</f>
        <v>4</v>
      </c>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t="str">
        <f>IFERROR(__xludf.DUMMYFUNCTION("""COMPUTED_VALUE"""),"Laura Milena Moyano Bautista")</f>
        <v>Laura Milena Moyano Bautista</v>
      </c>
      <c r="C127" s="2">
        <f>IFERROR(__xludf.DUMMYFUNCTION("""COMPUTED_VALUE"""),4.0)</f>
        <v>4</v>
      </c>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t="str">
        <f>IFERROR(__xludf.DUMMYFUNCTION("""COMPUTED_VALUE"""),"María Victoria Alzate Acevedo")</f>
        <v>María Victoria Alzate Acevedo</v>
      </c>
      <c r="C128" s="2">
        <f>IFERROR(__xludf.DUMMYFUNCTION("""COMPUTED_VALUE"""),4.0)</f>
        <v>4</v>
      </c>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t="str">
        <f>IFERROR(__xludf.DUMMYFUNCTION("""COMPUTED_VALUE"""),"Saboru Miro")</f>
        <v>Saboru Miro</v>
      </c>
      <c r="C129" s="2">
        <f>IFERROR(__xludf.DUMMYFUNCTION("""COMPUTED_VALUE"""),4.0)</f>
        <v>4</v>
      </c>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t="str">
        <f>IFERROR(__xludf.DUMMYFUNCTION("""COMPUTED_VALUE"""),"Sonianatural")</f>
        <v>Sonianatural</v>
      </c>
      <c r="C130" s="2">
        <f>IFERROR(__xludf.DUMMYFUNCTION("""COMPUTED_VALUE"""),4.0)</f>
        <v>4</v>
      </c>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t="str">
        <f>IFERROR(__xludf.DUMMYFUNCTION("""COMPUTED_VALUE"""),"Torozuluaga")</f>
        <v>Torozuluaga</v>
      </c>
      <c r="C131" s="2">
        <f>IFERROR(__xludf.DUMMYFUNCTION("""COMPUTED_VALUE"""),4.0)</f>
        <v>4</v>
      </c>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t="str">
        <f>IFERROR(__xludf.DUMMYFUNCTION("""COMPUTED_VALUE"""),"Viv Fa")</f>
        <v>Viv Fa</v>
      </c>
      <c r="C132" s="2">
        <f>IFERROR(__xludf.DUMMYFUNCTION("""COMPUTED_VALUE"""),4.0)</f>
        <v>4</v>
      </c>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t="str">
        <f>IFERROR(__xludf.DUMMYFUNCTION("""COMPUTED_VALUE"""),"ZulayMR")</f>
        <v>ZulayMR</v>
      </c>
      <c r="C133" s="2">
        <f>IFERROR(__xludf.DUMMYFUNCTION("""COMPUTED_VALUE"""),4.0)</f>
        <v>4</v>
      </c>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t="str">
        <f>IFERROR(__xludf.DUMMYFUNCTION("""COMPUTED_VALUE"""),"AnaPereaRo")</f>
        <v>AnaPereaRo</v>
      </c>
      <c r="C134" s="2">
        <f>IFERROR(__xludf.DUMMYFUNCTION("""COMPUTED_VALUE"""),3.0)</f>
        <v>3</v>
      </c>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t="str">
        <f>IFERROR(__xludf.DUMMYFUNCTION("""COMPUTED_VALUE"""),"Chechogonzalez")</f>
        <v>Chechogonzalez</v>
      </c>
      <c r="C135" s="2">
        <f>IFERROR(__xludf.DUMMYFUNCTION("""COMPUTED_VALUE"""),3.0)</f>
        <v>3</v>
      </c>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t="str">
        <f>IFERROR(__xludf.DUMMYFUNCTION("""COMPUTED_VALUE"""),"ChopinxEtude")</f>
        <v>ChopinxEtude</v>
      </c>
      <c r="C136" s="2">
        <f>IFERROR(__xludf.DUMMYFUNCTION("""COMPUTED_VALUE"""),3.0)</f>
        <v>3</v>
      </c>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t="str">
        <f>IFERROR(__xludf.DUMMYFUNCTION("""COMPUTED_VALUE"""),"Dewinjj")</f>
        <v>Dewinjj</v>
      </c>
      <c r="C137" s="2">
        <f>IFERROR(__xludf.DUMMYFUNCTION("""COMPUTED_VALUE"""),3.0)</f>
        <v>3</v>
      </c>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t="str">
        <f>IFERROR(__xludf.DUMMYFUNCTION("""COMPUTED_VALUE"""),"Elibasan")</f>
        <v>Elibasan</v>
      </c>
      <c r="C138" s="2">
        <f>IFERROR(__xludf.DUMMYFUNCTION("""COMPUTED_VALUE"""),3.0)</f>
        <v>3</v>
      </c>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t="str">
        <f>IFERROR(__xludf.DUMMYFUNCTION("""COMPUTED_VALUE"""),"ExploraMuseos")</f>
        <v>ExploraMuseos</v>
      </c>
      <c r="C139" s="2">
        <f>IFERROR(__xludf.DUMMYFUNCTION("""COMPUTED_VALUE"""),3.0)</f>
        <v>3</v>
      </c>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t="str">
        <f>IFERROR(__xludf.DUMMYFUNCTION("""COMPUTED_VALUE"""),"Federico2599")</f>
        <v>Federico2599</v>
      </c>
      <c r="C140" s="2">
        <f>IFERROR(__xludf.DUMMYFUNCTION("""COMPUTED_VALUE"""),3.0)</f>
        <v>3</v>
      </c>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t="str">
        <f>IFERROR(__xludf.DUMMYFUNCTION("""COMPUTED_VALUE"""),"FranciscoFajardoG")</f>
        <v>FranciscoFajardoG</v>
      </c>
      <c r="C141" s="2">
        <f>IFERROR(__xludf.DUMMYFUNCTION("""COMPUTED_VALUE"""),3.0)</f>
        <v>3</v>
      </c>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t="str">
        <f>IFERROR(__xludf.DUMMYFUNCTION("""COMPUTED_VALUE"""),"GABRIELITO5711")</f>
        <v>GABRIELITO5711</v>
      </c>
      <c r="C142" s="2">
        <f>IFERROR(__xludf.DUMMYFUNCTION("""COMPUTED_VALUE"""),3.0)</f>
        <v>3</v>
      </c>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t="str">
        <f>IFERROR(__xludf.DUMMYFUNCTION("""COMPUTED_VALUE"""),"Gar.camila.cia")</f>
        <v>Gar.camila.cia</v>
      </c>
      <c r="C143" s="2">
        <f>IFERROR(__xludf.DUMMYFUNCTION("""COMPUTED_VALUE"""),3.0)</f>
        <v>3</v>
      </c>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t="str">
        <f>IFERROR(__xludf.DUMMYFUNCTION("""COMPUTED_VALUE"""),"Gilgomo9")</f>
        <v>Gilgomo9</v>
      </c>
      <c r="C144" s="2">
        <f>IFERROR(__xludf.DUMMYFUNCTION("""COMPUTED_VALUE"""),3.0)</f>
        <v>3</v>
      </c>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t="str">
        <f>IFERROR(__xludf.DUMMYFUNCTION("""COMPUTED_VALUE"""),"Glofrida")</f>
        <v>Glofrida</v>
      </c>
      <c r="C145" s="2">
        <f>IFERROR(__xludf.DUMMYFUNCTION("""COMPUTED_VALUE"""),3.0)</f>
        <v>3</v>
      </c>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t="str">
        <f>IFERROR(__xludf.DUMMYFUNCTION("""COMPUTED_VALUE"""),"Ibeths2026")</f>
        <v>Ibeths2026</v>
      </c>
      <c r="C146" s="2">
        <f>IFERROR(__xludf.DUMMYFUNCTION("""COMPUTED_VALUE"""),3.0)</f>
        <v>3</v>
      </c>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t="str">
        <f>IFERROR(__xludf.DUMMYFUNCTION("""COMPUTED_VALUE"""),"Jeiver.alejo")</f>
        <v>Jeiver.alejo</v>
      </c>
      <c r="C147" s="2">
        <f>IFERROR(__xludf.DUMMYFUNCTION("""COMPUTED_VALUE"""),3.0)</f>
        <v>3</v>
      </c>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t="str">
        <f>IFERROR(__xludf.DUMMYFUNCTION("""COMPUTED_VALUE"""),"Jhoan Bravo")</f>
        <v>Jhoan Bravo</v>
      </c>
      <c r="C148" s="2">
        <f>IFERROR(__xludf.DUMMYFUNCTION("""COMPUTED_VALUE"""),3.0)</f>
        <v>3</v>
      </c>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t="str">
        <f>IFERROR(__xludf.DUMMYFUNCTION("""COMPUTED_VALUE"""),"JuanPabloAndres1")</f>
        <v>JuanPabloAndres1</v>
      </c>
      <c r="C149" s="2">
        <f>IFERROR(__xludf.DUMMYFUNCTION("""COMPUTED_VALUE"""),3.0)</f>
        <v>3</v>
      </c>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t="str">
        <f>IFERROR(__xludf.DUMMYFUNCTION("""COMPUTED_VALUE"""),"Mpmarula1")</f>
        <v>Mpmarula1</v>
      </c>
      <c r="C150" s="2">
        <f>IFERROR(__xludf.DUMMYFUNCTION("""COMPUTED_VALUE"""),3.0)</f>
        <v>3</v>
      </c>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t="str">
        <f>IFERROR(__xludf.DUMMYFUNCTION("""COMPUTED_VALUE"""),"Mtapiasoquendo")</f>
        <v>Mtapiasoquendo</v>
      </c>
      <c r="C151" s="2">
        <f>IFERROR(__xludf.DUMMYFUNCTION("""COMPUTED_VALUE"""),3.0)</f>
        <v>3</v>
      </c>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t="str">
        <f>IFERROR(__xludf.DUMMYFUNCTION("""COMPUTED_VALUE"""),"NycDM")</f>
        <v>NycDM</v>
      </c>
      <c r="C152" s="2">
        <f>IFERROR(__xludf.DUMMYFUNCTION("""COMPUTED_VALUE"""),3.0)</f>
        <v>3</v>
      </c>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t="str">
        <f>IFERROR(__xludf.DUMMYFUNCTION("""COMPUTED_VALUE"""),"Pilarrb9286")</f>
        <v>Pilarrb9286</v>
      </c>
      <c r="C153" s="2">
        <f>IFERROR(__xludf.DUMMYFUNCTION("""COMPUTED_VALUE"""),3.0)</f>
        <v>3</v>
      </c>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t="str">
        <f>IFERROR(__xludf.DUMMYFUNCTION("""COMPUTED_VALUE"""),"Rodobuñuel")</f>
        <v>Rodobuñuel</v>
      </c>
      <c r="C154" s="2">
        <f>IFERROR(__xludf.DUMMYFUNCTION("""COMPUTED_VALUE"""),3.0)</f>
        <v>3</v>
      </c>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t="str">
        <f>IFERROR(__xludf.DUMMYFUNCTION("""COMPUTED_VALUE"""),"Samitor05")</f>
        <v>Samitor05</v>
      </c>
      <c r="C155" s="2">
        <f>IFERROR(__xludf.DUMMYFUNCTION("""COMPUTED_VALUE"""),3.0)</f>
        <v>3</v>
      </c>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t="str">
        <f>IFERROR(__xludf.DUMMYFUNCTION("""COMPUTED_VALUE"""),"SergioM01")</f>
        <v>SergioM01</v>
      </c>
      <c r="C156" s="2">
        <f>IFERROR(__xludf.DUMMYFUNCTION("""COMPUTED_VALUE"""),3.0)</f>
        <v>3</v>
      </c>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t="str">
        <f>IFERROR(__xludf.DUMMYFUNCTION("""COMPUTED_VALUE"""),"Tannhauser33")</f>
        <v>Tannhauser33</v>
      </c>
      <c r="C157" s="2">
        <f>IFERROR(__xludf.DUMMYFUNCTION("""COMPUTED_VALUE"""),3.0)</f>
        <v>3</v>
      </c>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t="str">
        <f>IFERROR(__xludf.DUMMYFUNCTION("""COMPUTED_VALUE"""),"TheBogotaBandit")</f>
        <v>TheBogotaBandit</v>
      </c>
      <c r="C158" s="2">
        <f>IFERROR(__xludf.DUMMYFUNCTION("""COMPUTED_VALUE"""),3.0)</f>
        <v>3</v>
      </c>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t="str">
        <f>IFERROR(__xludf.DUMMYFUNCTION("""COMPUTED_VALUE"""),"ANDRESMNDOZA")</f>
        <v>ANDRESMNDOZA</v>
      </c>
      <c r="C159" s="2">
        <f>IFERROR(__xludf.DUMMYFUNCTION("""COMPUTED_VALUE"""),2.0)</f>
        <v>2</v>
      </c>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t="str">
        <f>IFERROR(__xludf.DUMMYFUNCTION("""COMPUTED_VALUE"""),"Albanense")</f>
        <v>Albanense</v>
      </c>
      <c r="C160" s="2">
        <f>IFERROR(__xludf.DUMMYFUNCTION("""COMPUTED_VALUE"""),2.0)</f>
        <v>2</v>
      </c>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t="str">
        <f>IFERROR(__xludf.DUMMYFUNCTION("""COMPUTED_VALUE"""),"Aldairsalas 2006")</f>
        <v>Aldairsalas 2006</v>
      </c>
      <c r="C161" s="2">
        <f>IFERROR(__xludf.DUMMYFUNCTION("""COMPUTED_VALUE"""),2.0)</f>
        <v>2</v>
      </c>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t="str">
        <f>IFERROR(__xludf.DUMMYFUNCTION("""COMPUTED_VALUE"""),"Anfedame")</f>
        <v>Anfedame</v>
      </c>
      <c r="C162" s="2">
        <f>IFERROR(__xludf.DUMMYFUNCTION("""COMPUTED_VALUE"""),2.0)</f>
        <v>2</v>
      </c>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t="str">
        <f>IFERROR(__xludf.DUMMYFUNCTION("""COMPUTED_VALUE"""),"Bannanapeel96")</f>
        <v>Bannanapeel96</v>
      </c>
      <c r="C163" s="2">
        <f>IFERROR(__xludf.DUMMYFUNCTION("""COMPUTED_VALUE"""),2.0)</f>
        <v>2</v>
      </c>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t="str">
        <f>IFERROR(__xludf.DUMMYFUNCTION("""COMPUTED_VALUE"""),"Coreduco")</f>
        <v>Coreduco</v>
      </c>
      <c r="C164" s="2">
        <f>IFERROR(__xludf.DUMMYFUNCTION("""COMPUTED_VALUE"""),2.0)</f>
        <v>2</v>
      </c>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t="str">
        <f>IFERROR(__xludf.DUMMYFUNCTION("""COMPUTED_VALUE"""),"Diego Fernando Delgado Castro")</f>
        <v>Diego Fernando Delgado Castro</v>
      </c>
      <c r="C165" s="2">
        <f>IFERROR(__xludf.DUMMYFUNCTION("""COMPUTED_VALUE"""),2.0)</f>
        <v>2</v>
      </c>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t="str">
        <f>IFERROR(__xludf.DUMMYFUNCTION("""COMPUTED_VALUE"""),"Eli 1967")</f>
        <v>Eli 1967</v>
      </c>
      <c r="C166" s="2">
        <f>IFERROR(__xludf.DUMMYFUNCTION("""COMPUTED_VALUE"""),2.0)</f>
        <v>2</v>
      </c>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t="str">
        <f>IFERROR(__xludf.DUMMYFUNCTION("""COMPUTED_VALUE"""),"EspejoRaul")</f>
        <v>EspejoRaul</v>
      </c>
      <c r="C167" s="2">
        <f>IFERROR(__xludf.DUMMYFUNCTION("""COMPUTED_VALUE"""),2.0)</f>
        <v>2</v>
      </c>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t="str">
        <f>IFERROR(__xludf.DUMMYFUNCTION("""COMPUTED_VALUE"""),"Felipequiceno")</f>
        <v>Felipequiceno</v>
      </c>
      <c r="C168" s="2">
        <f>IFERROR(__xludf.DUMMYFUNCTION("""COMPUTED_VALUE"""),2.0)</f>
        <v>2</v>
      </c>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t="str">
        <f>IFERROR(__xludf.DUMMYFUNCTION("""COMPUTED_VALUE"""),"Jair-971")</f>
        <v>Jair-971</v>
      </c>
      <c r="C169" s="2">
        <f>IFERROR(__xludf.DUMMYFUNCTION("""COMPUTED_VALUE"""),2.0)</f>
        <v>2</v>
      </c>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t="str">
        <f>IFERROR(__xludf.DUMMYFUNCTION("""COMPUTED_VALUE"""),"Jcast07")</f>
        <v>Jcast07</v>
      </c>
      <c r="C170" s="2">
        <f>IFERROR(__xludf.DUMMYFUNCTION("""COMPUTED_VALUE"""),2.0)</f>
        <v>2</v>
      </c>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t="str">
        <f>IFERROR(__xludf.DUMMYFUNCTION("""COMPUTED_VALUE"""),"JessieHernande3")</f>
        <v>JessieHernande3</v>
      </c>
      <c r="C171" s="2">
        <f>IFERROR(__xludf.DUMMYFUNCTION("""COMPUTED_VALUE"""),2.0)</f>
        <v>2</v>
      </c>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t="str">
        <f>IFERROR(__xludf.DUMMYFUNCTION("""COMPUTED_VALUE"""),"Jhon Betancur 123")</f>
        <v>Jhon Betancur 123</v>
      </c>
      <c r="C172" s="2">
        <f>IFERROR(__xludf.DUMMYFUNCTION("""COMPUTED_VALUE"""),2.0)</f>
        <v>2</v>
      </c>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t="str">
        <f>IFERROR(__xludf.DUMMYFUNCTION("""COMPUTED_VALUE"""),"JulianaaValenFrog28")</f>
        <v>JulianaaValenFrog28</v>
      </c>
      <c r="C173" s="2">
        <f>IFERROR(__xludf.DUMMYFUNCTION("""COMPUTED_VALUE"""),2.0)</f>
        <v>2</v>
      </c>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t="str">
        <f>IFERROR(__xludf.DUMMYFUNCTION("""COMPUTED_VALUE"""),"Kithpro")</f>
        <v>Kithpro</v>
      </c>
      <c r="C174" s="2">
        <f>IFERROR(__xludf.DUMMYFUNCTION("""COMPUTED_VALUE"""),2.0)</f>
        <v>2</v>
      </c>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t="str">
        <f>IFERROR(__xludf.DUMMYFUNCTION("""COMPUTED_VALUE"""),"Kitty Perez")</f>
        <v>Kitty Perez</v>
      </c>
      <c r="C175" s="2">
        <f>IFERROR(__xludf.DUMMYFUNCTION("""COMPUTED_VALUE"""),2.0)</f>
        <v>2</v>
      </c>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t="str">
        <f>IFERROR(__xludf.DUMMYFUNCTION("""COMPUTED_VALUE"""),"Luis commons")</f>
        <v>Luis commons</v>
      </c>
      <c r="C176" s="2">
        <f>IFERROR(__xludf.DUMMYFUNCTION("""COMPUTED_VALUE"""),2.0)</f>
        <v>2</v>
      </c>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t="str">
        <f>IFERROR(__xludf.DUMMYFUNCTION("""COMPUTED_VALUE"""),"Orquencia")</f>
        <v>Orquencia</v>
      </c>
      <c r="C177" s="2">
        <f>IFERROR(__xludf.DUMMYFUNCTION("""COMPUTED_VALUE"""),2.0)</f>
        <v>2</v>
      </c>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t="str">
        <f>IFERROR(__xludf.DUMMYFUNCTION("""COMPUTED_VALUE"""),"Overlabor5010")</f>
        <v>Overlabor5010</v>
      </c>
      <c r="C178" s="2">
        <f>IFERROR(__xludf.DUMMYFUNCTION("""COMPUTED_VALUE"""),2.0)</f>
        <v>2</v>
      </c>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t="str">
        <f>IFERROR(__xludf.DUMMYFUNCTION("""COMPUTED_VALUE"""),"Paulis Bucrav")</f>
        <v>Paulis Bucrav</v>
      </c>
      <c r="C179" s="2">
        <f>IFERROR(__xludf.DUMMYFUNCTION("""COMPUTED_VALUE"""),2.0)</f>
        <v>2</v>
      </c>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t="str">
        <f>IFERROR(__xludf.DUMMYFUNCTION("""COMPUTED_VALUE"""),"Santiago Styles - Protect the Andes")</f>
        <v>Santiago Styles - Protect the Andes</v>
      </c>
      <c r="C180" s="2">
        <f>IFERROR(__xludf.DUMMYFUNCTION("""COMPUTED_VALUE"""),2.0)</f>
        <v>2</v>
      </c>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t="str">
        <f>IFERROR(__xludf.DUMMYFUNCTION("""COMPUTED_VALUE"""),"SantiagoJiRe")</f>
        <v>SantiagoJiRe</v>
      </c>
      <c r="C181" s="2">
        <f>IFERROR(__xludf.DUMMYFUNCTION("""COMPUTED_VALUE"""),2.0)</f>
        <v>2</v>
      </c>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t="str">
        <f>IFERROR(__xludf.DUMMYFUNCTION("""COMPUTED_VALUE"""),"Zamstiv")</f>
        <v>Zamstiv</v>
      </c>
      <c r="C182" s="2">
        <f>IFERROR(__xludf.DUMMYFUNCTION("""COMPUTED_VALUE"""),2.0)</f>
        <v>2</v>
      </c>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t="str">
        <f>IFERROR(__xludf.DUMMYFUNCTION("""COMPUTED_VALUE"""),"Alejociclyng")</f>
        <v>Alejociclyng</v>
      </c>
      <c r="C183" s="2">
        <f>IFERROR(__xludf.DUMMYFUNCTION("""COMPUTED_VALUE"""),1.0)</f>
        <v>1</v>
      </c>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t="str">
        <f>IFERROR(__xludf.DUMMYFUNCTION("""COMPUTED_VALUE"""),"Alvaro6291")</f>
        <v>Alvaro6291</v>
      </c>
      <c r="C184" s="2">
        <f>IFERROR(__xludf.DUMMYFUNCTION("""COMPUTED_VALUE"""),1.0)</f>
        <v>1</v>
      </c>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t="str">
        <f>IFERROR(__xludf.DUMMYFUNCTION("""COMPUTED_VALUE"""),"Andres Cagua castro")</f>
        <v>Andres Cagua castro</v>
      </c>
      <c r="C185" s="2">
        <f>IFERROR(__xludf.DUMMYFUNCTION("""COMPUTED_VALUE"""),1.0)</f>
        <v>1</v>
      </c>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t="str">
        <f>IFERROR(__xludf.DUMMYFUNCTION("""COMPUTED_VALUE"""),"Andrésurrr3go")</f>
        <v>Andrésurrr3go</v>
      </c>
      <c r="C186" s="2">
        <f>IFERROR(__xludf.DUMMYFUNCTION("""COMPUTED_VALUE"""),1.0)</f>
        <v>1</v>
      </c>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t="str">
        <f>IFERROR(__xludf.DUMMYFUNCTION("""COMPUTED_VALUE"""),"Biodiego88")</f>
        <v>Biodiego88</v>
      </c>
      <c r="C187" s="2">
        <f>IFERROR(__xludf.DUMMYFUNCTION("""COMPUTED_VALUE"""),1.0)</f>
        <v>1</v>
      </c>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t="str">
        <f>IFERROR(__xludf.DUMMYFUNCTION("""COMPUTED_VALUE"""),"CA3avellaneda")</f>
        <v>CA3avellaneda</v>
      </c>
      <c r="C188" s="2">
        <f>IFERROR(__xludf.DUMMYFUNCTION("""COMPUTED_VALUE"""),1.0)</f>
        <v>1</v>
      </c>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t="str">
        <f>IFERROR(__xludf.DUMMYFUNCTION("""COMPUTED_VALUE"""),"Carlcruzt123")</f>
        <v>Carlcruzt123</v>
      </c>
      <c r="C189" s="2">
        <f>IFERROR(__xludf.DUMMYFUNCTION("""COMPUTED_VALUE"""),1.0)</f>
        <v>1</v>
      </c>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t="str">
        <f>IFERROR(__xludf.DUMMYFUNCTION("""COMPUTED_VALUE"""),"Cataarsiis")</f>
        <v>Cataarsiis</v>
      </c>
      <c r="C190" s="2">
        <f>IFERROR(__xludf.DUMMYFUNCTION("""COMPUTED_VALUE"""),1.0)</f>
        <v>1</v>
      </c>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t="str">
        <f>IFERROR(__xludf.DUMMYFUNCTION("""COMPUTED_VALUE"""),"Cdsfdsfvfds")</f>
        <v>Cdsfdsfvfds</v>
      </c>
      <c r="C191" s="2">
        <f>IFERROR(__xludf.DUMMYFUNCTION("""COMPUTED_VALUE"""),1.0)</f>
        <v>1</v>
      </c>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t="str">
        <f>IFERROR(__xludf.DUMMYFUNCTION("""COMPUTED_VALUE"""),"Chars21")</f>
        <v>Chars21</v>
      </c>
      <c r="C192" s="2">
        <f>IFERROR(__xludf.DUMMYFUNCTION("""COMPUTED_VALUE"""),1.0)</f>
        <v>1</v>
      </c>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t="str">
        <f>IFERROR(__xludf.DUMMYFUNCTION("""COMPUTED_VALUE"""),"Christinnaro")</f>
        <v>Christinnaro</v>
      </c>
      <c r="C193" s="2">
        <f>IFERROR(__xludf.DUMMYFUNCTION("""COMPUTED_VALUE"""),1.0)</f>
        <v>1</v>
      </c>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t="str">
        <f>IFERROR(__xludf.DUMMYFUNCTION("""COMPUTED_VALUE"""),"Cocada2013")</f>
        <v>Cocada2013</v>
      </c>
      <c r="C194" s="2">
        <f>IFERROR(__xludf.DUMMYFUNCTION("""COMPUTED_VALUE"""),1.0)</f>
        <v>1</v>
      </c>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t="str">
        <f>IFERROR(__xludf.DUMMYFUNCTION("""COMPUTED_VALUE"""),"Dacorralesc")</f>
        <v>Dacorralesc</v>
      </c>
      <c r="C195" s="2">
        <f>IFERROR(__xludf.DUMMYFUNCTION("""COMPUTED_VALUE"""),1.0)</f>
        <v>1</v>
      </c>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t="str">
        <f>IFERROR(__xludf.DUMMYFUNCTION("""COMPUTED_VALUE"""),"Daniela Novoa")</f>
        <v>Daniela Novoa</v>
      </c>
      <c r="C196" s="2">
        <f>IFERROR(__xludf.DUMMYFUNCTION("""COMPUTED_VALUE"""),1.0)</f>
        <v>1</v>
      </c>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t="str">
        <f>IFERROR(__xludf.DUMMYFUNCTION("""COMPUTED_VALUE"""),"Diana.Gonart")</f>
        <v>Diana.Gonart</v>
      </c>
      <c r="C197" s="2">
        <f>IFERROR(__xludf.DUMMYFUNCTION("""COMPUTED_VALUE"""),1.0)</f>
        <v>1</v>
      </c>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t="str">
        <f>IFERROR(__xludf.DUMMYFUNCTION("""COMPUTED_VALUE"""),"Dsvctv")</f>
        <v>Dsvctv</v>
      </c>
      <c r="C198" s="2">
        <f>IFERROR(__xludf.DUMMYFUNCTION("""COMPUTED_VALUE"""),1.0)</f>
        <v>1</v>
      </c>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t="str">
        <f>IFERROR(__xludf.DUMMYFUNCTION("""COMPUTED_VALUE"""),"Gsilvaarias")</f>
        <v>Gsilvaarias</v>
      </c>
      <c r="C199" s="2">
        <f>IFERROR(__xludf.DUMMYFUNCTION("""COMPUTED_VALUE"""),1.0)</f>
        <v>1</v>
      </c>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t="str">
        <f>IFERROR(__xludf.DUMMYFUNCTION("""COMPUTED_VALUE"""),"Gualy05")</f>
        <v>Gualy05</v>
      </c>
      <c r="C200" s="2">
        <f>IFERROR(__xludf.DUMMYFUNCTION("""COMPUTED_VALUE"""),1.0)</f>
        <v>1</v>
      </c>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t="str">
        <f>IFERROR(__xludf.DUMMYFUNCTION("""COMPUTED_VALUE"""),"Hector Bottai")</f>
        <v>Hector Bottai</v>
      </c>
      <c r="C201" s="2">
        <f>IFERROR(__xludf.DUMMYFUNCTION("""COMPUTED_VALUE"""),1.0)</f>
        <v>1</v>
      </c>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t="str">
        <f>IFERROR(__xludf.DUMMYFUNCTION("""COMPUTED_VALUE"""),"JACAndreas")</f>
        <v>JACAndreas</v>
      </c>
      <c r="C202" s="2">
        <f>IFERROR(__xludf.DUMMYFUNCTION("""COMPUTED_VALUE"""),1.0)</f>
        <v>1</v>
      </c>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t="str">
        <f>IFERROR(__xludf.DUMMYFUNCTION("""COMPUTED_VALUE"""),"Jaiber.Guzman")</f>
        <v>Jaiber.Guzman</v>
      </c>
      <c r="C203" s="2">
        <f>IFERROR(__xludf.DUMMYFUNCTION("""COMPUTED_VALUE"""),1.0)</f>
        <v>1</v>
      </c>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t="str">
        <f>IFERROR(__xludf.DUMMYFUNCTION("""COMPUTED_VALUE"""),"Janavet pantoja isaza")</f>
        <v>Janavet pantoja isaza</v>
      </c>
      <c r="C204" s="2">
        <f>IFERROR(__xludf.DUMMYFUNCTION("""COMPUTED_VALUE"""),1.0)</f>
        <v>1</v>
      </c>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t="str">
        <f>IFERROR(__xludf.DUMMYFUNCTION("""COMPUTED_VALUE"""),"Javierrpz")</f>
        <v>Javierrpz</v>
      </c>
      <c r="C205" s="2">
        <f>IFERROR(__xludf.DUMMYFUNCTION("""COMPUTED_VALUE"""),1.0)</f>
        <v>1</v>
      </c>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t="str">
        <f>IFERROR(__xludf.DUMMYFUNCTION("""COMPUTED_VALUE"""),"Jeffmanh")</f>
        <v>Jeffmanh</v>
      </c>
      <c r="C206" s="2">
        <f>IFERROR(__xludf.DUMMYFUNCTION("""COMPUTED_VALUE"""),1.0)</f>
        <v>1</v>
      </c>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t="str">
        <f>IFERROR(__xludf.DUMMYFUNCTION("""COMPUTED_VALUE"""),"Jjtolosa9")</f>
        <v>Jjtolosa9</v>
      </c>
      <c r="C207" s="2">
        <f>IFERROR(__xludf.DUMMYFUNCTION("""COMPUTED_VALUE"""),1.0)</f>
        <v>1</v>
      </c>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t="str">
        <f>IFERROR(__xludf.DUMMYFUNCTION("""COMPUTED_VALUE"""),"Jorge Santander fotografía de fauna")</f>
        <v>Jorge Santander fotografía de fauna</v>
      </c>
      <c r="C208" s="2">
        <f>IFERROR(__xludf.DUMMYFUNCTION("""COMPUTED_VALUE"""),1.0)</f>
        <v>1</v>
      </c>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t="str">
        <f>IFERROR(__xludf.DUMMYFUNCTION("""COMPUTED_VALUE"""),"JuànMì41")</f>
        <v>JuànMì41</v>
      </c>
      <c r="C209" s="2">
        <f>IFERROR(__xludf.DUMMYFUNCTION("""COMPUTED_VALUE"""),1.0)</f>
        <v>1</v>
      </c>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t="str">
        <f>IFERROR(__xludf.DUMMYFUNCTION("""COMPUTED_VALUE"""),"Karl Alberto chanc")</f>
        <v>Karl Alberto chanc</v>
      </c>
      <c r="C210" s="2">
        <f>IFERROR(__xludf.DUMMYFUNCTION("""COMPUTED_VALUE"""),1.0)</f>
        <v>1</v>
      </c>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t="str">
        <f>IFERROR(__xludf.DUMMYFUNCTION("""COMPUTED_VALUE"""),"Kevynguz")</f>
        <v>Kevynguz</v>
      </c>
      <c r="C211" s="2">
        <f>IFERROR(__xludf.DUMMYFUNCTION("""COMPUTED_VALUE"""),1.0)</f>
        <v>1</v>
      </c>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t="str">
        <f>IFERROR(__xludf.DUMMYFUNCTION("""COMPUTED_VALUE"""),"Krok6kola")</f>
        <v>Krok6kola</v>
      </c>
      <c r="C212" s="2">
        <f>IFERROR(__xludf.DUMMYFUNCTION("""COMPUTED_VALUE"""),1.0)</f>
        <v>1</v>
      </c>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t="str">
        <f>IFERROR(__xludf.DUMMYFUNCTION("""COMPUTED_VALUE"""),"Lchaparrob")</f>
        <v>Lchaparrob</v>
      </c>
      <c r="C213" s="2">
        <f>IFERROR(__xludf.DUMMYFUNCTION("""COMPUTED_VALUE"""),1.0)</f>
        <v>1</v>
      </c>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t="str">
        <f>IFERROR(__xludf.DUMMYFUNCTION("""COMPUTED_VALUE"""),"Leovilla1970")</f>
        <v>Leovilla1970</v>
      </c>
      <c r="C214" s="2">
        <f>IFERROR(__xludf.DUMMYFUNCTION("""COMPUTED_VALUE"""),1.0)</f>
        <v>1</v>
      </c>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t="str">
        <f>IFERROR(__xludf.DUMMYFUNCTION("""COMPUTED_VALUE"""),"Maicol andres sanabria leon")</f>
        <v>Maicol andres sanabria leon</v>
      </c>
      <c r="C215" s="2">
        <f>IFERROR(__xludf.DUMMYFUNCTION("""COMPUTED_VALUE"""),1.0)</f>
        <v>1</v>
      </c>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t="str">
        <f>IFERROR(__xludf.DUMMYFUNCTION("""COMPUTED_VALUE"""),"Maira Alejandra Restrepo")</f>
        <v>Maira Alejandra Restrepo</v>
      </c>
      <c r="C216" s="2">
        <f>IFERROR(__xludf.DUMMYFUNCTION("""COMPUTED_VALUE"""),1.0)</f>
        <v>1</v>
      </c>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t="str">
        <f>IFERROR(__xludf.DUMMYFUNCTION("""COMPUTED_VALUE"""),"ManuelMancera")</f>
        <v>ManuelMancera</v>
      </c>
      <c r="C217" s="2">
        <f>IFERROR(__xludf.DUMMYFUNCTION("""COMPUTED_VALUE"""),1.0)</f>
        <v>1</v>
      </c>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t="str">
        <f>IFERROR(__xludf.DUMMYFUNCTION("""COMPUTED_VALUE"""),"Mara Yurlady")</f>
        <v>Mara Yurlady</v>
      </c>
      <c r="C218" s="2">
        <f>IFERROR(__xludf.DUMMYFUNCTION("""COMPUTED_VALUE"""),1.0)</f>
        <v>1</v>
      </c>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t="str">
        <f>IFERROR(__xludf.DUMMYFUNCTION("""COMPUTED_VALUE"""),"Maria D28")</f>
        <v>Maria D28</v>
      </c>
      <c r="C219" s="2">
        <f>IFERROR(__xludf.DUMMYFUNCTION("""COMPUTED_VALUE"""),1.0)</f>
        <v>1</v>
      </c>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t="str">
        <f>IFERROR(__xludf.DUMMYFUNCTION("""COMPUTED_VALUE"""),"Maurentroa")</f>
        <v>Maurentroa</v>
      </c>
      <c r="C220" s="2">
        <f>IFERROR(__xludf.DUMMYFUNCTION("""COMPUTED_VALUE"""),1.0)</f>
        <v>1</v>
      </c>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t="str">
        <f>IFERROR(__xludf.DUMMYFUNCTION("""COMPUTED_VALUE"""),"Melkin100")</f>
        <v>Melkin100</v>
      </c>
      <c r="C221" s="2">
        <f>IFERROR(__xludf.DUMMYFUNCTION("""COMPUTED_VALUE"""),1.0)</f>
        <v>1</v>
      </c>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t="str">
        <f>IFERROR(__xludf.DUMMYFUNCTION("""COMPUTED_VALUE"""),"Mikedelvalle44")</f>
        <v>Mikedelvalle44</v>
      </c>
      <c r="C222" s="2">
        <f>IFERROR(__xludf.DUMMYFUNCTION("""COMPUTED_VALUE"""),1.0)</f>
        <v>1</v>
      </c>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t="str">
        <f>IFERROR(__xludf.DUMMYFUNCTION("""COMPUTED_VALUE"""),"Ninna11")</f>
        <v>Ninna11</v>
      </c>
      <c r="C223" s="2">
        <f>IFERROR(__xludf.DUMMYFUNCTION("""COMPUTED_VALUE"""),1.0)</f>
        <v>1</v>
      </c>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t="str">
        <f>IFERROR(__xludf.DUMMYFUNCTION("""COMPUTED_VALUE"""),"Orchi")</f>
        <v>Orchi</v>
      </c>
      <c r="C224" s="2">
        <f>IFERROR(__xludf.DUMMYFUNCTION("""COMPUTED_VALUE"""),1.0)</f>
        <v>1</v>
      </c>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t="str">
        <f>IFERROR(__xludf.DUMMYFUNCTION("""COMPUTED_VALUE"""),"PapisitoDeEmmanuel")</f>
        <v>PapisitoDeEmmanuel</v>
      </c>
      <c r="C225" s="2">
        <f>IFERROR(__xludf.DUMMYFUNCTION("""COMPUTED_VALUE"""),1.0)</f>
        <v>1</v>
      </c>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t="str">
        <f>IFERROR(__xludf.DUMMYFUNCTION("""COMPUTED_VALUE"""),"Patolaya")</f>
        <v>Patolaya</v>
      </c>
      <c r="C226" s="2">
        <f>IFERROR(__xludf.DUMMYFUNCTION("""COMPUTED_VALUE"""),1.0)</f>
        <v>1</v>
      </c>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t="str">
        <f>IFERROR(__xludf.DUMMYFUNCTION("""COMPUTED_VALUE"""),"Pili20$123458")</f>
        <v>Pili20$123458</v>
      </c>
      <c r="C227" s="2">
        <f>IFERROR(__xludf.DUMMYFUNCTION("""COMPUTED_VALUE"""),1.0)</f>
        <v>1</v>
      </c>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t="str">
        <f>IFERROR(__xludf.DUMMYFUNCTION("""COMPUTED_VALUE"""),"PioVet")</f>
        <v>PioVet</v>
      </c>
      <c r="C228" s="2">
        <f>IFERROR(__xludf.DUMMYFUNCTION("""COMPUTED_VALUE"""),1.0)</f>
        <v>1</v>
      </c>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t="str">
        <f>IFERROR(__xludf.DUMMYFUNCTION("""COMPUTED_VALUE"""),"Pipe.416")</f>
        <v>Pipe.416</v>
      </c>
      <c r="C229" s="2">
        <f>IFERROR(__xludf.DUMMYFUNCTION("""COMPUTED_VALUE"""),1.0)</f>
        <v>1</v>
      </c>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t="str">
        <f>IFERROR(__xludf.DUMMYFUNCTION("""COMPUTED_VALUE"""),"Pocholocosta")</f>
        <v>Pocholocosta</v>
      </c>
      <c r="C230" s="2">
        <f>IFERROR(__xludf.DUMMYFUNCTION("""COMPUTED_VALUE"""),1.0)</f>
        <v>1</v>
      </c>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t="str">
        <f>IFERROR(__xludf.DUMMYFUNCTION("""COMPUTED_VALUE"""),"Samir Riaño")</f>
        <v>Samir Riaño</v>
      </c>
      <c r="C231" s="2">
        <f>IFERROR(__xludf.DUMMYFUNCTION("""COMPUTED_VALUE"""),1.0)</f>
        <v>1</v>
      </c>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t="str">
        <f>IFERROR(__xludf.DUMMYFUNCTION("""COMPUTED_VALUE"""),"Sazeai")</f>
        <v>Sazeai</v>
      </c>
      <c r="C232" s="2">
        <f>IFERROR(__xludf.DUMMYFUNCTION("""COMPUTED_VALUE"""),1.0)</f>
        <v>1</v>
      </c>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t="str">
        <f>IFERROR(__xludf.DUMMYFUNCTION("""COMPUTED_VALUE"""),"Scarlettmarie27")</f>
        <v>Scarlettmarie27</v>
      </c>
      <c r="C233" s="2">
        <f>IFERROR(__xludf.DUMMYFUNCTION("""COMPUTED_VALUE"""),1.0)</f>
        <v>1</v>
      </c>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t="str">
        <f>IFERROR(__xludf.DUMMYFUNCTION("""COMPUTED_VALUE"""),"Seacowatee")</f>
        <v>Seacowatee</v>
      </c>
      <c r="C234" s="2">
        <f>IFERROR(__xludf.DUMMYFUNCTION("""COMPUTED_VALUE"""),1.0)</f>
        <v>1</v>
      </c>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t="str">
        <f>IFERROR(__xludf.DUMMYFUNCTION("""COMPUTED_VALUE"""),"Sebastiánlic23")</f>
        <v>Sebastiánlic23</v>
      </c>
      <c r="C235" s="2">
        <f>IFERROR(__xludf.DUMMYFUNCTION("""COMPUTED_VALUE"""),1.0)</f>
        <v>1</v>
      </c>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t="str">
        <f>IFERROR(__xludf.DUMMYFUNCTION("""COMPUTED_VALUE"""),"Serpagudelo")</f>
        <v>Serpagudelo</v>
      </c>
      <c r="C236" s="2">
        <f>IFERROR(__xludf.DUMMYFUNCTION("""COMPUTED_VALUE"""),1.0)</f>
        <v>1</v>
      </c>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t="str">
        <f>IFERROR(__xludf.DUMMYFUNCTION("""COMPUTED_VALUE"""),"Sigolene-jomain")</f>
        <v>Sigolene-jomain</v>
      </c>
      <c r="C237" s="2">
        <f>IFERROR(__xludf.DUMMYFUNCTION("""COMPUTED_VALUE"""),1.0)</f>
        <v>1</v>
      </c>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t="str">
        <f>IFERROR(__xludf.DUMMYFUNCTION("""COMPUTED_VALUE"""),"Skzapato")</f>
        <v>Skzapato</v>
      </c>
      <c r="C238" s="2">
        <f>IFERROR(__xludf.DUMMYFUNCTION("""COMPUTED_VALUE"""),1.0)</f>
        <v>1</v>
      </c>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t="str">
        <f>IFERROR(__xludf.DUMMYFUNCTION("""COMPUTED_VALUE"""),"Tatiana Silva 17")</f>
        <v>Tatiana Silva 17</v>
      </c>
      <c r="C239" s="2">
        <f>IFERROR(__xludf.DUMMYFUNCTION("""COMPUTED_VALUE"""),1.0)</f>
        <v>1</v>
      </c>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t="str">
        <f>IFERROR(__xludf.DUMMYFUNCTION("""COMPUTED_VALUE"""),"ThiagoVladReySayers")</f>
        <v>ThiagoVladReySayers</v>
      </c>
      <c r="C240" s="2">
        <f>IFERROR(__xludf.DUMMYFUNCTION("""COMPUTED_VALUE"""),1.0)</f>
        <v>1</v>
      </c>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t="str">
        <f>IFERROR(__xludf.DUMMYFUNCTION("""COMPUTED_VALUE"""),"Y.eduardo")</f>
        <v>Y.eduardo</v>
      </c>
      <c r="C241" s="2">
        <f>IFERROR(__xludf.DUMMYFUNCTION("""COMPUTED_VALUE"""),1.0)</f>
        <v>1</v>
      </c>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t="str">
        <f>IFERROR(__xludf.DUMMYFUNCTION("""COMPUTED_VALUE"""),"Zuly Myleny Gaita García")</f>
        <v>Zuly Myleny Gaita García</v>
      </c>
      <c r="C242" s="2">
        <f>IFERROR(__xludf.DUMMYFUNCTION("""COMPUTED_VALUE"""),1.0)</f>
        <v>1</v>
      </c>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2" t="s">
        <v>81</v>
      </c>
      <c r="C243" s="2">
        <f>SUM(C6:C242)</f>
        <v>2387</v>
      </c>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sheetData>
  <mergeCells count="1">
    <mergeCell ref="B2:I3"/>
  </mergeCells>
  <hyperlinks>
    <hyperlink r:id="rId1" ref="B9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2</v>
      </c>
      <c r="C1" s="1" t="s">
        <v>3</v>
      </c>
    </row>
    <row r="2">
      <c r="A2" s="6" t="str">
        <f>IFERROR(__xludf.DUMMYFUNCTION("FILTER('Imágenes WLE Colombia 2026'!A2:A1000, 'Imágenes WLE Colombia 2026'!E2:E1000 &lt;&gt; ""Sin coordenadas GPS"", 'Imágenes WLE Colombia 2026'!E2:E1000 &lt;&gt; """")"),"Supertita")</f>
        <v>Supertita</v>
      </c>
      <c r="B2" s="9">
        <f>IFERROR(__xludf.DUMMYFUNCTION("ARRAYFORMULA(IFERROR(VALUE(TRIM(SPLIT(FILTER('Imágenes WLE Colombia 2026'!E2:E1000, 'Imágenes WLE Colombia 2026'!E2:E1000 &lt;&gt; ""Sin coordenadas GPS"", 'Imágenes WLE Colombia 2026'!E2:E1000 &lt;&gt; """"), "","")))))"),4.51316)</f>
        <v>4.51316</v>
      </c>
      <c r="C2" s="9">
        <f>IFERROR(__xludf.DUMMYFUNCTION("""COMPUTED_VALUE"""),-74.53792)</f>
        <v>-74.53792</v>
      </c>
    </row>
    <row r="3">
      <c r="A3" s="6" t="str">
        <f>IFERROR(__xludf.DUMMYFUNCTION("""COMPUTED_VALUE"""),"Supertita")</f>
        <v>Supertita</v>
      </c>
      <c r="B3" s="9">
        <f>IFERROR(__xludf.DUMMYFUNCTION("""COMPUTED_VALUE"""),4.52799)</f>
        <v>4.52799</v>
      </c>
      <c r="C3" s="9">
        <f>IFERROR(__xludf.DUMMYFUNCTION("""COMPUTED_VALUE"""),-73.75284)</f>
        <v>-73.75284</v>
      </c>
    </row>
    <row r="4">
      <c r="A4" s="6" t="str">
        <f>IFERROR(__xludf.DUMMYFUNCTION("""COMPUTED_VALUE"""),"Supertita")</f>
        <v>Supertita</v>
      </c>
      <c r="B4" s="9">
        <f>IFERROR(__xludf.DUMMYFUNCTION("""COMPUTED_VALUE"""),4.3845)</f>
        <v>4.3845</v>
      </c>
      <c r="C4" s="9">
        <f>IFERROR(__xludf.DUMMYFUNCTION("""COMPUTED_VALUE"""),-7.40348)</f>
        <v>-7.40348</v>
      </c>
    </row>
    <row r="5">
      <c r="A5" s="6" t="str">
        <f>IFERROR(__xludf.DUMMYFUNCTION("""COMPUTED_VALUE"""),"Supertita")</f>
        <v>Supertita</v>
      </c>
      <c r="B5" s="9">
        <f>IFERROR(__xludf.DUMMYFUNCTION("""COMPUTED_VALUE"""),4.51316)</f>
        <v>4.51316</v>
      </c>
      <c r="C5" s="9">
        <f>IFERROR(__xludf.DUMMYFUNCTION("""COMPUTED_VALUE"""),-74.53792)</f>
        <v>-74.53792</v>
      </c>
    </row>
    <row r="6">
      <c r="A6" s="6" t="str">
        <f>IFERROR(__xludf.DUMMYFUNCTION("""COMPUTED_VALUE"""),"Elprofeta91")</f>
        <v>Elprofeta91</v>
      </c>
      <c r="B6" s="9">
        <f>IFERROR(__xludf.DUMMYFUNCTION("""COMPUTED_VALUE"""),8.072847)</f>
        <v>8.072847</v>
      </c>
      <c r="C6" s="9">
        <f>IFERROR(__xludf.DUMMYFUNCTION("""COMPUTED_VALUE"""),-74.785606)</f>
        <v>-74.785606</v>
      </c>
    </row>
    <row r="7">
      <c r="A7" s="6" t="str">
        <f>IFERROR(__xludf.DUMMYFUNCTION("""COMPUTED_VALUE"""),"Santiago Styles - Protect the Andes")</f>
        <v>Santiago Styles - Protect the Andes</v>
      </c>
      <c r="B7" s="9">
        <f>IFERROR(__xludf.DUMMYFUNCTION("""COMPUTED_VALUE"""),4.708471)</f>
        <v>4.708471</v>
      </c>
      <c r="C7" s="9">
        <f>IFERROR(__xludf.DUMMYFUNCTION("""COMPUTED_VALUE"""),-75.648438)</f>
        <v>-75.648438</v>
      </c>
    </row>
    <row r="8">
      <c r="A8" s="6" t="str">
        <f>IFERROR(__xludf.DUMMYFUNCTION("""COMPUTED_VALUE"""),"Santiago Styles - Protect the Andes")</f>
        <v>Santiago Styles - Protect the Andes</v>
      </c>
      <c r="B8" s="9">
        <f>IFERROR(__xludf.DUMMYFUNCTION("""COMPUTED_VALUE"""),7.189779)</f>
        <v>7.189779</v>
      </c>
      <c r="C8" s="9">
        <f>IFERROR(__xludf.DUMMYFUNCTION("""COMPUTED_VALUE"""),-76.447289)</f>
        <v>-76.447289</v>
      </c>
    </row>
    <row r="9">
      <c r="A9" s="6" t="str">
        <f>IFERROR(__xludf.DUMMYFUNCTION("""COMPUTED_VALUE"""),"Rodrigomacrophoto")</f>
        <v>Rodrigomacrophoto</v>
      </c>
      <c r="B9" s="9">
        <f>IFERROR(__xludf.DUMMYFUNCTION("""COMPUTED_VALUE"""),4.87337)</f>
        <v>4.87337</v>
      </c>
      <c r="C9" s="9">
        <f>IFERROR(__xludf.DUMMYFUNCTION("""COMPUTED_VALUE"""),-74.08291)</f>
        <v>-74.08291</v>
      </c>
    </row>
    <row r="10">
      <c r="A10" s="6" t="str">
        <f>IFERROR(__xludf.DUMMYFUNCTION("""COMPUTED_VALUE"""),"Rodrigomacrophoto")</f>
        <v>Rodrigomacrophoto</v>
      </c>
      <c r="B10" s="9">
        <f>IFERROR(__xludf.DUMMYFUNCTION("""COMPUTED_VALUE"""),4.87337)</f>
        <v>4.87337</v>
      </c>
      <c r="C10" s="9">
        <f>IFERROR(__xludf.DUMMYFUNCTION("""COMPUTED_VALUE"""),-74.08291)</f>
        <v>-74.08291</v>
      </c>
    </row>
    <row r="11">
      <c r="A11" s="6" t="str">
        <f>IFERROR(__xludf.DUMMYFUNCTION("""COMPUTED_VALUE"""),"Andresdflorez23")</f>
        <v>Andresdflorez23</v>
      </c>
      <c r="B11" s="9">
        <f>IFERROR(__xludf.DUMMYFUNCTION("""COMPUTED_VALUE"""),4.741302)</f>
        <v>4.741302</v>
      </c>
      <c r="C11" s="9">
        <f>IFERROR(__xludf.DUMMYFUNCTION("""COMPUTED_VALUE"""),-73.909282)</f>
        <v>-73.909282</v>
      </c>
    </row>
    <row r="12">
      <c r="A12" s="6" t="str">
        <f>IFERROR(__xludf.DUMMYFUNCTION("""COMPUTED_VALUE"""),"AmiGueko")</f>
        <v>AmiGueko</v>
      </c>
      <c r="B12" s="9">
        <f>IFERROR(__xludf.DUMMYFUNCTION("""COMPUTED_VALUE"""),4.33447)</f>
        <v>4.33447</v>
      </c>
      <c r="C12" s="9">
        <f>IFERROR(__xludf.DUMMYFUNCTION("""COMPUTED_VALUE"""),-75.84758)</f>
        <v>-75.84758</v>
      </c>
    </row>
    <row r="13">
      <c r="A13" s="6" t="str">
        <f>IFERROR(__xludf.DUMMYFUNCTION("""COMPUTED_VALUE"""),"AmiGueko")</f>
        <v>AmiGueko</v>
      </c>
      <c r="B13" s="9">
        <f>IFERROR(__xludf.DUMMYFUNCTION("""COMPUTED_VALUE"""),4.332538)</f>
        <v>4.332538</v>
      </c>
      <c r="C13" s="9">
        <f>IFERROR(__xludf.DUMMYFUNCTION("""COMPUTED_VALUE"""),-75.819356)</f>
        <v>-75.819356</v>
      </c>
    </row>
    <row r="14">
      <c r="A14" s="6" t="str">
        <f>IFERROR(__xludf.DUMMYFUNCTION("""COMPUTED_VALUE"""),"Rodrigomacrophoto")</f>
        <v>Rodrigomacrophoto</v>
      </c>
      <c r="B14" s="9">
        <f>IFERROR(__xludf.DUMMYFUNCTION("""COMPUTED_VALUE"""),4.872412)</f>
        <v>4.872412</v>
      </c>
      <c r="C14" s="9">
        <f>IFERROR(__xludf.DUMMYFUNCTION("""COMPUTED_VALUE"""),-74.08459)</f>
        <v>-74.08459</v>
      </c>
    </row>
    <row r="15">
      <c r="A15" s="6" t="str">
        <f>IFERROR(__xludf.DUMMYFUNCTION("""COMPUTED_VALUE"""),"Rodrigomacrophoto")</f>
        <v>Rodrigomacrophoto</v>
      </c>
      <c r="B15" s="9">
        <f>IFERROR(__xludf.DUMMYFUNCTION("""COMPUTED_VALUE"""),4.874161)</f>
        <v>4.874161</v>
      </c>
      <c r="C15" s="9">
        <f>IFERROR(__xludf.DUMMYFUNCTION("""COMPUTED_VALUE"""),-74.085107)</f>
        <v>-74.085107</v>
      </c>
    </row>
    <row r="16">
      <c r="A16" s="6" t="str">
        <f>IFERROR(__xludf.DUMMYFUNCTION("""COMPUTED_VALUE"""),"Rodrigomacrophoto")</f>
        <v>Rodrigomacrophoto</v>
      </c>
      <c r="B16" s="9">
        <f>IFERROR(__xludf.DUMMYFUNCTION("""COMPUTED_VALUE"""),4.874161)</f>
        <v>4.874161</v>
      </c>
      <c r="C16" s="9">
        <f>IFERROR(__xludf.DUMMYFUNCTION("""COMPUTED_VALUE"""),-74.085107)</f>
        <v>-74.085107</v>
      </c>
    </row>
    <row r="17">
      <c r="A17" s="6" t="str">
        <f>IFERROR(__xludf.DUMMYFUNCTION("""COMPUTED_VALUE"""),"AmiGueko")</f>
        <v>AmiGueko</v>
      </c>
      <c r="B17" s="9">
        <f>IFERROR(__xludf.DUMMYFUNCTION("""COMPUTED_VALUE"""),4.335498)</f>
        <v>4.335498</v>
      </c>
      <c r="C17" s="9">
        <f>IFERROR(__xludf.DUMMYFUNCTION("""COMPUTED_VALUE"""),-75.832438)</f>
        <v>-75.832438</v>
      </c>
    </row>
    <row r="18">
      <c r="A18" s="6" t="str">
        <f>IFERROR(__xludf.DUMMYFUNCTION("""COMPUTED_VALUE"""),"Andresdflorez23")</f>
        <v>Andresdflorez23</v>
      </c>
      <c r="B18" s="9">
        <f>IFERROR(__xludf.DUMMYFUNCTION("""COMPUTED_VALUE"""),4.72848)</f>
        <v>4.72848</v>
      </c>
      <c r="C18" s="9">
        <f>IFERROR(__xludf.DUMMYFUNCTION("""COMPUTED_VALUE"""),-73.919332)</f>
        <v>-73.919332</v>
      </c>
    </row>
    <row r="19">
      <c r="A19" s="6" t="str">
        <f>IFERROR(__xludf.DUMMYFUNCTION("""COMPUTED_VALUE"""),"Diferoch")</f>
        <v>Diferoch</v>
      </c>
      <c r="B19" s="9">
        <f>IFERROR(__xludf.DUMMYFUNCTION("""COMPUTED_VALUE"""),7.08486)</f>
        <v>7.08486</v>
      </c>
      <c r="C19" s="9">
        <f>IFERROR(__xludf.DUMMYFUNCTION("""COMPUTED_VALUE"""),-73.863838)</f>
        <v>-73.863838</v>
      </c>
    </row>
    <row r="20">
      <c r="A20" s="6" t="str">
        <f>IFERROR(__xludf.DUMMYFUNCTION("""COMPUTED_VALUE"""),"Gualy05")</f>
        <v>Gualy05</v>
      </c>
      <c r="B20" s="9">
        <f>IFERROR(__xludf.DUMMYFUNCTION("""COMPUTED_VALUE"""),1.66075)</f>
        <v>1.66075</v>
      </c>
      <c r="C20" s="9">
        <f>IFERROR(__xludf.DUMMYFUNCTION("""COMPUTED_VALUE"""),-75.600525)</f>
        <v>-75.600525</v>
      </c>
    </row>
    <row r="21">
      <c r="A21" s="6" t="str">
        <f>IFERROR(__xludf.DUMMYFUNCTION("""COMPUTED_VALUE"""),"Johan Andrés Toro")</f>
        <v>Johan Andrés Toro</v>
      </c>
      <c r="B21" s="9">
        <f>IFERROR(__xludf.DUMMYFUNCTION("""COMPUTED_VALUE"""),4.580683)</f>
        <v>4.580683</v>
      </c>
      <c r="C21" s="9">
        <f>IFERROR(__xludf.DUMMYFUNCTION("""COMPUTED_VALUE"""),-74.297505)</f>
        <v>-74.297505</v>
      </c>
    </row>
    <row r="22">
      <c r="A22" s="6" t="str">
        <f>IFERROR(__xludf.DUMMYFUNCTION("""COMPUTED_VALUE"""),"Diferoch")</f>
        <v>Diferoch</v>
      </c>
      <c r="B22" s="9">
        <f>IFERROR(__xludf.DUMMYFUNCTION("""COMPUTED_VALUE"""),6.717535)</f>
        <v>6.717535</v>
      </c>
      <c r="C22" s="9">
        <f>IFERROR(__xludf.DUMMYFUNCTION("""COMPUTED_VALUE"""),-74.134963)</f>
        <v>-74.134963</v>
      </c>
    </row>
    <row r="23">
      <c r="A23" s="6" t="str">
        <f>IFERROR(__xludf.DUMMYFUNCTION("""COMPUTED_VALUE"""),"Diferoch")</f>
        <v>Diferoch</v>
      </c>
      <c r="B23" s="9">
        <f>IFERROR(__xludf.DUMMYFUNCTION("""COMPUTED_VALUE"""),5.624638)</f>
        <v>5.624638</v>
      </c>
      <c r="C23" s="9">
        <f>IFERROR(__xludf.DUMMYFUNCTION("""COMPUTED_VALUE"""),-77.419563)</f>
        <v>-77.419563</v>
      </c>
    </row>
    <row r="24">
      <c r="A24" s="6" t="str">
        <f>IFERROR(__xludf.DUMMYFUNCTION("""COMPUTED_VALUE"""),"NMontoya (WMCO)")</f>
        <v>NMontoya (WMCO)</v>
      </c>
      <c r="B24" s="9">
        <f>IFERROR(__xludf.DUMMYFUNCTION("""COMPUTED_VALUE"""),4.66775)</f>
        <v>4.66775</v>
      </c>
      <c r="C24" s="9">
        <f>IFERROR(__xludf.DUMMYFUNCTION("""COMPUTED_VALUE"""),-74.099944)</f>
        <v>-74.099944</v>
      </c>
    </row>
    <row r="25">
      <c r="A25" s="6" t="str">
        <f>IFERROR(__xludf.DUMMYFUNCTION("""COMPUTED_VALUE"""),"Rodrigomacrophoto")</f>
        <v>Rodrigomacrophoto</v>
      </c>
      <c r="B25" s="9">
        <f>IFERROR(__xludf.DUMMYFUNCTION("""COMPUTED_VALUE"""),4.872513)</f>
        <v>4.872513</v>
      </c>
      <c r="C25" s="9">
        <f>IFERROR(__xludf.DUMMYFUNCTION("""COMPUTED_VALUE"""),-74.083813)</f>
        <v>-74.083813</v>
      </c>
    </row>
    <row r="26">
      <c r="A26" s="6" t="str">
        <f>IFERROR(__xludf.DUMMYFUNCTION("""COMPUTED_VALUE"""),"Bioedna.ro")</f>
        <v>Bioedna.ro</v>
      </c>
      <c r="B26" s="9">
        <f>IFERROR(__xludf.DUMMYFUNCTION("""COMPUTED_VALUE"""),4.546453)</f>
        <v>4.546453</v>
      </c>
      <c r="C26" s="9">
        <f>IFERROR(__xludf.DUMMYFUNCTION("""COMPUTED_VALUE"""),-73.320351)</f>
        <v>-73.320351</v>
      </c>
    </row>
    <row r="27">
      <c r="A27" s="6" t="str">
        <f>IFERROR(__xludf.DUMMYFUNCTION("""COMPUTED_VALUE"""),"Bioedna.ro")</f>
        <v>Bioedna.ro</v>
      </c>
      <c r="B27" s="9">
        <f>IFERROR(__xludf.DUMMYFUNCTION("""COMPUTED_VALUE"""),4.546453)</f>
        <v>4.546453</v>
      </c>
      <c r="C27" s="9">
        <f>IFERROR(__xludf.DUMMYFUNCTION("""COMPUTED_VALUE"""),-73.320351)</f>
        <v>-73.320351</v>
      </c>
    </row>
    <row r="28">
      <c r="A28" s="6" t="str">
        <f>IFERROR(__xludf.DUMMYFUNCTION("""COMPUTED_VALUE"""),"AmiGueko")</f>
        <v>AmiGueko</v>
      </c>
      <c r="B28" s="9">
        <f>IFERROR(__xludf.DUMMYFUNCTION("""COMPUTED_VALUE"""),4.66775)</f>
        <v>4.66775</v>
      </c>
      <c r="C28" s="9">
        <f>IFERROR(__xludf.DUMMYFUNCTION("""COMPUTED_VALUE"""),-74.099944)</f>
        <v>-74.099944</v>
      </c>
    </row>
    <row r="29">
      <c r="A29" s="6" t="str">
        <f>IFERROR(__xludf.DUMMYFUNCTION("""COMPUTED_VALUE"""),"AmiGueko")</f>
        <v>AmiGueko</v>
      </c>
      <c r="B29" s="9">
        <f>IFERROR(__xludf.DUMMYFUNCTION("""COMPUTED_VALUE"""),4.66775)</f>
        <v>4.66775</v>
      </c>
      <c r="C29" s="9">
        <f>IFERROR(__xludf.DUMMYFUNCTION("""COMPUTED_VALUE"""),-74.099944)</f>
        <v>-74.099944</v>
      </c>
    </row>
    <row r="30">
      <c r="A30" s="6" t="str">
        <f>IFERROR(__xludf.DUMMYFUNCTION("""COMPUTED_VALUE"""),"Mat1318")</f>
        <v>Mat1318</v>
      </c>
      <c r="B30" s="9">
        <f>IFERROR(__xludf.DUMMYFUNCTION("""COMPUTED_VALUE"""),4.85912511)</f>
        <v>4.85912511</v>
      </c>
      <c r="C30" s="9">
        <f>IFERROR(__xludf.DUMMYFUNCTION("""COMPUTED_VALUE"""),-74.08304594)</f>
        <v>-74.08304594</v>
      </c>
    </row>
    <row r="31">
      <c r="A31" s="6" t="str">
        <f>IFERROR(__xludf.DUMMYFUNCTION("""COMPUTED_VALUE"""),"AmiGueko")</f>
        <v>AmiGueko</v>
      </c>
      <c r="B31" s="9">
        <f>IFERROR(__xludf.DUMMYFUNCTION("""COMPUTED_VALUE"""),4.967142)</f>
        <v>4.967142</v>
      </c>
      <c r="C31" s="9">
        <f>IFERROR(__xludf.DUMMYFUNCTION("""COMPUTED_VALUE"""),-74.264842)</f>
        <v>-74.264842</v>
      </c>
    </row>
    <row r="32">
      <c r="A32" s="6" t="str">
        <f>IFERROR(__xludf.DUMMYFUNCTION("""COMPUTED_VALUE"""),"AmiGueko")</f>
        <v>AmiGueko</v>
      </c>
      <c r="B32" s="9">
        <f>IFERROR(__xludf.DUMMYFUNCTION("""COMPUTED_VALUE"""),4.968985)</f>
        <v>4.968985</v>
      </c>
      <c r="C32" s="9">
        <f>IFERROR(__xludf.DUMMYFUNCTION("""COMPUTED_VALUE"""),-74.266381)</f>
        <v>-74.266381</v>
      </c>
    </row>
    <row r="33">
      <c r="A33" s="6" t="str">
        <f>IFERROR(__xludf.DUMMYFUNCTION("""COMPUTED_VALUE"""),"Diferoch")</f>
        <v>Diferoch</v>
      </c>
      <c r="B33" s="9">
        <f>IFERROR(__xludf.DUMMYFUNCTION("""COMPUTED_VALUE"""),5.606058)</f>
        <v>5.606058</v>
      </c>
      <c r="C33" s="9">
        <f>IFERROR(__xludf.DUMMYFUNCTION("""COMPUTED_VALUE"""),-77.441795)</f>
        <v>-77.441795</v>
      </c>
    </row>
    <row r="34">
      <c r="A34" s="6" t="str">
        <f>IFERROR(__xludf.DUMMYFUNCTION("""COMPUTED_VALUE"""),"Diferoch")</f>
        <v>Diferoch</v>
      </c>
      <c r="B34" s="9">
        <f>IFERROR(__xludf.DUMMYFUNCTION("""COMPUTED_VALUE"""),11.132707)</f>
        <v>11.132707</v>
      </c>
      <c r="C34" s="9">
        <f>IFERROR(__xludf.DUMMYFUNCTION("""COMPUTED_VALUE"""),-74.228905)</f>
        <v>-74.228905</v>
      </c>
    </row>
    <row r="35">
      <c r="A35" s="6" t="str">
        <f>IFERROR(__xludf.DUMMYFUNCTION("""COMPUTED_VALUE"""),"CHAVESJUAN19")</f>
        <v>CHAVESJUAN19</v>
      </c>
      <c r="B35" s="9">
        <f>IFERROR(__xludf.DUMMYFUNCTION("""COMPUTED_VALUE"""),1.615202)</f>
        <v>1.615202</v>
      </c>
      <c r="C35" s="9">
        <f>IFERROR(__xludf.DUMMYFUNCTION("""COMPUTED_VALUE"""),-76.102569)</f>
        <v>-76.102569</v>
      </c>
    </row>
    <row r="36">
      <c r="A36" s="6" t="str">
        <f>IFERROR(__xludf.DUMMYFUNCTION("""COMPUTED_VALUE"""),"XimmoY")</f>
        <v>XimmoY</v>
      </c>
      <c r="B36" s="9">
        <f>IFERROR(__xludf.DUMMYFUNCTION("""COMPUTED_VALUE"""),5.86224)</f>
        <v>5.86224</v>
      </c>
      <c r="C36" s="9">
        <f>IFERROR(__xludf.DUMMYFUNCTION("""COMPUTED_VALUE"""),-74.87047)</f>
        <v>-74.87047</v>
      </c>
    </row>
    <row r="37">
      <c r="A37" s="6" t="str">
        <f>IFERROR(__xludf.DUMMYFUNCTION("""COMPUTED_VALUE"""),"Diferoch")</f>
        <v>Diferoch</v>
      </c>
      <c r="B37" s="9">
        <f>IFERROR(__xludf.DUMMYFUNCTION("""COMPUTED_VALUE"""),6.701142)</f>
        <v>6.701142</v>
      </c>
      <c r="C37" s="9">
        <f>IFERROR(__xludf.DUMMYFUNCTION("""COMPUTED_VALUE"""),-74.152047)</f>
        <v>-74.152047</v>
      </c>
    </row>
    <row r="38">
      <c r="A38" s="6" t="str">
        <f>IFERROR(__xludf.DUMMYFUNCTION("""COMPUTED_VALUE"""),"Mfrancoavellaneda")</f>
        <v>Mfrancoavellaneda</v>
      </c>
      <c r="B38" s="9">
        <f>IFERROR(__xludf.DUMMYFUNCTION("""COMPUTED_VALUE"""),4.668289)</f>
        <v>4.668289</v>
      </c>
      <c r="C38" s="9">
        <f>IFERROR(__xludf.DUMMYFUNCTION("""COMPUTED_VALUE"""),-74.097017)</f>
        <v>-74.097017</v>
      </c>
    </row>
    <row r="39">
      <c r="A39" s="6" t="str">
        <f>IFERROR(__xludf.DUMMYFUNCTION("""COMPUTED_VALUE"""),"AmiGueko")</f>
        <v>AmiGueko</v>
      </c>
      <c r="B39" s="9">
        <f>IFERROR(__xludf.DUMMYFUNCTION("""COMPUTED_VALUE"""),4.66775)</f>
        <v>4.66775</v>
      </c>
      <c r="C39" s="9">
        <f>IFERROR(__xludf.DUMMYFUNCTION("""COMPUTED_VALUE"""),-74.099944)</f>
        <v>-74.099944</v>
      </c>
    </row>
    <row r="40">
      <c r="A40" s="6" t="str">
        <f>IFERROR(__xludf.DUMMYFUNCTION("""COMPUTED_VALUE"""),"LentedeBerilo")</f>
        <v>LentedeBerilo</v>
      </c>
      <c r="B40" s="9">
        <f>IFERROR(__xludf.DUMMYFUNCTION("""COMPUTED_VALUE"""),2.938272)</f>
        <v>2.938272</v>
      </c>
      <c r="C40" s="9">
        <f>IFERROR(__xludf.DUMMYFUNCTION("""COMPUTED_VALUE"""),-78.202501)</f>
        <v>-78.202501</v>
      </c>
    </row>
    <row r="41">
      <c r="A41" s="6" t="str">
        <f>IFERROR(__xludf.DUMMYFUNCTION("""COMPUTED_VALUE"""),"Supertita")</f>
        <v>Supertita</v>
      </c>
      <c r="B41" s="9">
        <f>IFERROR(__xludf.DUMMYFUNCTION("""COMPUTED_VALUE"""),4.51316)</f>
        <v>4.51316</v>
      </c>
      <c r="C41" s="9">
        <f>IFERROR(__xludf.DUMMYFUNCTION("""COMPUTED_VALUE"""),-74.53792)</f>
        <v>-74.53792</v>
      </c>
    </row>
    <row r="42">
      <c r="A42" s="6" t="str">
        <f>IFERROR(__xludf.DUMMYFUNCTION("""COMPUTED_VALUE"""),"Diferoch")</f>
        <v>Diferoch</v>
      </c>
      <c r="B42" s="9">
        <f>IFERROR(__xludf.DUMMYFUNCTION("""COMPUTED_VALUE"""),6.714175)</f>
        <v>6.714175</v>
      </c>
      <c r="C42" s="9">
        <f>IFERROR(__xludf.DUMMYFUNCTION("""COMPUTED_VALUE"""),-74.140693)</f>
        <v>-74.140693</v>
      </c>
    </row>
    <row r="43">
      <c r="A43" s="6" t="str">
        <f>IFERROR(__xludf.DUMMYFUNCTION("""COMPUTED_VALUE"""),"Johannelob")</f>
        <v>Johannelob</v>
      </c>
      <c r="B43" s="9">
        <f>IFERROR(__xludf.DUMMYFUNCTION("""COMPUTED_VALUE"""),10.425)</f>
        <v>10.425</v>
      </c>
      <c r="C43" s="9">
        <f>IFERROR(__xludf.DUMMYFUNCTION("""COMPUTED_VALUE"""),-75.540278)</f>
        <v>-75.540278</v>
      </c>
    </row>
    <row r="44">
      <c r="A44" s="6" t="str">
        <f>IFERROR(__xludf.DUMMYFUNCTION("""COMPUTED_VALUE"""),"Diferoch")</f>
        <v>Diferoch</v>
      </c>
      <c r="B44" s="9">
        <f>IFERROR(__xludf.DUMMYFUNCTION("""COMPUTED_VALUE"""),7.096398)</f>
        <v>7.096398</v>
      </c>
      <c r="C44" s="9">
        <f>IFERROR(__xludf.DUMMYFUNCTION("""COMPUTED_VALUE"""),-73.756278)</f>
        <v>-73.756278</v>
      </c>
    </row>
    <row r="45">
      <c r="A45" s="6" t="str">
        <f>IFERROR(__xludf.DUMMYFUNCTION("""COMPUTED_VALUE"""),"Diferoch")</f>
        <v>Diferoch</v>
      </c>
      <c r="B45" s="9">
        <f>IFERROR(__xludf.DUMMYFUNCTION("""COMPUTED_VALUE"""),7.085099)</f>
        <v>7.085099</v>
      </c>
      <c r="C45" s="9">
        <f>IFERROR(__xludf.DUMMYFUNCTION("""COMPUTED_VALUE"""),-73.864105)</f>
        <v>-73.864105</v>
      </c>
    </row>
    <row r="46">
      <c r="A46" s="6" t="str">
        <f>IFERROR(__xludf.DUMMYFUNCTION("""COMPUTED_VALUE"""),"Diferoch")</f>
        <v>Diferoch</v>
      </c>
      <c r="B46" s="9">
        <f>IFERROR(__xludf.DUMMYFUNCTION("""COMPUTED_VALUE"""),7.084832)</f>
        <v>7.084832</v>
      </c>
      <c r="C46" s="9">
        <f>IFERROR(__xludf.DUMMYFUNCTION("""COMPUTED_VALUE"""),-73.863968)</f>
        <v>-73.863968</v>
      </c>
    </row>
    <row r="47">
      <c r="A47" s="6" t="str">
        <f>IFERROR(__xludf.DUMMYFUNCTION("""COMPUTED_VALUE"""),"Diferoch")</f>
        <v>Diferoch</v>
      </c>
      <c r="B47" s="9">
        <f>IFERROR(__xludf.DUMMYFUNCTION("""COMPUTED_VALUE"""),7.08483)</f>
        <v>7.08483</v>
      </c>
      <c r="C47" s="9">
        <f>IFERROR(__xludf.DUMMYFUNCTION("""COMPUTED_VALUE"""),-73.863968)</f>
        <v>-73.863968</v>
      </c>
    </row>
    <row r="48">
      <c r="A48" s="6" t="str">
        <f>IFERROR(__xludf.DUMMYFUNCTION("""COMPUTED_VALUE"""),"Rodrigomacrophoto")</f>
        <v>Rodrigomacrophoto</v>
      </c>
      <c r="B48" s="9">
        <f>IFERROR(__xludf.DUMMYFUNCTION("""COMPUTED_VALUE"""),4.897689)</f>
        <v>4.897689</v>
      </c>
      <c r="C48" s="9">
        <f>IFERROR(__xludf.DUMMYFUNCTION("""COMPUTED_VALUE"""),-74.08207)</f>
        <v>-74.08207</v>
      </c>
    </row>
    <row r="49">
      <c r="A49" s="6" t="str">
        <f>IFERROR(__xludf.DUMMYFUNCTION("""COMPUTED_VALUE"""),"XimmoY")</f>
        <v>XimmoY</v>
      </c>
      <c r="B49" s="9">
        <f>IFERROR(__xludf.DUMMYFUNCTION("""COMPUTED_VALUE"""),10.857)</f>
        <v>10.857</v>
      </c>
      <c r="C49" s="9">
        <f>IFERROR(__xludf.DUMMYFUNCTION("""COMPUTED_VALUE"""),-73.722)</f>
        <v>-73.722</v>
      </c>
    </row>
    <row r="50">
      <c r="A50" s="6" t="str">
        <f>IFERROR(__xludf.DUMMYFUNCTION("""COMPUTED_VALUE"""),"XimmoY")</f>
        <v>XimmoY</v>
      </c>
      <c r="B50" s="9">
        <f>IFERROR(__xludf.DUMMYFUNCTION("""COMPUTED_VALUE"""),10.857)</f>
        <v>10.857</v>
      </c>
      <c r="C50" s="9">
        <f>IFERROR(__xludf.DUMMYFUNCTION("""COMPUTED_VALUE"""),-73.722)</f>
        <v>-73.722</v>
      </c>
    </row>
    <row r="51">
      <c r="A51" s="6" t="str">
        <f>IFERROR(__xludf.DUMMYFUNCTION("""COMPUTED_VALUE"""),"Andresdflorez23")</f>
        <v>Andresdflorez23</v>
      </c>
      <c r="B51" s="9">
        <f>IFERROR(__xludf.DUMMYFUNCTION("""COMPUTED_VALUE"""),4.564131)</f>
        <v>4.564131</v>
      </c>
      <c r="C51" s="9">
        <f>IFERROR(__xludf.DUMMYFUNCTION("""COMPUTED_VALUE"""),-74.526377)</f>
        <v>-74.526377</v>
      </c>
    </row>
    <row r="52">
      <c r="A52" s="6" t="str">
        <f>IFERROR(__xludf.DUMMYFUNCTION("""COMPUTED_VALUE"""),"JulianaaValenFrog28")</f>
        <v>JulianaaValenFrog28</v>
      </c>
      <c r="B52" s="9">
        <f>IFERROR(__xludf.DUMMYFUNCTION("""COMPUTED_VALUE"""),4.5275)</f>
        <v>4.5275</v>
      </c>
      <c r="C52" s="9">
        <f>IFERROR(__xludf.DUMMYFUNCTION("""COMPUTED_VALUE"""),-73.9257)</f>
        <v>-73.9257</v>
      </c>
    </row>
    <row r="53">
      <c r="A53" s="6" t="str">
        <f>IFERROR(__xludf.DUMMYFUNCTION("""COMPUTED_VALUE"""),"Supertita")</f>
        <v>Supertita</v>
      </c>
      <c r="B53" s="9">
        <f>IFERROR(__xludf.DUMMYFUNCTION("""COMPUTED_VALUE"""),4.668211)</f>
        <v>4.668211</v>
      </c>
      <c r="C53" s="9">
        <f>IFERROR(__xludf.DUMMYFUNCTION("""COMPUTED_VALUE"""),-74.100198)</f>
        <v>-74.100198</v>
      </c>
    </row>
    <row r="54">
      <c r="A54" s="6" t="str">
        <f>IFERROR(__xludf.DUMMYFUNCTION("""COMPUTED_VALUE"""),"Mfrancoavellaneda")</f>
        <v>Mfrancoavellaneda</v>
      </c>
      <c r="B54" s="9">
        <f>IFERROR(__xludf.DUMMYFUNCTION("""COMPUTED_VALUE"""),4.668601)</f>
        <v>4.668601</v>
      </c>
      <c r="C54" s="9">
        <f>IFERROR(__xludf.DUMMYFUNCTION("""COMPUTED_VALUE"""),-74.097017)</f>
        <v>-74.097017</v>
      </c>
    </row>
    <row r="55">
      <c r="A55" s="6" t="str">
        <f>IFERROR(__xludf.DUMMYFUNCTION("""COMPUTED_VALUE"""),"Elprofeta91")</f>
        <v>Elprofeta91</v>
      </c>
      <c r="B55" s="9">
        <f>IFERROR(__xludf.DUMMYFUNCTION("""COMPUTED_VALUE"""),8.070528)</f>
        <v>8.070528</v>
      </c>
      <c r="C55" s="9">
        <f>IFERROR(__xludf.DUMMYFUNCTION("""COMPUTED_VALUE"""),-74.789983)</f>
        <v>-74.789983</v>
      </c>
    </row>
    <row r="56">
      <c r="A56" s="6" t="str">
        <f>IFERROR(__xludf.DUMMYFUNCTION("""COMPUTED_VALUE"""),"Supertita")</f>
        <v>Supertita</v>
      </c>
      <c r="B56" s="9">
        <f>IFERROR(__xludf.DUMMYFUNCTION("""COMPUTED_VALUE"""),4.668211)</f>
        <v>4.668211</v>
      </c>
      <c r="C56" s="9">
        <f>IFERROR(__xludf.DUMMYFUNCTION("""COMPUTED_VALUE"""),-74.100198)</f>
        <v>-74.100198</v>
      </c>
    </row>
    <row r="57">
      <c r="A57" s="6" t="str">
        <f>IFERROR(__xludf.DUMMYFUNCTION("""COMPUTED_VALUE"""),"Diferoch")</f>
        <v>Diferoch</v>
      </c>
      <c r="B57" s="9">
        <f>IFERROR(__xludf.DUMMYFUNCTION("""COMPUTED_VALUE"""),4.599825)</f>
        <v>4.599825</v>
      </c>
      <c r="C57" s="9">
        <f>IFERROR(__xludf.DUMMYFUNCTION("""COMPUTED_VALUE"""),-74.063408)</f>
        <v>-74.063408</v>
      </c>
    </row>
    <row r="58">
      <c r="A58" s="6" t="str">
        <f>IFERROR(__xludf.DUMMYFUNCTION("""COMPUTED_VALUE"""),"Rodrigomacrophoto")</f>
        <v>Rodrigomacrophoto</v>
      </c>
      <c r="B58" s="9">
        <f>IFERROR(__xludf.DUMMYFUNCTION("""COMPUTED_VALUE"""),4.87102)</f>
        <v>4.87102</v>
      </c>
      <c r="C58" s="9">
        <f>IFERROR(__xludf.DUMMYFUNCTION("""COMPUTED_VALUE"""),-74.085761)</f>
        <v>-74.085761</v>
      </c>
    </row>
    <row r="59">
      <c r="A59" s="6" t="str">
        <f>IFERROR(__xludf.DUMMYFUNCTION("""COMPUTED_VALUE"""),"Rodrigomacrophoto")</f>
        <v>Rodrigomacrophoto</v>
      </c>
      <c r="B59" s="9">
        <f>IFERROR(__xludf.DUMMYFUNCTION("""COMPUTED_VALUE"""),4.87102)</f>
        <v>4.87102</v>
      </c>
      <c r="C59" s="9">
        <f>IFERROR(__xludf.DUMMYFUNCTION("""COMPUTED_VALUE"""),-74.085761)</f>
        <v>-74.085761</v>
      </c>
    </row>
    <row r="60">
      <c r="A60" s="6" t="str">
        <f>IFERROR(__xludf.DUMMYFUNCTION("""COMPUTED_VALUE"""),"Mfrancoavellaneda")</f>
        <v>Mfrancoavellaneda</v>
      </c>
      <c r="B60" s="9">
        <f>IFERROR(__xludf.DUMMYFUNCTION("""COMPUTED_VALUE"""),4.668038)</f>
        <v>4.668038</v>
      </c>
      <c r="C60" s="9">
        <f>IFERROR(__xludf.DUMMYFUNCTION("""COMPUTED_VALUE"""),-74.099624)</f>
        <v>-74.099624</v>
      </c>
    </row>
    <row r="61">
      <c r="A61" s="6" t="str">
        <f>IFERROR(__xludf.DUMMYFUNCTION("""COMPUTED_VALUE"""),"Supertita")</f>
        <v>Supertita</v>
      </c>
      <c r="B61" s="9">
        <f>IFERROR(__xludf.DUMMYFUNCTION("""COMPUTED_VALUE"""),4.52799)</f>
        <v>4.52799</v>
      </c>
      <c r="C61" s="9">
        <f>IFERROR(__xludf.DUMMYFUNCTION("""COMPUTED_VALUE"""),-73.75284)</f>
        <v>-73.75284</v>
      </c>
    </row>
    <row r="62">
      <c r="A62" s="6" t="str">
        <f>IFERROR(__xludf.DUMMYFUNCTION("""COMPUTED_VALUE"""),"Diferoch")</f>
        <v>Diferoch</v>
      </c>
      <c r="B62" s="9">
        <f>IFERROR(__xludf.DUMMYFUNCTION("""COMPUTED_VALUE"""),4.600772)</f>
        <v>4.600772</v>
      </c>
      <c r="C62" s="9">
        <f>IFERROR(__xludf.DUMMYFUNCTION("""COMPUTED_VALUE"""),-74.066122)</f>
        <v>-74.066122</v>
      </c>
    </row>
    <row r="63">
      <c r="A63" s="6" t="str">
        <f>IFERROR(__xludf.DUMMYFUNCTION("""COMPUTED_VALUE"""),"Pilarrb9286")</f>
        <v>Pilarrb9286</v>
      </c>
      <c r="B63" s="9">
        <f>IFERROR(__xludf.DUMMYFUNCTION("""COMPUTED_VALUE"""),5.78)</f>
        <v>5.78</v>
      </c>
      <c r="C63" s="9">
        <f>IFERROR(__xludf.DUMMYFUNCTION("""COMPUTED_VALUE"""),-73.1175)</f>
        <v>-73.1175</v>
      </c>
    </row>
    <row r="64">
      <c r="A64" s="6" t="str">
        <f>IFERROR(__xludf.DUMMYFUNCTION("""COMPUTED_VALUE"""),"Rodrigomacrophoto")</f>
        <v>Rodrigomacrophoto</v>
      </c>
      <c r="B64" s="9">
        <f>IFERROR(__xludf.DUMMYFUNCTION("""COMPUTED_VALUE"""),4.874161)</f>
        <v>4.874161</v>
      </c>
      <c r="C64" s="9">
        <f>IFERROR(__xludf.DUMMYFUNCTION("""COMPUTED_VALUE"""),-74.085107)</f>
        <v>-74.085107</v>
      </c>
    </row>
    <row r="65">
      <c r="A65" s="6" t="str">
        <f>IFERROR(__xludf.DUMMYFUNCTION("""COMPUTED_VALUE"""),"Rodrigomacrophoto")</f>
        <v>Rodrigomacrophoto</v>
      </c>
      <c r="B65" s="9">
        <f>IFERROR(__xludf.DUMMYFUNCTION("""COMPUTED_VALUE"""),4.874161)</f>
        <v>4.874161</v>
      </c>
      <c r="C65" s="9">
        <f>IFERROR(__xludf.DUMMYFUNCTION("""COMPUTED_VALUE"""),-74.085107)</f>
        <v>-74.085107</v>
      </c>
    </row>
    <row r="66">
      <c r="A66" s="6" t="str">
        <f>IFERROR(__xludf.DUMMYFUNCTION("""COMPUTED_VALUE"""),"AmiGueko")</f>
        <v>AmiGueko</v>
      </c>
      <c r="B66" s="9">
        <f>IFERROR(__xludf.DUMMYFUNCTION("""COMPUTED_VALUE"""),4.969301)</f>
        <v>4.969301</v>
      </c>
      <c r="C66" s="9">
        <f>IFERROR(__xludf.DUMMYFUNCTION("""COMPUTED_VALUE"""),-74.32168)</f>
        <v>-74.32168</v>
      </c>
    </row>
    <row r="67">
      <c r="A67" s="6" t="str">
        <f>IFERROR(__xludf.DUMMYFUNCTION("""COMPUTED_VALUE"""),"Romauribe")</f>
        <v>Romauribe</v>
      </c>
      <c r="B67" s="9">
        <f>IFERROR(__xludf.DUMMYFUNCTION("""COMPUTED_VALUE"""),2.569947)</f>
        <v>2.569947</v>
      </c>
      <c r="C67" s="9">
        <f>IFERROR(__xludf.DUMMYFUNCTION("""COMPUTED_VALUE"""),-72.697547)</f>
        <v>-72.697547</v>
      </c>
    </row>
    <row r="68">
      <c r="A68" s="6" t="str">
        <f>IFERROR(__xludf.DUMMYFUNCTION("""COMPUTED_VALUE"""),"Juanrapave")</f>
        <v>Juanrapave</v>
      </c>
      <c r="B68" s="9">
        <f>IFERROR(__xludf.DUMMYFUNCTION("""COMPUTED_VALUE"""),10.406944)</f>
        <v>10.406944</v>
      </c>
      <c r="C68" s="9">
        <f>IFERROR(__xludf.DUMMYFUNCTION("""COMPUTED_VALUE"""),-75.465)</f>
        <v>-75.465</v>
      </c>
    </row>
    <row r="69">
      <c r="A69" s="6" t="str">
        <f>IFERROR(__xludf.DUMMYFUNCTION("""COMPUTED_VALUE"""),"Project5443")</f>
        <v>Project5443</v>
      </c>
      <c r="B69" s="9">
        <f>IFERROR(__xludf.DUMMYFUNCTION("""COMPUTED_VALUE"""),4.60583)</f>
        <v>4.60583</v>
      </c>
      <c r="C69" s="9">
        <f>IFERROR(__xludf.DUMMYFUNCTION("""COMPUTED_VALUE"""),-74.05639)</f>
        <v>-74.05639</v>
      </c>
    </row>
    <row r="70">
      <c r="A70" s="6" t="str">
        <f>IFERROR(__xludf.DUMMYFUNCTION("""COMPUTED_VALUE"""),"Diferoch")</f>
        <v>Diferoch</v>
      </c>
      <c r="B70" s="9">
        <f>IFERROR(__xludf.DUMMYFUNCTION("""COMPUTED_VALUE"""),5.70542)</f>
        <v>5.70542</v>
      </c>
      <c r="C70" s="9">
        <f>IFERROR(__xludf.DUMMYFUNCTION("""COMPUTED_VALUE"""),-77.269532)</f>
        <v>-77.269532</v>
      </c>
    </row>
    <row r="71">
      <c r="A71" s="6" t="str">
        <f>IFERROR(__xludf.DUMMYFUNCTION("""COMPUTED_VALUE"""),"Diferoch")</f>
        <v>Diferoch</v>
      </c>
      <c r="B71" s="9">
        <f>IFERROR(__xludf.DUMMYFUNCTION("""COMPUTED_VALUE"""),6.740643)</f>
        <v>6.740643</v>
      </c>
      <c r="C71" s="9">
        <f>IFERROR(__xludf.DUMMYFUNCTION("""COMPUTED_VALUE"""),-74.113625)</f>
        <v>-74.113625</v>
      </c>
    </row>
    <row r="72">
      <c r="A72" s="6" t="str">
        <f>IFERROR(__xludf.DUMMYFUNCTION("""COMPUTED_VALUE"""),"Diferoch")</f>
        <v>Diferoch</v>
      </c>
      <c r="B72" s="9">
        <f>IFERROR(__xludf.DUMMYFUNCTION("""COMPUTED_VALUE"""),6.73548)</f>
        <v>6.73548</v>
      </c>
      <c r="C72" s="9">
        <f>IFERROR(__xludf.DUMMYFUNCTION("""COMPUTED_VALUE"""),-74.121475)</f>
        <v>-74.121475</v>
      </c>
    </row>
    <row r="73">
      <c r="A73" s="6" t="str">
        <f>IFERROR(__xludf.DUMMYFUNCTION("""COMPUTED_VALUE"""),"Gsilvaarias")</f>
        <v>Gsilvaarias</v>
      </c>
      <c r="B73" s="9">
        <f>IFERROR(__xludf.DUMMYFUNCTION("""COMPUTED_VALUE"""),4.667722)</f>
        <v>4.667722</v>
      </c>
      <c r="C73" s="9">
        <f>IFERROR(__xludf.DUMMYFUNCTION("""COMPUTED_VALUE"""),-74.100206)</f>
        <v>-74.100206</v>
      </c>
    </row>
    <row r="74">
      <c r="A74" s="6" t="str">
        <f>IFERROR(__xludf.DUMMYFUNCTION("""COMPUTED_VALUE"""),"AmiGueko")</f>
        <v>AmiGueko</v>
      </c>
      <c r="B74" s="9">
        <f>IFERROR(__xludf.DUMMYFUNCTION("""COMPUTED_VALUE"""),4.66775)</f>
        <v>4.66775</v>
      </c>
      <c r="C74" s="9">
        <f>IFERROR(__xludf.DUMMYFUNCTION("""COMPUTED_VALUE"""),-74.099944)</f>
        <v>-74.099944</v>
      </c>
    </row>
    <row r="75">
      <c r="A75" s="6" t="str">
        <f>IFERROR(__xludf.DUMMYFUNCTION("""COMPUTED_VALUE"""),"AmiGueko")</f>
        <v>AmiGueko</v>
      </c>
      <c r="B75" s="9">
        <f>IFERROR(__xludf.DUMMYFUNCTION("""COMPUTED_VALUE"""),4.66775)</f>
        <v>4.66775</v>
      </c>
      <c r="C75" s="9">
        <f>IFERROR(__xludf.DUMMYFUNCTION("""COMPUTED_VALUE"""),-74.099944)</f>
        <v>-74.099944</v>
      </c>
    </row>
    <row r="76">
      <c r="A76" s="6" t="str">
        <f>IFERROR(__xludf.DUMMYFUNCTION("""COMPUTED_VALUE"""),"AmiGueko")</f>
        <v>AmiGueko</v>
      </c>
      <c r="B76" s="9">
        <f>IFERROR(__xludf.DUMMYFUNCTION("""COMPUTED_VALUE"""),4.66775)</f>
        <v>4.66775</v>
      </c>
      <c r="C76" s="9">
        <f>IFERROR(__xludf.DUMMYFUNCTION("""COMPUTED_VALUE"""),-74.099944)</f>
        <v>-74.099944</v>
      </c>
    </row>
    <row r="77">
      <c r="A77" s="6" t="str">
        <f>IFERROR(__xludf.DUMMYFUNCTION("""COMPUTED_VALUE"""),"AmiGueko")</f>
        <v>AmiGueko</v>
      </c>
      <c r="B77" s="9">
        <f>IFERROR(__xludf.DUMMYFUNCTION("""COMPUTED_VALUE"""),4.66775)</f>
        <v>4.66775</v>
      </c>
      <c r="C77" s="9">
        <f>IFERROR(__xludf.DUMMYFUNCTION("""COMPUTED_VALUE"""),-74.099944)</f>
        <v>-74.099944</v>
      </c>
    </row>
    <row r="78">
      <c r="A78" s="6" t="str">
        <f>IFERROR(__xludf.DUMMYFUNCTION("""COMPUTED_VALUE"""),"AmiGueko")</f>
        <v>AmiGueko</v>
      </c>
      <c r="B78" s="9">
        <f>IFERROR(__xludf.DUMMYFUNCTION("""COMPUTED_VALUE"""),4.66775)</f>
        <v>4.66775</v>
      </c>
      <c r="C78" s="9">
        <f>IFERROR(__xludf.DUMMYFUNCTION("""COMPUTED_VALUE"""),-74.099944)</f>
        <v>-74.099944</v>
      </c>
    </row>
    <row r="79">
      <c r="A79" s="6" t="str">
        <f>IFERROR(__xludf.DUMMYFUNCTION("""COMPUTED_VALUE"""),"AmiGueko")</f>
        <v>AmiGueko</v>
      </c>
      <c r="B79" s="9">
        <f>IFERROR(__xludf.DUMMYFUNCTION("""COMPUTED_VALUE"""),4.66775)</f>
        <v>4.66775</v>
      </c>
      <c r="C79" s="9">
        <f>IFERROR(__xludf.DUMMYFUNCTION("""COMPUTED_VALUE"""),-74.099944)</f>
        <v>-74.099944</v>
      </c>
    </row>
    <row r="80">
      <c r="A80" s="6" t="str">
        <f>IFERROR(__xludf.DUMMYFUNCTION("""COMPUTED_VALUE"""),"AmiGueko")</f>
        <v>AmiGueko</v>
      </c>
      <c r="B80" s="9">
        <f>IFERROR(__xludf.DUMMYFUNCTION("""COMPUTED_VALUE"""),4.66775)</f>
        <v>4.66775</v>
      </c>
      <c r="C80" s="9">
        <f>IFERROR(__xludf.DUMMYFUNCTION("""COMPUTED_VALUE"""),-74.099944)</f>
        <v>-74.099944</v>
      </c>
    </row>
    <row r="81">
      <c r="A81" s="6" t="str">
        <f>IFERROR(__xludf.DUMMYFUNCTION("""COMPUTED_VALUE"""),"AmiGueko")</f>
        <v>AmiGueko</v>
      </c>
      <c r="B81" s="9">
        <f>IFERROR(__xludf.DUMMYFUNCTION("""COMPUTED_VALUE"""),4.66775)</f>
        <v>4.66775</v>
      </c>
      <c r="C81" s="9">
        <f>IFERROR(__xludf.DUMMYFUNCTION("""COMPUTED_VALUE"""),-74.099944)</f>
        <v>-74.099944</v>
      </c>
    </row>
    <row r="82">
      <c r="A82" s="6" t="str">
        <f>IFERROR(__xludf.DUMMYFUNCTION("""COMPUTED_VALUE"""),"Diferoch")</f>
        <v>Diferoch</v>
      </c>
      <c r="B82" s="9">
        <f>IFERROR(__xludf.DUMMYFUNCTION("""COMPUTED_VALUE"""),4.54835)</f>
        <v>4.54835</v>
      </c>
      <c r="C82" s="9">
        <f>IFERROR(__xludf.DUMMYFUNCTION("""COMPUTED_VALUE"""),-73.99667)</f>
        <v>-73.99667</v>
      </c>
    </row>
    <row r="83">
      <c r="A83" s="6" t="str">
        <f>IFERROR(__xludf.DUMMYFUNCTION("""COMPUTED_VALUE"""),"Juanrapave")</f>
        <v>Juanrapave</v>
      </c>
      <c r="B83" s="9">
        <f>IFERROR(__xludf.DUMMYFUNCTION("""COMPUTED_VALUE"""),10.428975)</f>
        <v>10.428975</v>
      </c>
      <c r="C83" s="9">
        <f>IFERROR(__xludf.DUMMYFUNCTION("""COMPUTED_VALUE"""),-75.548181)</f>
        <v>-75.548181</v>
      </c>
    </row>
    <row r="84">
      <c r="A84" s="6" t="str">
        <f>IFERROR(__xludf.DUMMYFUNCTION("""COMPUTED_VALUE"""),"Juanrapave")</f>
        <v>Juanrapave</v>
      </c>
      <c r="B84" s="9">
        <f>IFERROR(__xludf.DUMMYFUNCTION("""COMPUTED_VALUE"""),10.392856)</f>
        <v>10.392856</v>
      </c>
      <c r="C84" s="9">
        <f>IFERROR(__xludf.DUMMYFUNCTION("""COMPUTED_VALUE"""),-75.550558)</f>
        <v>-75.550558</v>
      </c>
    </row>
    <row r="85">
      <c r="A85" s="6" t="str">
        <f>IFERROR(__xludf.DUMMYFUNCTION("""COMPUTED_VALUE"""),"Juanrapave")</f>
        <v>Juanrapave</v>
      </c>
      <c r="B85" s="9">
        <f>IFERROR(__xludf.DUMMYFUNCTION("""COMPUTED_VALUE"""),10.410697)</f>
        <v>10.410697</v>
      </c>
      <c r="C85" s="9">
        <f>IFERROR(__xludf.DUMMYFUNCTION("""COMPUTED_VALUE"""),-75.551344)</f>
        <v>-75.551344</v>
      </c>
    </row>
    <row r="86">
      <c r="A86" s="6" t="str">
        <f>IFERROR(__xludf.DUMMYFUNCTION("""COMPUTED_VALUE"""),"Project5443")</f>
        <v>Project5443</v>
      </c>
      <c r="B86" s="9">
        <f>IFERROR(__xludf.DUMMYFUNCTION("""COMPUTED_VALUE"""),10.9883)</f>
        <v>10.9883</v>
      </c>
      <c r="C86" s="9">
        <f>IFERROR(__xludf.DUMMYFUNCTION("""COMPUTED_VALUE"""),-74.9522)</f>
        <v>-74.9522</v>
      </c>
    </row>
    <row r="87">
      <c r="A87" s="6" t="str">
        <f>IFERROR(__xludf.DUMMYFUNCTION("""COMPUTED_VALUE"""),"JuanitoCISF")</f>
        <v>JuanitoCISF</v>
      </c>
      <c r="B87" s="9">
        <f>IFERROR(__xludf.DUMMYFUNCTION("""COMPUTED_VALUE"""),11.138708)</f>
        <v>11.138708</v>
      </c>
      <c r="C87" s="9">
        <f>IFERROR(__xludf.DUMMYFUNCTION("""COMPUTED_VALUE"""),-74.227797)</f>
        <v>-74.227797</v>
      </c>
    </row>
    <row r="88">
      <c r="A88" s="6" t="str">
        <f>IFERROR(__xludf.DUMMYFUNCTION("""COMPUTED_VALUE"""),"TeaBonsai")</f>
        <v>TeaBonsai</v>
      </c>
      <c r="B88" s="9">
        <f>IFERROR(__xludf.DUMMYFUNCTION("""COMPUTED_VALUE"""),11.554475)</f>
        <v>11.554475</v>
      </c>
      <c r="C88" s="9">
        <f>IFERROR(__xludf.DUMMYFUNCTION("""COMPUTED_VALUE"""),-72.909081)</f>
        <v>-72.909081</v>
      </c>
    </row>
    <row r="89">
      <c r="A89" s="6" t="str">
        <f>IFERROR(__xludf.DUMMYFUNCTION("""COMPUTED_VALUE"""),"TeaBonsai")</f>
        <v>TeaBonsai</v>
      </c>
      <c r="B89" s="9">
        <f>IFERROR(__xludf.DUMMYFUNCTION("""COMPUTED_VALUE"""),11.554475)</f>
        <v>11.554475</v>
      </c>
      <c r="C89" s="9">
        <f>IFERROR(__xludf.DUMMYFUNCTION("""COMPUTED_VALUE"""),-72.909081)</f>
        <v>-72.909081</v>
      </c>
    </row>
    <row r="90">
      <c r="A90" s="6" t="str">
        <f>IFERROR(__xludf.DUMMYFUNCTION("""COMPUTED_VALUE"""),"Supertita")</f>
        <v>Supertita</v>
      </c>
      <c r="B90" s="9">
        <f>IFERROR(__xludf.DUMMYFUNCTION("""COMPUTED_VALUE"""),4.5816)</f>
        <v>4.5816</v>
      </c>
      <c r="C90" s="9">
        <f>IFERROR(__xludf.DUMMYFUNCTION("""COMPUTED_VALUE"""),-7.41721)</f>
        <v>-7.41721</v>
      </c>
    </row>
    <row r="91">
      <c r="A91" s="6" t="str">
        <f>IFERROR(__xludf.DUMMYFUNCTION("""COMPUTED_VALUE"""),"Diferoch")</f>
        <v>Diferoch</v>
      </c>
      <c r="B91" s="9">
        <f>IFERROR(__xludf.DUMMYFUNCTION("""COMPUTED_VALUE"""),6.701292)</f>
        <v>6.701292</v>
      </c>
      <c r="C91" s="9">
        <f>IFERROR(__xludf.DUMMYFUNCTION("""COMPUTED_VALUE"""),-74.149575)</f>
        <v>-74.149575</v>
      </c>
    </row>
    <row r="92">
      <c r="A92" s="6" t="str">
        <f>IFERROR(__xludf.DUMMYFUNCTION("""COMPUTED_VALUE"""),"Diferoch")</f>
        <v>Diferoch</v>
      </c>
      <c r="B92" s="9">
        <f>IFERROR(__xludf.DUMMYFUNCTION("""COMPUTED_VALUE"""),6.711957)</f>
        <v>6.711957</v>
      </c>
      <c r="C92" s="9">
        <f>IFERROR(__xludf.DUMMYFUNCTION("""COMPUTED_VALUE"""),-74.143097)</f>
        <v>-74.143097</v>
      </c>
    </row>
    <row r="93">
      <c r="A93" s="6" t="str">
        <f>IFERROR(__xludf.DUMMYFUNCTION("""COMPUTED_VALUE"""),"Diferoch")</f>
        <v>Diferoch</v>
      </c>
      <c r="B93" s="9">
        <f>IFERROR(__xludf.DUMMYFUNCTION("""COMPUTED_VALUE"""),6.71195)</f>
        <v>6.71195</v>
      </c>
      <c r="C93" s="9">
        <f>IFERROR(__xludf.DUMMYFUNCTION("""COMPUTED_VALUE"""),-74.143112)</f>
        <v>-74.143112</v>
      </c>
    </row>
    <row r="94">
      <c r="A94" s="6" t="str">
        <f>IFERROR(__xludf.DUMMYFUNCTION("""COMPUTED_VALUE"""),"Diferoch")</f>
        <v>Diferoch</v>
      </c>
      <c r="B94" s="9">
        <f>IFERROR(__xludf.DUMMYFUNCTION("""COMPUTED_VALUE"""),6.711295)</f>
        <v>6.711295</v>
      </c>
      <c r="C94" s="9">
        <f>IFERROR(__xludf.DUMMYFUNCTION("""COMPUTED_VALUE"""),-74.145012)</f>
        <v>-74.145012</v>
      </c>
    </row>
    <row r="95">
      <c r="A95" s="6" t="str">
        <f>IFERROR(__xludf.DUMMYFUNCTION("""COMPUTED_VALUE"""),"Supertita")</f>
        <v>Supertita</v>
      </c>
      <c r="B95" s="9">
        <f>IFERROR(__xludf.DUMMYFUNCTION("""COMPUTED_VALUE"""),4.668211)</f>
        <v>4.668211</v>
      </c>
      <c r="C95" s="9">
        <f>IFERROR(__xludf.DUMMYFUNCTION("""COMPUTED_VALUE"""),-74.100198)</f>
        <v>-74.100198</v>
      </c>
    </row>
    <row r="96">
      <c r="A96" s="6" t="str">
        <f>IFERROR(__xludf.DUMMYFUNCTION("""COMPUTED_VALUE"""),"Johan Andrés Toro")</f>
        <v>Johan Andrés Toro</v>
      </c>
      <c r="B96" s="9">
        <f>IFERROR(__xludf.DUMMYFUNCTION("""COMPUTED_VALUE"""),4.574554)</f>
        <v>4.574554</v>
      </c>
      <c r="C96" s="9">
        <f>IFERROR(__xludf.DUMMYFUNCTION("""COMPUTED_VALUE"""),-74.293864)</f>
        <v>-74.293864</v>
      </c>
    </row>
    <row r="97">
      <c r="A97" s="6" t="str">
        <f>IFERROR(__xludf.DUMMYFUNCTION("""COMPUTED_VALUE"""),"Rodobuñuel")</f>
        <v>Rodobuñuel</v>
      </c>
      <c r="B97" s="9">
        <f>IFERROR(__xludf.DUMMYFUNCTION("""COMPUTED_VALUE"""),4.612094)</f>
        <v>4.612094</v>
      </c>
      <c r="C97" s="9">
        <f>IFERROR(__xludf.DUMMYFUNCTION("""COMPUTED_VALUE"""),-75.548003)</f>
        <v>-75.548003</v>
      </c>
    </row>
    <row r="98">
      <c r="A98" s="6" t="str">
        <f>IFERROR(__xludf.DUMMYFUNCTION("""COMPUTED_VALUE"""),"AmiGueko")</f>
        <v>AmiGueko</v>
      </c>
      <c r="B98" s="9">
        <f>IFERROR(__xludf.DUMMYFUNCTION("""COMPUTED_VALUE"""),4.6667)</f>
        <v>4.6667</v>
      </c>
      <c r="C98" s="9">
        <f>IFERROR(__xludf.DUMMYFUNCTION("""COMPUTED_VALUE"""),-75.5)</f>
        <v>-75.5</v>
      </c>
    </row>
    <row r="99">
      <c r="A99" s="6" t="str">
        <f>IFERROR(__xludf.DUMMYFUNCTION("""COMPUTED_VALUE"""),"Rodrigomacrophoto")</f>
        <v>Rodrigomacrophoto</v>
      </c>
      <c r="B99" s="9">
        <f>IFERROR(__xludf.DUMMYFUNCTION("""COMPUTED_VALUE"""),4.87337)</f>
        <v>4.87337</v>
      </c>
      <c r="C99" s="9">
        <f>IFERROR(__xludf.DUMMYFUNCTION("""COMPUTED_VALUE"""),-74.08291)</f>
        <v>-74.08291</v>
      </c>
    </row>
    <row r="100">
      <c r="A100" s="6" t="str">
        <f>IFERROR(__xludf.DUMMYFUNCTION("""COMPUTED_VALUE"""),"JJCL09")</f>
        <v>JJCL09</v>
      </c>
      <c r="B100" s="9">
        <f>IFERROR(__xludf.DUMMYFUNCTION("""COMPUTED_VALUE"""),5.066608)</f>
        <v>5.066608</v>
      </c>
      <c r="C100" s="9">
        <f>IFERROR(__xludf.DUMMYFUNCTION("""COMPUTED_VALUE"""),-75.301217)</f>
        <v>-75.301217</v>
      </c>
    </row>
    <row r="101">
      <c r="A101" s="6" t="str">
        <f>IFERROR(__xludf.DUMMYFUNCTION("""COMPUTED_VALUE"""),"AmiGueko")</f>
        <v>AmiGueko</v>
      </c>
      <c r="B101" s="9">
        <f>IFERROR(__xludf.DUMMYFUNCTION("""COMPUTED_VALUE"""),4.66775)</f>
        <v>4.66775</v>
      </c>
      <c r="C101" s="9">
        <f>IFERROR(__xludf.DUMMYFUNCTION("""COMPUTED_VALUE"""),-74.099944)</f>
        <v>-74.099944</v>
      </c>
    </row>
    <row r="102">
      <c r="A102" s="6" t="str">
        <f>IFERROR(__xludf.DUMMYFUNCTION("""COMPUTED_VALUE"""),"AmiGueko")</f>
        <v>AmiGueko</v>
      </c>
      <c r="B102" s="9">
        <f>IFERROR(__xludf.DUMMYFUNCTION("""COMPUTED_VALUE"""),4.66775)</f>
        <v>4.66775</v>
      </c>
      <c r="C102" s="9">
        <f>IFERROR(__xludf.DUMMYFUNCTION("""COMPUTED_VALUE"""),-74.099944)</f>
        <v>-74.099944</v>
      </c>
    </row>
    <row r="103">
      <c r="A103" s="6" t="str">
        <f>IFERROR(__xludf.DUMMYFUNCTION("""COMPUTED_VALUE"""),"Supertita")</f>
        <v>Supertita</v>
      </c>
      <c r="B103" s="9">
        <f>IFERROR(__xludf.DUMMYFUNCTION("""COMPUTED_VALUE"""),4.5816)</f>
        <v>4.5816</v>
      </c>
      <c r="C103" s="9">
        <f>IFERROR(__xludf.DUMMYFUNCTION("""COMPUTED_VALUE"""),-7.41721)</f>
        <v>-7.41721</v>
      </c>
    </row>
    <row r="104">
      <c r="A104" s="6" t="str">
        <f>IFERROR(__xludf.DUMMYFUNCTION("""COMPUTED_VALUE"""),"AmiGueko")</f>
        <v>AmiGueko</v>
      </c>
      <c r="B104" s="9">
        <f>IFERROR(__xludf.DUMMYFUNCTION("""COMPUTED_VALUE"""),4.66775)</f>
        <v>4.66775</v>
      </c>
      <c r="C104" s="9">
        <f>IFERROR(__xludf.DUMMYFUNCTION("""COMPUTED_VALUE"""),-74.099944)</f>
        <v>-74.099944</v>
      </c>
    </row>
    <row r="105">
      <c r="A105" s="6" t="str">
        <f>IFERROR(__xludf.DUMMYFUNCTION("""COMPUTED_VALUE"""),"AmiGueko")</f>
        <v>AmiGueko</v>
      </c>
      <c r="B105" s="9">
        <f>IFERROR(__xludf.DUMMYFUNCTION("""COMPUTED_VALUE"""),4.66775)</f>
        <v>4.66775</v>
      </c>
      <c r="C105" s="9">
        <f>IFERROR(__xludf.DUMMYFUNCTION("""COMPUTED_VALUE"""),-74.099944)</f>
        <v>-74.099944</v>
      </c>
    </row>
    <row r="106">
      <c r="A106" s="6" t="str">
        <f>IFERROR(__xludf.DUMMYFUNCTION("""COMPUTED_VALUE"""),"JJCL09")</f>
        <v>JJCL09</v>
      </c>
      <c r="B106" s="9">
        <f>IFERROR(__xludf.DUMMYFUNCTION("""COMPUTED_VALUE"""),5.566756)</f>
        <v>5.566756</v>
      </c>
      <c r="C106" s="9">
        <f>IFERROR(__xludf.DUMMYFUNCTION("""COMPUTED_VALUE"""),-74.906822)</f>
        <v>-74.906822</v>
      </c>
    </row>
    <row r="107">
      <c r="A107" s="6" t="str">
        <f>IFERROR(__xludf.DUMMYFUNCTION("""COMPUTED_VALUE"""),"XimmoY")</f>
        <v>XimmoY</v>
      </c>
      <c r="B107" s="9">
        <f>IFERROR(__xludf.DUMMYFUNCTION("""COMPUTED_VALUE"""),5.86224)</f>
        <v>5.86224</v>
      </c>
      <c r="C107" s="9">
        <f>IFERROR(__xludf.DUMMYFUNCTION("""COMPUTED_VALUE"""),-74.87047)</f>
        <v>-74.87047</v>
      </c>
    </row>
    <row r="108">
      <c r="A108" s="6" t="str">
        <f>IFERROR(__xludf.DUMMYFUNCTION("""COMPUTED_VALUE"""),"AmiGueko")</f>
        <v>AmiGueko</v>
      </c>
      <c r="B108" s="9">
        <f>IFERROR(__xludf.DUMMYFUNCTION("""COMPUTED_VALUE"""),4.66775)</f>
        <v>4.66775</v>
      </c>
      <c r="C108" s="9">
        <f>IFERROR(__xludf.DUMMYFUNCTION("""COMPUTED_VALUE"""),-74.099944)</f>
        <v>-74.099944</v>
      </c>
    </row>
    <row r="109">
      <c r="A109" s="6" t="str">
        <f>IFERROR(__xludf.DUMMYFUNCTION("""COMPUTED_VALUE"""),"Juanrapave")</f>
        <v>Juanrapave</v>
      </c>
      <c r="B109" s="9">
        <f>IFERROR(__xludf.DUMMYFUNCTION("""COMPUTED_VALUE"""),10.407097)</f>
        <v>10.407097</v>
      </c>
      <c r="C109" s="9">
        <f>IFERROR(__xludf.DUMMYFUNCTION("""COMPUTED_VALUE"""),-75.465147)</f>
        <v>-75.465147</v>
      </c>
    </row>
    <row r="110">
      <c r="A110" s="6" t="str">
        <f>IFERROR(__xludf.DUMMYFUNCTION("""COMPUTED_VALUE"""),"Charlesjsharp")</f>
        <v>Charlesjsharp</v>
      </c>
      <c r="B110" s="9">
        <f>IFERROR(__xludf.DUMMYFUNCTION("""COMPUTED_VALUE"""),5.07)</f>
        <v>5.07</v>
      </c>
      <c r="C110" s="9">
        <f>IFERROR(__xludf.DUMMYFUNCTION("""COMPUTED_VALUE"""),-75.44)</f>
        <v>-75.44</v>
      </c>
    </row>
    <row r="111">
      <c r="A111" s="6" t="str">
        <f>IFERROR(__xludf.DUMMYFUNCTION("""COMPUTED_VALUE"""),"Supertita")</f>
        <v>Supertita</v>
      </c>
      <c r="B111" s="9">
        <f>IFERROR(__xludf.DUMMYFUNCTION("""COMPUTED_VALUE"""),4.51316)</f>
        <v>4.51316</v>
      </c>
      <c r="C111" s="9">
        <f>IFERROR(__xludf.DUMMYFUNCTION("""COMPUTED_VALUE"""),-74.53792)</f>
        <v>-74.53792</v>
      </c>
    </row>
    <row r="112">
      <c r="A112" s="6" t="str">
        <f>IFERROR(__xludf.DUMMYFUNCTION("""COMPUTED_VALUE"""),"Dewinjj")</f>
        <v>Dewinjj</v>
      </c>
      <c r="B112" s="9">
        <f>IFERROR(__xludf.DUMMYFUNCTION("""COMPUTED_VALUE"""),7.016228)</f>
        <v>7.016228</v>
      </c>
      <c r="C112" s="9">
        <f>IFERROR(__xludf.DUMMYFUNCTION("""COMPUTED_VALUE"""),-73.10762)</f>
        <v>-73.10762</v>
      </c>
    </row>
    <row r="113">
      <c r="A113" s="6" t="str">
        <f>IFERROR(__xludf.DUMMYFUNCTION("""COMPUTED_VALUE"""),"Alexpanther")</f>
        <v>Alexpanther</v>
      </c>
      <c r="B113" s="9">
        <f>IFERROR(__xludf.DUMMYFUNCTION("""COMPUTED_VALUE"""),4.091467)</f>
        <v>4.091467</v>
      </c>
      <c r="C113" s="9">
        <f>IFERROR(__xludf.DUMMYFUNCTION("""COMPUTED_VALUE"""),-73.502273)</f>
        <v>-73.502273</v>
      </c>
    </row>
    <row r="114">
      <c r="A114" s="6" t="str">
        <f>IFERROR(__xludf.DUMMYFUNCTION("""COMPUTED_VALUE"""),"Alexpanther")</f>
        <v>Alexpanther</v>
      </c>
      <c r="B114" s="9">
        <f>IFERROR(__xludf.DUMMYFUNCTION("""COMPUTED_VALUE"""),4.091467)</f>
        <v>4.091467</v>
      </c>
      <c r="C114" s="9">
        <f>IFERROR(__xludf.DUMMYFUNCTION("""COMPUTED_VALUE"""),-73.502273)</f>
        <v>-73.502273</v>
      </c>
    </row>
    <row r="115">
      <c r="A115" s="6" t="str">
        <f>IFERROR(__xludf.DUMMYFUNCTION("""COMPUTED_VALUE"""),"XimmoY")</f>
        <v>XimmoY</v>
      </c>
      <c r="B115" s="9">
        <f>IFERROR(__xludf.DUMMYFUNCTION("""COMPUTED_VALUE"""),5.86224)</f>
        <v>5.86224</v>
      </c>
      <c r="C115" s="9">
        <f>IFERROR(__xludf.DUMMYFUNCTION("""COMPUTED_VALUE"""),-74.87047)</f>
        <v>-74.87047</v>
      </c>
    </row>
    <row r="116">
      <c r="A116" s="6" t="str">
        <f>IFERROR(__xludf.DUMMYFUNCTION("""COMPUTED_VALUE"""),"XimmoY")</f>
        <v>XimmoY</v>
      </c>
      <c r="B116" s="9">
        <f>IFERROR(__xludf.DUMMYFUNCTION("""COMPUTED_VALUE"""),5.86224)</f>
        <v>5.86224</v>
      </c>
      <c r="C116" s="9">
        <f>IFERROR(__xludf.DUMMYFUNCTION("""COMPUTED_VALUE"""),-74.87047)</f>
        <v>-74.87047</v>
      </c>
    </row>
    <row r="117">
      <c r="A117" s="6" t="str">
        <f>IFERROR(__xludf.DUMMYFUNCTION("""COMPUTED_VALUE"""),"XimmoY")</f>
        <v>XimmoY</v>
      </c>
      <c r="B117" s="9">
        <f>IFERROR(__xludf.DUMMYFUNCTION("""COMPUTED_VALUE"""),5.86224)</f>
        <v>5.86224</v>
      </c>
      <c r="C117" s="9">
        <f>IFERROR(__xludf.DUMMYFUNCTION("""COMPUTED_VALUE"""),-74.87047)</f>
        <v>-74.87047</v>
      </c>
    </row>
    <row r="118">
      <c r="A118" s="6" t="str">
        <f>IFERROR(__xludf.DUMMYFUNCTION("""COMPUTED_VALUE"""),"Diferoch")</f>
        <v>Diferoch</v>
      </c>
      <c r="B118" s="9">
        <f>IFERROR(__xludf.DUMMYFUNCTION("""COMPUTED_VALUE"""),4.59983)</f>
        <v>4.59983</v>
      </c>
      <c r="C118" s="9">
        <f>IFERROR(__xludf.DUMMYFUNCTION("""COMPUTED_VALUE"""),-74.063447)</f>
        <v>-74.063447</v>
      </c>
    </row>
    <row r="119">
      <c r="A119" s="6" t="str">
        <f>IFERROR(__xludf.DUMMYFUNCTION("""COMPUTED_VALUE"""),"Diferoch")</f>
        <v>Diferoch</v>
      </c>
      <c r="B119" s="9">
        <f>IFERROR(__xludf.DUMMYFUNCTION("""COMPUTED_VALUE"""),4.60109)</f>
        <v>4.60109</v>
      </c>
      <c r="C119" s="9">
        <f>IFERROR(__xludf.DUMMYFUNCTION("""COMPUTED_VALUE"""),-74.064102)</f>
        <v>-74.064102</v>
      </c>
    </row>
    <row r="120">
      <c r="A120" s="6" t="str">
        <f>IFERROR(__xludf.DUMMYFUNCTION("""COMPUTED_VALUE"""),"Rodrigomacrophoto")</f>
        <v>Rodrigomacrophoto</v>
      </c>
      <c r="B120" s="9">
        <f>IFERROR(__xludf.DUMMYFUNCTION("""COMPUTED_VALUE"""),4.87337)</f>
        <v>4.87337</v>
      </c>
      <c r="C120" s="9">
        <f>IFERROR(__xludf.DUMMYFUNCTION("""COMPUTED_VALUE"""),-74.08291)</f>
        <v>-74.08291</v>
      </c>
    </row>
    <row r="121">
      <c r="A121" s="6" t="str">
        <f>IFERROR(__xludf.DUMMYFUNCTION("""COMPUTED_VALUE"""),"Supertita")</f>
        <v>Supertita</v>
      </c>
      <c r="B121" s="9">
        <f>IFERROR(__xludf.DUMMYFUNCTION("""COMPUTED_VALUE"""),5.3759)</f>
        <v>5.3759</v>
      </c>
      <c r="C121" s="9">
        <f>IFERROR(__xludf.DUMMYFUNCTION("""COMPUTED_VALUE"""),-7.33132)</f>
        <v>-7.33132</v>
      </c>
    </row>
    <row r="122">
      <c r="A122" s="6" t="str">
        <f>IFERROR(__xludf.DUMMYFUNCTION("""COMPUTED_VALUE"""),"AmiGueko")</f>
        <v>AmiGueko</v>
      </c>
      <c r="B122" s="9">
        <f>IFERROR(__xludf.DUMMYFUNCTION("""COMPUTED_VALUE"""),4.980291)</f>
        <v>4.980291</v>
      </c>
      <c r="C122" s="9">
        <f>IFERROR(__xludf.DUMMYFUNCTION("""COMPUTED_VALUE"""),-74.318442)</f>
        <v>-74.318442</v>
      </c>
    </row>
    <row r="123">
      <c r="A123" s="6" t="str">
        <f>IFERROR(__xludf.DUMMYFUNCTION("""COMPUTED_VALUE"""),"AmiGueko")</f>
        <v>AmiGueko</v>
      </c>
      <c r="B123" s="9">
        <f>IFERROR(__xludf.DUMMYFUNCTION("""COMPUTED_VALUE"""),4.966373)</f>
        <v>4.966373</v>
      </c>
      <c r="C123" s="9">
        <f>IFERROR(__xludf.DUMMYFUNCTION("""COMPUTED_VALUE"""),-74.290475)</f>
        <v>-74.290475</v>
      </c>
    </row>
    <row r="124">
      <c r="A124" s="6" t="str">
        <f>IFERROR(__xludf.DUMMYFUNCTION("""COMPUTED_VALUE"""),"Tatiana Silva 17")</f>
        <v>Tatiana Silva 17</v>
      </c>
      <c r="B124" s="9">
        <f>IFERROR(__xludf.DUMMYFUNCTION("""COMPUTED_VALUE"""),4.322739)</f>
        <v>4.322739</v>
      </c>
      <c r="C124" s="9">
        <f>IFERROR(__xludf.DUMMYFUNCTION("""COMPUTED_VALUE"""),-75.549214)</f>
        <v>-75.549214</v>
      </c>
    </row>
    <row r="125">
      <c r="A125" s="6" t="str">
        <f>IFERROR(__xludf.DUMMYFUNCTION("""COMPUTED_VALUE"""),"Mfrancoavellaneda")</f>
        <v>Mfrancoavellaneda</v>
      </c>
      <c r="B125" s="9">
        <f>IFERROR(__xludf.DUMMYFUNCTION("""COMPUTED_VALUE"""),4.63743)</f>
        <v>4.63743</v>
      </c>
      <c r="C125" s="9">
        <f>IFERROR(__xludf.DUMMYFUNCTION("""COMPUTED_VALUE"""),-74.04463)</f>
        <v>-74.04463</v>
      </c>
    </row>
    <row r="126">
      <c r="A126" s="6" t="str">
        <f>IFERROR(__xludf.DUMMYFUNCTION("""COMPUTED_VALUE"""),"Johannelob")</f>
        <v>Johannelob</v>
      </c>
      <c r="B126" s="9">
        <f>IFERROR(__xludf.DUMMYFUNCTION("""COMPUTED_VALUE"""),10.425)</f>
        <v>10.425</v>
      </c>
      <c r="C126" s="9">
        <f>IFERROR(__xludf.DUMMYFUNCTION("""COMPUTED_VALUE"""),-75.540278)</f>
        <v>-75.540278</v>
      </c>
    </row>
    <row r="127">
      <c r="A127" s="6" t="str">
        <f>IFERROR(__xludf.DUMMYFUNCTION("""COMPUTED_VALUE"""),"CHAVESJUAN19")</f>
        <v>CHAVESJUAN19</v>
      </c>
      <c r="B127" s="9">
        <f>IFERROR(__xludf.DUMMYFUNCTION("""COMPUTED_VALUE"""),1.663076)</f>
        <v>1.663076</v>
      </c>
      <c r="C127" s="9">
        <f>IFERROR(__xludf.DUMMYFUNCTION("""COMPUTED_VALUE"""),-76.112399)</f>
        <v>-76.112399</v>
      </c>
    </row>
    <row r="128">
      <c r="A128" s="6" t="str">
        <f>IFERROR(__xludf.DUMMYFUNCTION("""COMPUTED_VALUE"""),"XimmoY")</f>
        <v>XimmoY</v>
      </c>
      <c r="B128" s="9">
        <f>IFERROR(__xludf.DUMMYFUNCTION("""COMPUTED_VALUE"""),7.7667)</f>
        <v>7.7667</v>
      </c>
      <c r="C128" s="9">
        <f>IFERROR(__xludf.DUMMYFUNCTION("""COMPUTED_VALUE"""),-76.65)</f>
        <v>-76.65</v>
      </c>
    </row>
    <row r="129">
      <c r="A129" s="6" t="str">
        <f>IFERROR(__xludf.DUMMYFUNCTION("""COMPUTED_VALUE"""),"Supertita")</f>
        <v>Supertita</v>
      </c>
      <c r="B129" s="9">
        <f>IFERROR(__xludf.DUMMYFUNCTION("""COMPUTED_VALUE"""),4.52799)</f>
        <v>4.52799</v>
      </c>
      <c r="C129" s="9">
        <f>IFERROR(__xludf.DUMMYFUNCTION("""COMPUTED_VALUE"""),-73.75284)</f>
        <v>-73.75284</v>
      </c>
    </row>
    <row r="130">
      <c r="A130" s="6" t="str">
        <f>IFERROR(__xludf.DUMMYFUNCTION("""COMPUTED_VALUE"""),"Nbareschu")</f>
        <v>Nbareschu</v>
      </c>
      <c r="B130" s="9">
        <f>IFERROR(__xludf.DUMMYFUNCTION("""COMPUTED_VALUE"""),4.648014)</f>
        <v>4.648014</v>
      </c>
      <c r="C130" s="9">
        <f>IFERROR(__xludf.DUMMYFUNCTION("""COMPUTED_VALUE"""),-73.945739)</f>
        <v>-73.945739</v>
      </c>
    </row>
    <row r="131">
      <c r="A131" s="6" t="str">
        <f>IFERROR(__xludf.DUMMYFUNCTION("""COMPUTED_VALUE"""),"NMontoya (WMCO)")</f>
        <v>NMontoya (WMCO)</v>
      </c>
      <c r="B131" s="9">
        <f>IFERROR(__xludf.DUMMYFUNCTION("""COMPUTED_VALUE"""),4.669437)</f>
        <v>4.669437</v>
      </c>
      <c r="C131" s="9">
        <f>IFERROR(__xludf.DUMMYFUNCTION("""COMPUTED_VALUE"""),-74.097702)</f>
        <v>-74.097702</v>
      </c>
    </row>
    <row r="132">
      <c r="A132" s="6" t="str">
        <f>IFERROR(__xludf.DUMMYFUNCTION("""COMPUTED_VALUE"""),"AmiGueko")</f>
        <v>AmiGueko</v>
      </c>
      <c r="B132" s="9">
        <f>IFERROR(__xludf.DUMMYFUNCTION("""COMPUTED_VALUE"""),4.66775)</f>
        <v>4.66775</v>
      </c>
      <c r="C132" s="9">
        <f>IFERROR(__xludf.DUMMYFUNCTION("""COMPUTED_VALUE"""),-74.099944)</f>
        <v>-74.099944</v>
      </c>
    </row>
    <row r="133">
      <c r="A133" s="6" t="str">
        <f>IFERROR(__xludf.DUMMYFUNCTION("""COMPUTED_VALUE"""),"Supertita")</f>
        <v>Supertita</v>
      </c>
      <c r="B133" s="9">
        <f>IFERROR(__xludf.DUMMYFUNCTION("""COMPUTED_VALUE"""),4.52799)</f>
        <v>4.52799</v>
      </c>
      <c r="C133" s="9">
        <f>IFERROR(__xludf.DUMMYFUNCTION("""COMPUTED_VALUE"""),-73.75284)</f>
        <v>-73.75284</v>
      </c>
    </row>
    <row r="134">
      <c r="A134" s="6" t="str">
        <f>IFERROR(__xludf.DUMMYFUNCTION("""COMPUTED_VALUE"""),"AmiGueko")</f>
        <v>AmiGueko</v>
      </c>
      <c r="B134" s="9">
        <f>IFERROR(__xludf.DUMMYFUNCTION("""COMPUTED_VALUE"""),4.90641)</f>
        <v>4.90641</v>
      </c>
      <c r="C134" s="9">
        <f>IFERROR(__xludf.DUMMYFUNCTION("""COMPUTED_VALUE"""),-75.064338)</f>
        <v>-75.064338</v>
      </c>
    </row>
    <row r="135">
      <c r="A135" s="6" t="str">
        <f>IFERROR(__xludf.DUMMYFUNCTION("""COMPUTED_VALUE"""),"AmiGueko")</f>
        <v>AmiGueko</v>
      </c>
      <c r="B135" s="9">
        <f>IFERROR(__xludf.DUMMYFUNCTION("""COMPUTED_VALUE"""),4.940291)</f>
        <v>4.940291</v>
      </c>
      <c r="C135" s="9">
        <f>IFERROR(__xludf.DUMMYFUNCTION("""COMPUTED_VALUE"""),-74.869639)</f>
        <v>-74.869639</v>
      </c>
    </row>
    <row r="136">
      <c r="A136" s="6" t="str">
        <f>IFERROR(__xludf.DUMMYFUNCTION("""COMPUTED_VALUE"""),"AmiGueko")</f>
        <v>AmiGueko</v>
      </c>
      <c r="B136" s="9">
        <f>IFERROR(__xludf.DUMMYFUNCTION("""COMPUTED_VALUE"""),4.898919)</f>
        <v>4.898919</v>
      </c>
      <c r="C136" s="9">
        <f>IFERROR(__xludf.DUMMYFUNCTION("""COMPUTED_VALUE"""),-74.810261)</f>
        <v>-74.810261</v>
      </c>
    </row>
    <row r="137">
      <c r="A137" s="6" t="str">
        <f>IFERROR(__xludf.DUMMYFUNCTION("""COMPUTED_VALUE"""),"AmiGueko")</f>
        <v>AmiGueko</v>
      </c>
      <c r="B137" s="9">
        <f>IFERROR(__xludf.DUMMYFUNCTION("""COMPUTED_VALUE"""),4.905542)</f>
        <v>4.905542</v>
      </c>
      <c r="C137" s="9">
        <f>IFERROR(__xludf.DUMMYFUNCTION("""COMPUTED_VALUE"""),-74.900263)</f>
        <v>-74.900263</v>
      </c>
    </row>
    <row r="138">
      <c r="A138" s="6" t="str">
        <f>IFERROR(__xludf.DUMMYFUNCTION("""COMPUTED_VALUE"""),"NMontoya (WMCO)")</f>
        <v>NMontoya (WMCO)</v>
      </c>
      <c r="B138" s="9">
        <f>IFERROR(__xludf.DUMMYFUNCTION("""COMPUTED_VALUE"""),4.669437)</f>
        <v>4.669437</v>
      </c>
      <c r="C138" s="9">
        <f>IFERROR(__xludf.DUMMYFUNCTION("""COMPUTED_VALUE"""),-74.097702)</f>
        <v>-74.097702</v>
      </c>
    </row>
    <row r="139">
      <c r="A139" s="6" t="str">
        <f>IFERROR(__xludf.DUMMYFUNCTION("""COMPUTED_VALUE"""),"Leo123qwerty")</f>
        <v>Leo123qwerty</v>
      </c>
      <c r="B139" s="9">
        <f>IFERROR(__xludf.DUMMYFUNCTION("""COMPUTED_VALUE"""),7.883198)</f>
        <v>7.883198</v>
      </c>
      <c r="C139" s="9">
        <f>IFERROR(__xludf.DUMMYFUNCTION("""COMPUTED_VALUE"""),-72.53127)</f>
        <v>-72.53127</v>
      </c>
    </row>
    <row r="140">
      <c r="A140" s="6" t="str">
        <f>IFERROR(__xludf.DUMMYFUNCTION("""COMPUTED_VALUE"""),"NMontoya (WMCO)")</f>
        <v>NMontoya (WMCO)</v>
      </c>
      <c r="B140" s="9">
        <f>IFERROR(__xludf.DUMMYFUNCTION("""COMPUTED_VALUE"""),4.66775)</f>
        <v>4.66775</v>
      </c>
      <c r="C140" s="9">
        <f>IFERROR(__xludf.DUMMYFUNCTION("""COMPUTED_VALUE"""),-74.099944)</f>
        <v>-74.099944</v>
      </c>
    </row>
    <row r="141">
      <c r="A141" s="6" t="str">
        <f>IFERROR(__xludf.DUMMYFUNCTION("""COMPUTED_VALUE"""),"Charlesjsharp")</f>
        <v>Charlesjsharp</v>
      </c>
      <c r="B141" s="9">
        <f>IFERROR(__xludf.DUMMYFUNCTION("""COMPUTED_VALUE"""),5.07)</f>
        <v>5.07</v>
      </c>
      <c r="C141" s="9">
        <f>IFERROR(__xludf.DUMMYFUNCTION("""COMPUTED_VALUE"""),-75.44)</f>
        <v>-75.44</v>
      </c>
    </row>
    <row r="142">
      <c r="A142" s="6" t="str">
        <f>IFERROR(__xludf.DUMMYFUNCTION("""COMPUTED_VALUE"""),"CHAVESJUAN19")</f>
        <v>CHAVESJUAN19</v>
      </c>
      <c r="B142" s="9">
        <f>IFERROR(__xludf.DUMMYFUNCTION("""COMPUTED_VALUE"""),1.615202)</f>
        <v>1.615202</v>
      </c>
      <c r="C142" s="9">
        <f>IFERROR(__xludf.DUMMYFUNCTION("""COMPUTED_VALUE"""),-76.102569)</f>
        <v>-76.102569</v>
      </c>
    </row>
    <row r="143">
      <c r="A143" s="6" t="str">
        <f>IFERROR(__xludf.DUMMYFUNCTION("""COMPUTED_VALUE"""),"Romauribe")</f>
        <v>Romauribe</v>
      </c>
      <c r="B143" s="9">
        <f>IFERROR(__xludf.DUMMYFUNCTION("""COMPUTED_VALUE"""),4.69)</f>
        <v>4.69</v>
      </c>
      <c r="C143" s="9">
        <f>IFERROR(__xludf.DUMMYFUNCTION("""COMPUTED_VALUE"""),-74.061)</f>
        <v>-74.061</v>
      </c>
    </row>
    <row r="144">
      <c r="A144" s="6" t="str">
        <f>IFERROR(__xludf.DUMMYFUNCTION("""COMPUTED_VALUE"""),"Cathetovar")</f>
        <v>Cathetovar</v>
      </c>
      <c r="B144" s="9">
        <f>IFERROR(__xludf.DUMMYFUNCTION("""COMPUTED_VALUE"""),3.237648)</f>
        <v>3.237648</v>
      </c>
      <c r="C144" s="9">
        <f>IFERROR(__xludf.DUMMYFUNCTION("""COMPUTED_VALUE"""),-75.118296)</f>
        <v>-75.118296</v>
      </c>
    </row>
    <row r="145">
      <c r="A145" s="6" t="str">
        <f>IFERROR(__xludf.DUMMYFUNCTION("""COMPUTED_VALUE"""),"Romauribe")</f>
        <v>Romauribe</v>
      </c>
      <c r="B145" s="9">
        <f>IFERROR(__xludf.DUMMYFUNCTION("""COMPUTED_VALUE"""),4.84)</f>
        <v>4.84</v>
      </c>
      <c r="C145" s="9">
        <f>IFERROR(__xludf.DUMMYFUNCTION("""COMPUTED_VALUE"""),-73.88)</f>
        <v>-73.88</v>
      </c>
    </row>
    <row r="146">
      <c r="A146" s="6" t="str">
        <f>IFERROR(__xludf.DUMMYFUNCTION("""COMPUTED_VALUE"""),"Nbareschu")</f>
        <v>Nbareschu</v>
      </c>
      <c r="B146" s="9">
        <f>IFERROR(__xludf.DUMMYFUNCTION("""COMPUTED_VALUE"""),9.134017)</f>
        <v>9.134017</v>
      </c>
      <c r="C146" s="9">
        <f>IFERROR(__xludf.DUMMYFUNCTION("""COMPUTED_VALUE"""),-76.179847)</f>
        <v>-76.179847</v>
      </c>
    </row>
    <row r="147">
      <c r="A147" s="6" t="str">
        <f>IFERROR(__xludf.DUMMYFUNCTION("""COMPUTED_VALUE"""),"JJCL09")</f>
        <v>JJCL09</v>
      </c>
      <c r="B147" s="9">
        <f>IFERROR(__xludf.DUMMYFUNCTION("""COMPUTED_VALUE"""),5.572411)</f>
        <v>5.572411</v>
      </c>
      <c r="C147" s="9">
        <f>IFERROR(__xludf.DUMMYFUNCTION("""COMPUTED_VALUE"""),-74.904481)</f>
        <v>-74.904481</v>
      </c>
    </row>
    <row r="148">
      <c r="A148" s="6" t="str">
        <f>IFERROR(__xludf.DUMMYFUNCTION("""COMPUTED_VALUE"""),"AmiGueko")</f>
        <v>AmiGueko</v>
      </c>
      <c r="B148" s="9">
        <f>IFERROR(__xludf.DUMMYFUNCTION("""COMPUTED_VALUE"""),4.960986)</f>
        <v>4.960986</v>
      </c>
      <c r="C148" s="9">
        <f>IFERROR(__xludf.DUMMYFUNCTION("""COMPUTED_VALUE"""),-75.02709)</f>
        <v>-75.02709</v>
      </c>
    </row>
    <row r="149">
      <c r="A149" s="6" t="str">
        <f>IFERROR(__xludf.DUMMYFUNCTION("""COMPUTED_VALUE"""),"Nbareschu")</f>
        <v>Nbareschu</v>
      </c>
      <c r="B149" s="9">
        <f>IFERROR(__xludf.DUMMYFUNCTION("""COMPUTED_VALUE"""),4.820536)</f>
        <v>4.820536</v>
      </c>
      <c r="C149" s="9">
        <f>IFERROR(__xludf.DUMMYFUNCTION("""COMPUTED_VALUE"""),-74.401208)</f>
        <v>-74.401208</v>
      </c>
    </row>
    <row r="150">
      <c r="A150" s="6" t="str">
        <f>IFERROR(__xludf.DUMMYFUNCTION("""COMPUTED_VALUE"""),"Diferoch")</f>
        <v>Diferoch</v>
      </c>
      <c r="B150" s="9">
        <f>IFERROR(__xludf.DUMMYFUNCTION("""COMPUTED_VALUE"""),7.096003)</f>
        <v>7.096003</v>
      </c>
      <c r="C150" s="9">
        <f>IFERROR(__xludf.DUMMYFUNCTION("""COMPUTED_VALUE"""),-73.756218)</f>
        <v>-73.756218</v>
      </c>
    </row>
    <row r="151">
      <c r="A151" s="6" t="str">
        <f>IFERROR(__xludf.DUMMYFUNCTION("""COMPUTED_VALUE"""),"Overlabor5010")</f>
        <v>Overlabor5010</v>
      </c>
      <c r="B151" s="9">
        <f>IFERROR(__xludf.DUMMYFUNCTION("""COMPUTED_VALUE"""),11.308901)</f>
        <v>11.308901</v>
      </c>
      <c r="C151" s="9">
        <f>IFERROR(__xludf.DUMMYFUNCTION("""COMPUTED_VALUE"""),-73.936915)</f>
        <v>-73.936915</v>
      </c>
    </row>
    <row r="152">
      <c r="A152" s="6" t="str">
        <f>IFERROR(__xludf.DUMMYFUNCTION("""COMPUTED_VALUE"""),"Supertita")</f>
        <v>Supertita</v>
      </c>
      <c r="B152" s="9">
        <f>IFERROR(__xludf.DUMMYFUNCTION("""COMPUTED_VALUE"""),4.51316)</f>
        <v>4.51316</v>
      </c>
      <c r="C152" s="9">
        <f>IFERROR(__xludf.DUMMYFUNCTION("""COMPUTED_VALUE"""),-74.53792)</f>
        <v>-74.53792</v>
      </c>
    </row>
    <row r="153">
      <c r="A153" s="6" t="str">
        <f>IFERROR(__xludf.DUMMYFUNCTION("""COMPUTED_VALUE"""),"Nbareschu")</f>
        <v>Nbareschu</v>
      </c>
      <c r="B153" s="9">
        <f>IFERROR(__xludf.DUMMYFUNCTION("""COMPUTED_VALUE"""),4.867486)</f>
        <v>4.867486</v>
      </c>
      <c r="C153" s="9">
        <f>IFERROR(__xludf.DUMMYFUNCTION("""COMPUTED_VALUE"""),-74.376092)</f>
        <v>-74.376092</v>
      </c>
    </row>
    <row r="154">
      <c r="A154" s="6" t="str">
        <f>IFERROR(__xludf.DUMMYFUNCTION("""COMPUTED_VALUE"""),"AmiGueko")</f>
        <v>AmiGueko</v>
      </c>
      <c r="B154" s="9">
        <f>IFERROR(__xludf.DUMMYFUNCTION("""COMPUTED_VALUE"""),4.6667)</f>
        <v>4.6667</v>
      </c>
      <c r="C154" s="9">
        <f>IFERROR(__xludf.DUMMYFUNCTION("""COMPUTED_VALUE"""),-75.5)</f>
        <v>-75.5</v>
      </c>
    </row>
    <row r="155">
      <c r="A155" s="6" t="str">
        <f>IFERROR(__xludf.DUMMYFUNCTION("""COMPUTED_VALUE"""),"Sophy Martinez")</f>
        <v>Sophy Martinez</v>
      </c>
      <c r="B155" s="9">
        <f>IFERROR(__xludf.DUMMYFUNCTION("""COMPUTED_VALUE"""),4.54601)</f>
        <v>4.54601</v>
      </c>
      <c r="C155" s="9">
        <f>IFERROR(__xludf.DUMMYFUNCTION("""COMPUTED_VALUE"""),-73.965653)</f>
        <v>-73.965653</v>
      </c>
    </row>
    <row r="156">
      <c r="A156" s="6" t="str">
        <f>IFERROR(__xludf.DUMMYFUNCTION("""COMPUTED_VALUE"""),"NicolleTorresG")</f>
        <v>NicolleTorresG</v>
      </c>
      <c r="B156" s="9">
        <f>IFERROR(__xludf.DUMMYFUNCTION("""COMPUTED_VALUE"""),3.5611)</f>
        <v>3.5611</v>
      </c>
      <c r="C156" s="9">
        <f>IFERROR(__xludf.DUMMYFUNCTION("""COMPUTED_VALUE"""),-76.5569)</f>
        <v>-76.5569</v>
      </c>
    </row>
    <row r="157">
      <c r="A157" s="6" t="str">
        <f>IFERROR(__xludf.DUMMYFUNCTION("""COMPUTED_VALUE"""),"ZulayMR")</f>
        <v>ZulayMR</v>
      </c>
      <c r="B157" s="9">
        <f>IFERROR(__xludf.DUMMYFUNCTION("""COMPUTED_VALUE"""),11.306367)</f>
        <v>11.306367</v>
      </c>
      <c r="C157" s="9">
        <f>IFERROR(__xludf.DUMMYFUNCTION("""COMPUTED_VALUE"""),-74.065745)</f>
        <v>-74.065745</v>
      </c>
    </row>
    <row r="158">
      <c r="A158" s="6" t="str">
        <f>IFERROR(__xludf.DUMMYFUNCTION("""COMPUTED_VALUE"""),"AmiGueko")</f>
        <v>AmiGueko</v>
      </c>
      <c r="B158" s="9">
        <f>IFERROR(__xludf.DUMMYFUNCTION("""COMPUTED_VALUE"""),4.6667)</f>
        <v>4.6667</v>
      </c>
      <c r="C158" s="9">
        <f>IFERROR(__xludf.DUMMYFUNCTION("""COMPUTED_VALUE"""),-75.5)</f>
        <v>-75.5</v>
      </c>
    </row>
    <row r="159">
      <c r="A159" s="6" t="str">
        <f>IFERROR(__xludf.DUMMYFUNCTION("""COMPUTED_VALUE"""),"AmiGueko")</f>
        <v>AmiGueko</v>
      </c>
      <c r="B159" s="9">
        <f>IFERROR(__xludf.DUMMYFUNCTION("""COMPUTED_VALUE"""),4.6667)</f>
        <v>4.6667</v>
      </c>
      <c r="C159" s="9">
        <f>IFERROR(__xludf.DUMMYFUNCTION("""COMPUTED_VALUE"""),-75.5)</f>
        <v>-75.5</v>
      </c>
    </row>
    <row r="160">
      <c r="A160" s="6" t="str">
        <f>IFERROR(__xludf.DUMMYFUNCTION("""COMPUTED_VALUE"""),"AmiGueko")</f>
        <v>AmiGueko</v>
      </c>
      <c r="B160" s="9">
        <f>IFERROR(__xludf.DUMMYFUNCTION("""COMPUTED_VALUE"""),4.625208)</f>
        <v>4.625208</v>
      </c>
      <c r="C160" s="9">
        <f>IFERROR(__xludf.DUMMYFUNCTION("""COMPUTED_VALUE"""),-75.542599)</f>
        <v>-75.542599</v>
      </c>
    </row>
    <row r="161">
      <c r="A161" s="6" t="str">
        <f>IFERROR(__xludf.DUMMYFUNCTION("""COMPUTED_VALUE"""),"AmiGueko")</f>
        <v>AmiGueko</v>
      </c>
      <c r="B161" s="9">
        <f>IFERROR(__xludf.DUMMYFUNCTION("""COMPUTED_VALUE"""),4.639299)</f>
        <v>4.639299</v>
      </c>
      <c r="C161" s="9">
        <f>IFERROR(__xludf.DUMMYFUNCTION("""COMPUTED_VALUE"""),-75.562209)</f>
        <v>-75.562209</v>
      </c>
    </row>
    <row r="162">
      <c r="A162" s="6" t="str">
        <f>IFERROR(__xludf.DUMMYFUNCTION("""COMPUTED_VALUE"""),"AmiGueko")</f>
        <v>AmiGueko</v>
      </c>
      <c r="B162" s="9">
        <f>IFERROR(__xludf.DUMMYFUNCTION("""COMPUTED_VALUE"""),4.634831)</f>
        <v>4.634831</v>
      </c>
      <c r="C162" s="9">
        <f>IFERROR(__xludf.DUMMYFUNCTION("""COMPUTED_VALUE"""),-75.564658)</f>
        <v>-75.564658</v>
      </c>
    </row>
    <row r="163">
      <c r="A163" s="6" t="str">
        <f>IFERROR(__xludf.DUMMYFUNCTION("""COMPUTED_VALUE"""),"AmiGueko")</f>
        <v>AmiGueko</v>
      </c>
      <c r="B163" s="9">
        <f>IFERROR(__xludf.DUMMYFUNCTION("""COMPUTED_VALUE"""),4.987514)</f>
        <v>4.987514</v>
      </c>
      <c r="C163" s="9">
        <f>IFERROR(__xludf.DUMMYFUNCTION("""COMPUTED_VALUE"""),-74.992323)</f>
        <v>-74.992323</v>
      </c>
    </row>
    <row r="164">
      <c r="A164" s="6" t="str">
        <f>IFERROR(__xludf.DUMMYFUNCTION("""COMPUTED_VALUE"""),"AmiGueko")</f>
        <v>AmiGueko</v>
      </c>
      <c r="B164" s="9">
        <f>IFERROR(__xludf.DUMMYFUNCTION("""COMPUTED_VALUE"""),5.038751)</f>
        <v>5.038751</v>
      </c>
      <c r="C164" s="9">
        <f>IFERROR(__xludf.DUMMYFUNCTION("""COMPUTED_VALUE"""),-75.447503)</f>
        <v>-75.447503</v>
      </c>
    </row>
    <row r="165">
      <c r="A165" s="6" t="str">
        <f>IFERROR(__xludf.DUMMYFUNCTION("""COMPUTED_VALUE"""),"AmiGueko")</f>
        <v>AmiGueko</v>
      </c>
      <c r="B165" s="9">
        <f>IFERROR(__xludf.DUMMYFUNCTION("""COMPUTED_VALUE"""),4.906215)</f>
        <v>4.906215</v>
      </c>
      <c r="C165" s="9">
        <f>IFERROR(__xludf.DUMMYFUNCTION("""COMPUTED_VALUE"""),-75.223621)</f>
        <v>-75.223621</v>
      </c>
    </row>
    <row r="166">
      <c r="A166" s="6" t="str">
        <f>IFERROR(__xludf.DUMMYFUNCTION("""COMPUTED_VALUE"""),"AmiGueko")</f>
        <v>AmiGueko</v>
      </c>
      <c r="B166" s="9">
        <f>IFERROR(__xludf.DUMMYFUNCTION("""COMPUTED_VALUE"""),4.932381)</f>
        <v>4.932381</v>
      </c>
      <c r="C166" s="9">
        <f>IFERROR(__xludf.DUMMYFUNCTION("""COMPUTED_VALUE"""),-75.077572)</f>
        <v>-75.077572</v>
      </c>
    </row>
    <row r="167">
      <c r="A167" s="6" t="str">
        <f>IFERROR(__xludf.DUMMYFUNCTION("""COMPUTED_VALUE"""),"AmiGueko")</f>
        <v>AmiGueko</v>
      </c>
      <c r="B167" s="9">
        <f>IFERROR(__xludf.DUMMYFUNCTION("""COMPUTED_VALUE"""),4.934326)</f>
        <v>4.934326</v>
      </c>
      <c r="C167" s="9">
        <f>IFERROR(__xludf.DUMMYFUNCTION("""COMPUTED_VALUE"""),-75.296447)</f>
        <v>-75.296447</v>
      </c>
    </row>
    <row r="168">
      <c r="A168" s="6" t="str">
        <f>IFERROR(__xludf.DUMMYFUNCTION("""COMPUTED_VALUE"""),"AmiGueko")</f>
        <v>AmiGueko</v>
      </c>
      <c r="B168" s="9">
        <f>IFERROR(__xludf.DUMMYFUNCTION("""COMPUTED_VALUE"""),4.978368)</f>
        <v>4.978368</v>
      </c>
      <c r="C168" s="9">
        <f>IFERROR(__xludf.DUMMYFUNCTION("""COMPUTED_VALUE"""),-75.348129)</f>
        <v>-75.348129</v>
      </c>
    </row>
    <row r="169">
      <c r="A169" s="6" t="str">
        <f>IFERROR(__xludf.DUMMYFUNCTION("""COMPUTED_VALUE"""),"AmiGueko")</f>
        <v>AmiGueko</v>
      </c>
      <c r="B169" s="9">
        <f>IFERROR(__xludf.DUMMYFUNCTION("""COMPUTED_VALUE"""),4.920387)</f>
        <v>4.920387</v>
      </c>
      <c r="C169" s="9">
        <f>IFERROR(__xludf.DUMMYFUNCTION("""COMPUTED_VALUE"""),-74.913422)</f>
        <v>-74.913422</v>
      </c>
    </row>
    <row r="170">
      <c r="A170" s="6" t="str">
        <f>IFERROR(__xludf.DUMMYFUNCTION("""COMPUTED_VALUE"""),"Supertita")</f>
        <v>Supertita</v>
      </c>
      <c r="B170" s="9">
        <f>IFERROR(__xludf.DUMMYFUNCTION("""COMPUTED_VALUE"""),4.52799)</f>
        <v>4.52799</v>
      </c>
      <c r="C170" s="9">
        <f>IFERROR(__xludf.DUMMYFUNCTION("""COMPUTED_VALUE"""),-73.75284)</f>
        <v>-73.75284</v>
      </c>
    </row>
    <row r="171">
      <c r="A171" s="6" t="str">
        <f>IFERROR(__xludf.DUMMYFUNCTION("""COMPUTED_VALUE"""),"Seacowatee")</f>
        <v>Seacowatee</v>
      </c>
      <c r="B171" s="9">
        <f>IFERROR(__xludf.DUMMYFUNCTION("""COMPUTED_VALUE"""),4.59567)</f>
        <v>4.59567</v>
      </c>
      <c r="C171" s="9">
        <f>IFERROR(__xludf.DUMMYFUNCTION("""COMPUTED_VALUE"""),-73.957806)</f>
        <v>-73.957806</v>
      </c>
    </row>
    <row r="172">
      <c r="A172" s="6" t="str">
        <f>IFERROR(__xludf.DUMMYFUNCTION("""COMPUTED_VALUE"""),"Estudiante0001")</f>
        <v>Estudiante0001</v>
      </c>
      <c r="B172" s="9">
        <f>IFERROR(__xludf.DUMMYFUNCTION("""COMPUTED_VALUE"""),4.840625)</f>
        <v>4.840625</v>
      </c>
      <c r="C172" s="9">
        <f>IFERROR(__xludf.DUMMYFUNCTION("""COMPUTED_VALUE"""),-73.832821)</f>
        <v>-73.832821</v>
      </c>
    </row>
    <row r="173">
      <c r="A173" s="6" t="str">
        <f>IFERROR(__xludf.DUMMYFUNCTION("""COMPUTED_VALUE"""),"Estudiante0001")</f>
        <v>Estudiante0001</v>
      </c>
      <c r="B173" s="9">
        <f>IFERROR(__xludf.DUMMYFUNCTION("""COMPUTED_VALUE"""),4.840558)</f>
        <v>4.840558</v>
      </c>
      <c r="C173" s="9">
        <f>IFERROR(__xludf.DUMMYFUNCTION("""COMPUTED_VALUE"""),-73.832826)</f>
        <v>-73.832826</v>
      </c>
    </row>
    <row r="174">
      <c r="A174" s="6" t="str">
        <f>IFERROR(__xludf.DUMMYFUNCTION("""COMPUTED_VALUE"""),"Johan Andrés Toro")</f>
        <v>Johan Andrés Toro</v>
      </c>
      <c r="B174" s="9">
        <f>IFERROR(__xludf.DUMMYFUNCTION("""COMPUTED_VALUE"""),4.575476)</f>
        <v>4.575476</v>
      </c>
      <c r="C174" s="9">
        <f>IFERROR(__xludf.DUMMYFUNCTION("""COMPUTED_VALUE"""),-74.294875)</f>
        <v>-74.294875</v>
      </c>
    </row>
    <row r="175">
      <c r="A175" s="6" t="str">
        <f>IFERROR(__xludf.DUMMYFUNCTION("""COMPUTED_VALUE"""),"Nbareschu")</f>
        <v>Nbareschu</v>
      </c>
      <c r="B175" s="9">
        <f>IFERROR(__xludf.DUMMYFUNCTION("""COMPUTED_VALUE"""),6.369703)</f>
        <v>6.369703</v>
      </c>
      <c r="C175" s="9">
        <f>IFERROR(__xludf.DUMMYFUNCTION("""COMPUTED_VALUE"""),-72.318169)</f>
        <v>-72.318169</v>
      </c>
    </row>
    <row r="176">
      <c r="A176" s="6" t="str">
        <f>IFERROR(__xludf.DUMMYFUNCTION("""COMPUTED_VALUE"""),"NMontoya (WMCO)")</f>
        <v>NMontoya (WMCO)</v>
      </c>
      <c r="B176" s="9">
        <f>IFERROR(__xludf.DUMMYFUNCTION("""COMPUTED_VALUE"""),4.669437)</f>
        <v>4.669437</v>
      </c>
      <c r="C176" s="9">
        <f>IFERROR(__xludf.DUMMYFUNCTION("""COMPUTED_VALUE"""),-74.097702)</f>
        <v>-74.097702</v>
      </c>
    </row>
    <row r="177">
      <c r="A177" s="6" t="str">
        <f>IFERROR(__xludf.DUMMYFUNCTION("""COMPUTED_VALUE"""),"Noeliachalfoun")</f>
        <v>Noeliachalfoun</v>
      </c>
      <c r="B177" s="9">
        <f>IFERROR(__xludf.DUMMYFUNCTION("""COMPUTED_VALUE"""),2.264106)</f>
        <v>2.264106</v>
      </c>
      <c r="C177" s="9">
        <f>IFERROR(__xludf.DUMMYFUNCTION("""COMPUTED_VALUE"""),-73.794565)</f>
        <v>-73.794565</v>
      </c>
    </row>
    <row r="178">
      <c r="A178" s="6" t="str">
        <f>IFERROR(__xludf.DUMMYFUNCTION("""COMPUTED_VALUE"""),"Noeliachalfoun")</f>
        <v>Noeliachalfoun</v>
      </c>
      <c r="B178" s="9">
        <f>IFERROR(__xludf.DUMMYFUNCTION("""COMPUTED_VALUE"""),2.264107)</f>
        <v>2.264107</v>
      </c>
      <c r="C178" s="9">
        <f>IFERROR(__xludf.DUMMYFUNCTION("""COMPUTED_VALUE"""),-73.794565)</f>
        <v>-73.794565</v>
      </c>
    </row>
    <row r="179">
      <c r="A179" s="6" t="str">
        <f>IFERROR(__xludf.DUMMYFUNCTION("""COMPUTED_VALUE"""),"Noeliachalfoun")</f>
        <v>Noeliachalfoun</v>
      </c>
      <c r="B179" s="9">
        <f>IFERROR(__xludf.DUMMYFUNCTION("""COMPUTED_VALUE"""),2.264107)</f>
        <v>2.264107</v>
      </c>
      <c r="C179" s="9">
        <f>IFERROR(__xludf.DUMMYFUNCTION("""COMPUTED_VALUE"""),-73.794565)</f>
        <v>-73.794565</v>
      </c>
    </row>
    <row r="180">
      <c r="A180" s="6" t="str">
        <f>IFERROR(__xludf.DUMMYFUNCTION("""COMPUTED_VALUE"""),"Noeliachalfoun")</f>
        <v>Noeliachalfoun</v>
      </c>
      <c r="B180" s="9">
        <f>IFERROR(__xludf.DUMMYFUNCTION("""COMPUTED_VALUE"""),2.264106)</f>
        <v>2.264106</v>
      </c>
      <c r="C180" s="9">
        <f>IFERROR(__xludf.DUMMYFUNCTION("""COMPUTED_VALUE"""),-73.794565)</f>
        <v>-73.794565</v>
      </c>
    </row>
    <row r="181">
      <c r="A181" s="6" t="str">
        <f>IFERROR(__xludf.DUMMYFUNCTION("""COMPUTED_VALUE"""),"Juanrapave")</f>
        <v>Juanrapave</v>
      </c>
      <c r="B181" s="9">
        <f>IFERROR(__xludf.DUMMYFUNCTION("""COMPUTED_VALUE"""),10.441944)</f>
        <v>10.441944</v>
      </c>
      <c r="C181" s="9">
        <f>IFERROR(__xludf.DUMMYFUNCTION("""COMPUTED_VALUE"""),-75.523611)</f>
        <v>-75.523611</v>
      </c>
    </row>
    <row r="182">
      <c r="A182" s="6" t="str">
        <f>IFERROR(__xludf.DUMMYFUNCTION("""COMPUTED_VALUE"""),"Cathetovar")</f>
        <v>Cathetovar</v>
      </c>
      <c r="B182" s="9">
        <f>IFERROR(__xludf.DUMMYFUNCTION("""COMPUTED_VALUE"""),3.237393)</f>
        <v>3.237393</v>
      </c>
      <c r="C182" s="9">
        <f>IFERROR(__xludf.DUMMYFUNCTION("""COMPUTED_VALUE"""),-75.118115)</f>
        <v>-75.118115</v>
      </c>
    </row>
    <row r="183">
      <c r="A183" s="6" t="str">
        <f>IFERROR(__xludf.DUMMYFUNCTION("""COMPUTED_VALUE"""),"Sebasgr05")</f>
        <v>Sebasgr05</v>
      </c>
      <c r="B183" s="9">
        <f>IFERROR(__xludf.DUMMYFUNCTION("""COMPUTED_VALUE"""),2.96846)</f>
        <v>2.96846</v>
      </c>
      <c r="C183" s="9">
        <f>IFERROR(__xludf.DUMMYFUNCTION("""COMPUTED_VALUE"""),-78.183017)</f>
        <v>-78.183017</v>
      </c>
    </row>
    <row r="184">
      <c r="A184" s="6" t="str">
        <f>IFERROR(__xludf.DUMMYFUNCTION("""COMPUTED_VALUE"""),"Diferoch")</f>
        <v>Diferoch</v>
      </c>
      <c r="B184" s="9">
        <f>IFERROR(__xludf.DUMMYFUNCTION("""COMPUTED_VALUE"""),7.084857)</f>
        <v>7.084857</v>
      </c>
      <c r="C184" s="9">
        <f>IFERROR(__xludf.DUMMYFUNCTION("""COMPUTED_VALUE"""),-73.863883)</f>
        <v>-73.863883</v>
      </c>
    </row>
    <row r="185">
      <c r="A185" s="6" t="str">
        <f>IFERROR(__xludf.DUMMYFUNCTION("""COMPUTED_VALUE"""),"Diferoch")</f>
        <v>Diferoch</v>
      </c>
      <c r="B185" s="9">
        <f>IFERROR(__xludf.DUMMYFUNCTION("""COMPUTED_VALUE"""),7.084838)</f>
        <v>7.084838</v>
      </c>
      <c r="C185" s="9">
        <f>IFERROR(__xludf.DUMMYFUNCTION("""COMPUTED_VALUE"""),-73.863868)</f>
        <v>-73.863868</v>
      </c>
    </row>
    <row r="186">
      <c r="A186" s="6" t="str">
        <f>IFERROR(__xludf.DUMMYFUNCTION("""COMPUTED_VALUE"""),"Diferoch")</f>
        <v>Diferoch</v>
      </c>
      <c r="B186" s="9">
        <f>IFERROR(__xludf.DUMMYFUNCTION("""COMPUTED_VALUE"""),7.08491)</f>
        <v>7.08491</v>
      </c>
      <c r="C186" s="9">
        <f>IFERROR(__xludf.DUMMYFUNCTION("""COMPUTED_VALUE"""),-73.863777)</f>
        <v>-73.863777</v>
      </c>
    </row>
    <row r="187">
      <c r="A187" s="6" t="str">
        <f>IFERROR(__xludf.DUMMYFUNCTION("""COMPUTED_VALUE"""),"Diferoch")</f>
        <v>Diferoch</v>
      </c>
      <c r="B187" s="9">
        <f>IFERROR(__xludf.DUMMYFUNCTION("""COMPUTED_VALUE"""),7.084917)</f>
        <v>7.084917</v>
      </c>
      <c r="C187" s="9">
        <f>IFERROR(__xludf.DUMMYFUNCTION("""COMPUTED_VALUE"""),-73.863762)</f>
        <v>-73.863762</v>
      </c>
    </row>
    <row r="188">
      <c r="A188" s="6" t="str">
        <f>IFERROR(__xludf.DUMMYFUNCTION("""COMPUTED_VALUE"""),"Diferoch")</f>
        <v>Diferoch</v>
      </c>
      <c r="B188" s="9">
        <f>IFERROR(__xludf.DUMMYFUNCTION("""COMPUTED_VALUE"""),7.084917)</f>
        <v>7.084917</v>
      </c>
      <c r="C188" s="9">
        <f>IFERROR(__xludf.DUMMYFUNCTION("""COMPUTED_VALUE"""),-73.863762)</f>
        <v>-73.863762</v>
      </c>
    </row>
    <row r="189">
      <c r="A189" s="6" t="str">
        <f>IFERROR(__xludf.DUMMYFUNCTION("""COMPUTED_VALUE"""),"Diferoch")</f>
        <v>Diferoch</v>
      </c>
      <c r="B189" s="9">
        <f>IFERROR(__xludf.DUMMYFUNCTION("""COMPUTED_VALUE"""),6.711225)</f>
        <v>6.711225</v>
      </c>
      <c r="C189" s="9">
        <f>IFERROR(__xludf.DUMMYFUNCTION("""COMPUTED_VALUE"""),-74.144913)</f>
        <v>-74.144913</v>
      </c>
    </row>
    <row r="190">
      <c r="A190" s="6" t="str">
        <f>IFERROR(__xludf.DUMMYFUNCTION("""COMPUTED_VALUE"""),"AmiGueko")</f>
        <v>AmiGueko</v>
      </c>
      <c r="B190" s="9">
        <f>IFERROR(__xludf.DUMMYFUNCTION("""COMPUTED_VALUE"""),4.964957)</f>
        <v>4.964957</v>
      </c>
      <c r="C190" s="9">
        <f>IFERROR(__xludf.DUMMYFUNCTION("""COMPUTED_VALUE"""),-75.240538)</f>
        <v>-75.240538</v>
      </c>
    </row>
    <row r="191">
      <c r="A191" s="6" t="str">
        <f>IFERROR(__xludf.DUMMYFUNCTION("""COMPUTED_VALUE"""),"AmiGueko")</f>
        <v>AmiGueko</v>
      </c>
      <c r="B191" s="9">
        <f>IFERROR(__xludf.DUMMYFUNCTION("""COMPUTED_VALUE"""),4.66775)</f>
        <v>4.66775</v>
      </c>
      <c r="C191" s="9">
        <f>IFERROR(__xludf.DUMMYFUNCTION("""COMPUTED_VALUE"""),-74.099944)</f>
        <v>-74.099944</v>
      </c>
    </row>
    <row r="192">
      <c r="A192" s="6" t="str">
        <f>IFERROR(__xludf.DUMMYFUNCTION("""COMPUTED_VALUE"""),"AmiGueko")</f>
        <v>AmiGueko</v>
      </c>
      <c r="B192" s="9">
        <f>IFERROR(__xludf.DUMMYFUNCTION("""COMPUTED_VALUE"""),4.66775)</f>
        <v>4.66775</v>
      </c>
      <c r="C192" s="9">
        <f>IFERROR(__xludf.DUMMYFUNCTION("""COMPUTED_VALUE"""),-74.099944)</f>
        <v>-74.099944</v>
      </c>
    </row>
    <row r="193">
      <c r="A193" s="6" t="str">
        <f>IFERROR(__xludf.DUMMYFUNCTION("""COMPUTED_VALUE"""),"AmiGueko")</f>
        <v>AmiGueko</v>
      </c>
      <c r="B193" s="9">
        <f>IFERROR(__xludf.DUMMYFUNCTION("""COMPUTED_VALUE"""),4.66775)</f>
        <v>4.66775</v>
      </c>
      <c r="C193" s="9">
        <f>IFERROR(__xludf.DUMMYFUNCTION("""COMPUTED_VALUE"""),-74.099944)</f>
        <v>-74.099944</v>
      </c>
    </row>
    <row r="194">
      <c r="A194" s="6" t="str">
        <f>IFERROR(__xludf.DUMMYFUNCTION("""COMPUTED_VALUE"""),"AmiGueko")</f>
        <v>AmiGueko</v>
      </c>
      <c r="B194" s="9">
        <f>IFERROR(__xludf.DUMMYFUNCTION("""COMPUTED_VALUE"""),4.66775)</f>
        <v>4.66775</v>
      </c>
      <c r="C194" s="9">
        <f>IFERROR(__xludf.DUMMYFUNCTION("""COMPUTED_VALUE"""),-74.099944)</f>
        <v>-74.099944</v>
      </c>
    </row>
    <row r="195">
      <c r="A195" s="6" t="str">
        <f>IFERROR(__xludf.DUMMYFUNCTION("""COMPUTED_VALUE"""),"AmiGueko")</f>
        <v>AmiGueko</v>
      </c>
      <c r="B195" s="9">
        <f>IFERROR(__xludf.DUMMYFUNCTION("""COMPUTED_VALUE"""),4.66775)</f>
        <v>4.66775</v>
      </c>
      <c r="C195" s="9">
        <f>IFERROR(__xludf.DUMMYFUNCTION("""COMPUTED_VALUE"""),-74.099944)</f>
        <v>-74.099944</v>
      </c>
    </row>
    <row r="196">
      <c r="A196" s="6" t="str">
        <f>IFERROR(__xludf.DUMMYFUNCTION("""COMPUTED_VALUE"""),"AmiGueko")</f>
        <v>AmiGueko</v>
      </c>
      <c r="B196" s="9">
        <f>IFERROR(__xludf.DUMMYFUNCTION("""COMPUTED_VALUE"""),4.66775)</f>
        <v>4.66775</v>
      </c>
      <c r="C196" s="9">
        <f>IFERROR(__xludf.DUMMYFUNCTION("""COMPUTED_VALUE"""),-74.099944)</f>
        <v>-74.099944</v>
      </c>
    </row>
    <row r="197">
      <c r="A197" s="6" t="str">
        <f>IFERROR(__xludf.DUMMYFUNCTION("""COMPUTED_VALUE"""),"AmiGueko")</f>
        <v>AmiGueko</v>
      </c>
      <c r="B197" s="9">
        <f>IFERROR(__xludf.DUMMYFUNCTION("""COMPUTED_VALUE"""),4.614518)</f>
        <v>4.614518</v>
      </c>
      <c r="C197" s="9">
        <f>IFERROR(__xludf.DUMMYFUNCTION("""COMPUTED_VALUE"""),-74.066319)</f>
        <v>-74.066319</v>
      </c>
    </row>
    <row r="198">
      <c r="A198" s="6" t="str">
        <f>IFERROR(__xludf.DUMMYFUNCTION("""COMPUTED_VALUE"""),"Project5443")</f>
        <v>Project5443</v>
      </c>
      <c r="B198" s="9">
        <f>IFERROR(__xludf.DUMMYFUNCTION("""COMPUTED_VALUE"""),4.60583)</f>
        <v>4.60583</v>
      </c>
      <c r="C198" s="9">
        <f>IFERROR(__xludf.DUMMYFUNCTION("""COMPUTED_VALUE"""),-74.05639)</f>
        <v>-74.05639</v>
      </c>
    </row>
    <row r="199">
      <c r="A199" s="6" t="str">
        <f>IFERROR(__xludf.DUMMYFUNCTION("""COMPUTED_VALUE"""),"AmiGueko")</f>
        <v>AmiGueko</v>
      </c>
      <c r="B199" s="9">
        <f>IFERROR(__xludf.DUMMYFUNCTION("""COMPUTED_VALUE"""),4.66775)</f>
        <v>4.66775</v>
      </c>
      <c r="C199" s="9">
        <f>IFERROR(__xludf.DUMMYFUNCTION("""COMPUTED_VALUE"""),-74.099944)</f>
        <v>-74.099944</v>
      </c>
    </row>
    <row r="200">
      <c r="A200" s="6" t="str">
        <f>IFERROR(__xludf.DUMMYFUNCTION("""COMPUTED_VALUE"""),"Diferoch")</f>
        <v>Diferoch</v>
      </c>
      <c r="B200" s="9">
        <f>IFERROR(__xludf.DUMMYFUNCTION("""COMPUTED_VALUE"""),5.60968)</f>
        <v>5.60968</v>
      </c>
      <c r="C200" s="9">
        <f>IFERROR(__xludf.DUMMYFUNCTION("""COMPUTED_VALUE"""),-77.438163)</f>
        <v>-77.438163</v>
      </c>
    </row>
    <row r="201">
      <c r="A201" s="6" t="str">
        <f>IFERROR(__xludf.DUMMYFUNCTION("""COMPUTED_VALUE"""),"Diferoch")</f>
        <v>Diferoch</v>
      </c>
      <c r="B201" s="9">
        <f>IFERROR(__xludf.DUMMYFUNCTION("""COMPUTED_VALUE"""),6.717308)</f>
        <v>6.717308</v>
      </c>
      <c r="C201" s="9">
        <f>IFERROR(__xludf.DUMMYFUNCTION("""COMPUTED_VALUE"""),-74.134933)</f>
        <v>-74.134933</v>
      </c>
    </row>
    <row r="202">
      <c r="A202" s="6" t="str">
        <f>IFERROR(__xludf.DUMMYFUNCTION("""COMPUTED_VALUE"""),"Maicol andres sanabria leon")</f>
        <v>Maicol andres sanabria leon</v>
      </c>
      <c r="B202" s="9">
        <f>IFERROR(__xludf.DUMMYFUNCTION("""COMPUTED_VALUE"""),4.358534)</f>
        <v>4.358534</v>
      </c>
      <c r="C202" s="9">
        <f>IFERROR(__xludf.DUMMYFUNCTION("""COMPUTED_VALUE"""),-72.327617)</f>
        <v>-72.327617</v>
      </c>
    </row>
    <row r="203">
      <c r="A203" s="6" t="str">
        <f>IFERROR(__xludf.DUMMYFUNCTION("""COMPUTED_VALUE"""),"Sebasgr05")</f>
        <v>Sebasgr05</v>
      </c>
      <c r="B203" s="9">
        <f>IFERROR(__xludf.DUMMYFUNCTION("""COMPUTED_VALUE"""),1.005889)</f>
        <v>1.005889</v>
      </c>
      <c r="C203" s="9">
        <f>IFERROR(__xludf.DUMMYFUNCTION("""COMPUTED_VALUE"""),-76.660463)</f>
        <v>-76.660463</v>
      </c>
    </row>
    <row r="204">
      <c r="A204" s="6" t="str">
        <f>IFERROR(__xludf.DUMMYFUNCTION("""COMPUTED_VALUE"""),"Charlesjsharp")</f>
        <v>Charlesjsharp</v>
      </c>
      <c r="B204" s="9">
        <f>IFERROR(__xludf.DUMMYFUNCTION("""COMPUTED_VALUE"""),5.07)</f>
        <v>5.07</v>
      </c>
      <c r="C204" s="9">
        <f>IFERROR(__xludf.DUMMYFUNCTION("""COMPUTED_VALUE"""),-75.44)</f>
        <v>-75.44</v>
      </c>
    </row>
    <row r="205">
      <c r="A205" s="6" t="str">
        <f>IFERROR(__xludf.DUMMYFUNCTION("""COMPUTED_VALUE"""),"Supertita")</f>
        <v>Supertita</v>
      </c>
      <c r="B205" s="9">
        <f>IFERROR(__xludf.DUMMYFUNCTION("""COMPUTED_VALUE"""),4.5816)</f>
        <v>4.5816</v>
      </c>
      <c r="C205" s="9">
        <f>IFERROR(__xludf.DUMMYFUNCTION("""COMPUTED_VALUE"""),-7.41721)</f>
        <v>-7.41721</v>
      </c>
    </row>
    <row r="206">
      <c r="A206" s="6" t="str">
        <f>IFERROR(__xludf.DUMMYFUNCTION("""COMPUTED_VALUE"""),"AmiGueko")</f>
        <v>AmiGueko</v>
      </c>
      <c r="B206" s="9">
        <f>IFERROR(__xludf.DUMMYFUNCTION("""COMPUTED_VALUE"""),4.970307)</f>
        <v>4.970307</v>
      </c>
      <c r="C206" s="9">
        <f>IFERROR(__xludf.DUMMYFUNCTION("""COMPUTED_VALUE"""),-74.292184)</f>
        <v>-74.292184</v>
      </c>
    </row>
    <row r="207">
      <c r="A207" s="6" t="str">
        <f>IFERROR(__xludf.DUMMYFUNCTION("""COMPUTED_VALUE"""),"Diferoch")</f>
        <v>Diferoch</v>
      </c>
      <c r="B207" s="9">
        <f>IFERROR(__xludf.DUMMYFUNCTION("""COMPUTED_VALUE"""),7.094522)</f>
        <v>7.094522</v>
      </c>
      <c r="C207" s="9">
        <f>IFERROR(__xludf.DUMMYFUNCTION("""COMPUTED_VALUE"""),-73.75605)</f>
        <v>-73.75605</v>
      </c>
    </row>
    <row r="208">
      <c r="A208" s="6" t="str">
        <f>IFERROR(__xludf.DUMMYFUNCTION("""COMPUTED_VALUE"""),"Diferoch")</f>
        <v>Diferoch</v>
      </c>
      <c r="B208" s="9">
        <f>IFERROR(__xludf.DUMMYFUNCTION("""COMPUTED_VALUE"""),7.094518)</f>
        <v>7.094518</v>
      </c>
      <c r="C208" s="9">
        <f>IFERROR(__xludf.DUMMYFUNCTION("""COMPUTED_VALUE"""),-73.75605)</f>
        <v>-73.75605</v>
      </c>
    </row>
    <row r="209">
      <c r="A209" s="6" t="str">
        <f>IFERROR(__xludf.DUMMYFUNCTION("""COMPUTED_VALUE"""),"Diferoch")</f>
        <v>Diferoch</v>
      </c>
      <c r="B209" s="9">
        <f>IFERROR(__xludf.DUMMYFUNCTION("""COMPUTED_VALUE"""),6.700988)</f>
        <v>6.700988</v>
      </c>
      <c r="C209" s="9">
        <f>IFERROR(__xludf.DUMMYFUNCTION("""COMPUTED_VALUE"""),-74.152512)</f>
        <v>-74.152512</v>
      </c>
    </row>
    <row r="210">
      <c r="A210" s="6" t="str">
        <f>IFERROR(__xludf.DUMMYFUNCTION("""COMPUTED_VALUE"""),"Juanrapave")</f>
        <v>Juanrapave</v>
      </c>
      <c r="B210" s="9">
        <f>IFERROR(__xludf.DUMMYFUNCTION("""COMPUTED_VALUE"""),10.426667)</f>
        <v>10.426667</v>
      </c>
      <c r="C210" s="9">
        <f>IFERROR(__xludf.DUMMYFUNCTION("""COMPUTED_VALUE"""),-75.550833)</f>
        <v>-75.550833</v>
      </c>
    </row>
    <row r="211">
      <c r="A211" s="6" t="str">
        <f>IFERROR(__xludf.DUMMYFUNCTION("""COMPUTED_VALUE"""),"Elprofeta91")</f>
        <v>Elprofeta91</v>
      </c>
      <c r="B211" s="9">
        <f>IFERROR(__xludf.DUMMYFUNCTION("""COMPUTED_VALUE"""),8.079061)</f>
        <v>8.079061</v>
      </c>
      <c r="C211" s="9">
        <f>IFERROR(__xludf.DUMMYFUNCTION("""COMPUTED_VALUE"""),-74.780725)</f>
        <v>-74.780725</v>
      </c>
    </row>
    <row r="212">
      <c r="A212" s="6" t="str">
        <f>IFERROR(__xludf.DUMMYFUNCTION("""COMPUTED_VALUE"""),"Elprofeta91")</f>
        <v>Elprofeta91</v>
      </c>
      <c r="B212" s="9">
        <f>IFERROR(__xludf.DUMMYFUNCTION("""COMPUTED_VALUE"""),8.081753)</f>
        <v>8.081753</v>
      </c>
      <c r="C212" s="9">
        <f>IFERROR(__xludf.DUMMYFUNCTION("""COMPUTED_VALUE"""),-74.778411)</f>
        <v>-74.778411</v>
      </c>
    </row>
    <row r="213">
      <c r="A213" s="6" t="str">
        <f>IFERROR(__xludf.DUMMYFUNCTION("""COMPUTED_VALUE"""),"AmiGueko")</f>
        <v>AmiGueko</v>
      </c>
      <c r="B213" s="9">
        <f>IFERROR(__xludf.DUMMYFUNCTION("""COMPUTED_VALUE"""),4.972988)</f>
        <v>4.972988</v>
      </c>
      <c r="C213" s="9">
        <f>IFERROR(__xludf.DUMMYFUNCTION("""COMPUTED_VALUE"""),-74.290768)</f>
        <v>-74.290768</v>
      </c>
    </row>
    <row r="214">
      <c r="A214" s="6" t="str">
        <f>IFERROR(__xludf.DUMMYFUNCTION("""COMPUTED_VALUE"""),"Juanrapave")</f>
        <v>Juanrapave</v>
      </c>
      <c r="B214" s="9">
        <f>IFERROR(__xludf.DUMMYFUNCTION("""COMPUTED_VALUE"""),10.990622)</f>
        <v>10.990622</v>
      </c>
      <c r="C214" s="9">
        <f>IFERROR(__xludf.DUMMYFUNCTION("""COMPUTED_VALUE"""),-74.287111)</f>
        <v>-74.287111</v>
      </c>
    </row>
    <row r="215">
      <c r="A215" s="6" t="str">
        <f>IFERROR(__xludf.DUMMYFUNCTION("""COMPUTED_VALUE"""),"Project5443")</f>
        <v>Project5443</v>
      </c>
      <c r="B215" s="9">
        <f>IFERROR(__xludf.DUMMYFUNCTION("""COMPUTED_VALUE"""),11.046389)</f>
        <v>11.046389</v>
      </c>
      <c r="C215" s="9">
        <f>IFERROR(__xludf.DUMMYFUNCTION("""COMPUTED_VALUE"""),-74.846667)</f>
        <v>-74.846667</v>
      </c>
    </row>
    <row r="216">
      <c r="A216" s="6" t="str">
        <f>IFERROR(__xludf.DUMMYFUNCTION("""COMPUTED_VALUE"""),"LentedeBerilo")</f>
        <v>LentedeBerilo</v>
      </c>
      <c r="B216" s="9">
        <f>IFERROR(__xludf.DUMMYFUNCTION("""COMPUTED_VALUE"""),2.938807)</f>
        <v>2.938807</v>
      </c>
      <c r="C216" s="9">
        <f>IFERROR(__xludf.DUMMYFUNCTION("""COMPUTED_VALUE"""),-78.202501)</f>
        <v>-78.202501</v>
      </c>
    </row>
    <row r="217">
      <c r="A217" s="6" t="str">
        <f>IFERROR(__xludf.DUMMYFUNCTION("""COMPUTED_VALUE"""),"AmiGueko")</f>
        <v>AmiGueko</v>
      </c>
      <c r="B217" s="9">
        <f>IFERROR(__xludf.DUMMYFUNCTION("""COMPUTED_VALUE"""),4.66775)</f>
        <v>4.66775</v>
      </c>
      <c r="C217" s="9">
        <f>IFERROR(__xludf.DUMMYFUNCTION("""COMPUTED_VALUE"""),-74.099944)</f>
        <v>-74.099944</v>
      </c>
    </row>
    <row r="218">
      <c r="A218" s="6" t="str">
        <f>IFERROR(__xludf.DUMMYFUNCTION("""COMPUTED_VALUE"""),"AmiGueko")</f>
        <v>AmiGueko</v>
      </c>
      <c r="B218" s="9">
        <f>IFERROR(__xludf.DUMMYFUNCTION("""COMPUTED_VALUE"""),4.66775)</f>
        <v>4.66775</v>
      </c>
      <c r="C218" s="9">
        <f>IFERROR(__xludf.DUMMYFUNCTION("""COMPUTED_VALUE"""),-74.099944)</f>
        <v>-74.099944</v>
      </c>
    </row>
    <row r="219">
      <c r="A219" s="6" t="str">
        <f>IFERROR(__xludf.DUMMYFUNCTION("""COMPUTED_VALUE"""),"AmiGueko")</f>
        <v>AmiGueko</v>
      </c>
      <c r="B219" s="9">
        <f>IFERROR(__xludf.DUMMYFUNCTION("""COMPUTED_VALUE"""),4.66775)</f>
        <v>4.66775</v>
      </c>
      <c r="C219" s="9">
        <f>IFERROR(__xludf.DUMMYFUNCTION("""COMPUTED_VALUE"""),-74.099944)</f>
        <v>-74.099944</v>
      </c>
    </row>
    <row r="220">
      <c r="A220" s="6" t="str">
        <f>IFERROR(__xludf.DUMMYFUNCTION("""COMPUTED_VALUE"""),"AmiGueko")</f>
        <v>AmiGueko</v>
      </c>
      <c r="B220" s="9">
        <f>IFERROR(__xludf.DUMMYFUNCTION("""COMPUTED_VALUE"""),4.66775)</f>
        <v>4.66775</v>
      </c>
      <c r="C220" s="9">
        <f>IFERROR(__xludf.DUMMYFUNCTION("""COMPUTED_VALUE"""),-74.099944)</f>
        <v>-74.099944</v>
      </c>
    </row>
    <row r="221">
      <c r="A221" s="6" t="str">
        <f>IFERROR(__xludf.DUMMYFUNCTION("""COMPUTED_VALUE"""),"AmiGueko")</f>
        <v>AmiGueko</v>
      </c>
      <c r="B221" s="9">
        <f>IFERROR(__xludf.DUMMYFUNCTION("""COMPUTED_VALUE"""),4.66775)</f>
        <v>4.66775</v>
      </c>
      <c r="C221" s="9">
        <f>IFERROR(__xludf.DUMMYFUNCTION("""COMPUTED_VALUE"""),-74.099944)</f>
        <v>-74.099944</v>
      </c>
    </row>
    <row r="222">
      <c r="A222" s="6" t="str">
        <f>IFERROR(__xludf.DUMMYFUNCTION("""COMPUTED_VALUE"""),"Diferoch")</f>
        <v>Diferoch</v>
      </c>
      <c r="B222" s="9">
        <f>IFERROR(__xludf.DUMMYFUNCTION("""COMPUTED_VALUE"""),5.62481)</f>
        <v>5.62481</v>
      </c>
      <c r="C222" s="9">
        <f>IFERROR(__xludf.DUMMYFUNCTION("""COMPUTED_VALUE"""),-77.421272)</f>
        <v>-77.421272</v>
      </c>
    </row>
    <row r="223">
      <c r="A223" s="6" t="str">
        <f>IFERROR(__xludf.DUMMYFUNCTION("""COMPUTED_VALUE"""),"Johannelob")</f>
        <v>Johannelob</v>
      </c>
      <c r="B223" s="9">
        <f>IFERROR(__xludf.DUMMYFUNCTION("""COMPUTED_VALUE"""),10.425)</f>
        <v>10.425</v>
      </c>
      <c r="C223" s="9">
        <f>IFERROR(__xludf.DUMMYFUNCTION("""COMPUTED_VALUE"""),-75.540278)</f>
        <v>-75.540278</v>
      </c>
    </row>
    <row r="224">
      <c r="A224" s="6" t="str">
        <f>IFERROR(__xludf.DUMMYFUNCTION("""COMPUTED_VALUE"""),"Estudiante0001")</f>
        <v>Estudiante0001</v>
      </c>
      <c r="B224" s="9">
        <f>IFERROR(__xludf.DUMMYFUNCTION("""COMPUTED_VALUE"""),4.842038)</f>
        <v>4.842038</v>
      </c>
      <c r="C224" s="9">
        <f>IFERROR(__xludf.DUMMYFUNCTION("""COMPUTED_VALUE"""),-73.834023)</f>
        <v>-73.834023</v>
      </c>
    </row>
    <row r="225">
      <c r="A225" s="6" t="str">
        <f>IFERROR(__xludf.DUMMYFUNCTION("""COMPUTED_VALUE"""),"NMontoya (WMCO)")</f>
        <v>NMontoya (WMCO)</v>
      </c>
      <c r="B225" s="9">
        <f>IFERROR(__xludf.DUMMYFUNCTION("""COMPUTED_VALUE"""),4.66775)</f>
        <v>4.66775</v>
      </c>
      <c r="C225" s="9">
        <f>IFERROR(__xludf.DUMMYFUNCTION("""COMPUTED_VALUE"""),-74.099944)</f>
        <v>-74.099944</v>
      </c>
    </row>
    <row r="226">
      <c r="A226" s="6" t="str">
        <f>IFERROR(__xludf.DUMMYFUNCTION("""COMPUTED_VALUE"""),"Pilarrb9286")</f>
        <v>Pilarrb9286</v>
      </c>
      <c r="B226" s="9">
        <f>IFERROR(__xludf.DUMMYFUNCTION("""COMPUTED_VALUE"""),5.78)</f>
        <v>5.78</v>
      </c>
      <c r="C226" s="9">
        <f>IFERROR(__xludf.DUMMYFUNCTION("""COMPUTED_VALUE"""),-73.1175)</f>
        <v>-73.1175</v>
      </c>
    </row>
    <row r="227">
      <c r="A227" s="6" t="str">
        <f>IFERROR(__xludf.DUMMYFUNCTION("""COMPUTED_VALUE"""),"Estudiante0001")</f>
        <v>Estudiante0001</v>
      </c>
      <c r="B227" s="9">
        <f>IFERROR(__xludf.DUMMYFUNCTION("""COMPUTED_VALUE"""),4.843104)</f>
        <v>4.843104</v>
      </c>
      <c r="C227" s="9">
        <f>IFERROR(__xludf.DUMMYFUNCTION("""COMPUTED_VALUE"""),-73.830812)</f>
        <v>-73.830812</v>
      </c>
    </row>
    <row r="228">
      <c r="A228" s="6" t="str">
        <f>IFERROR(__xludf.DUMMYFUNCTION("""COMPUTED_VALUE"""),"Natlycu")</f>
        <v>Natlycu</v>
      </c>
      <c r="B228" s="9">
        <f>IFERROR(__xludf.DUMMYFUNCTION("""COMPUTED_VALUE"""),4.360644)</f>
        <v>4.360644</v>
      </c>
      <c r="C228" s="9">
        <f>IFERROR(__xludf.DUMMYFUNCTION("""COMPUTED_VALUE"""),-74.335404)</f>
        <v>-74.335404</v>
      </c>
    </row>
    <row r="229">
      <c r="A229" s="6" t="str">
        <f>IFERROR(__xludf.DUMMYFUNCTION("""COMPUTED_VALUE"""),"NicolleTorresG")</f>
        <v>NicolleTorresG</v>
      </c>
      <c r="B229" s="9">
        <f>IFERROR(__xludf.DUMMYFUNCTION("""COMPUTED_VALUE"""),3.5611)</f>
        <v>3.5611</v>
      </c>
      <c r="C229" s="9">
        <f>IFERROR(__xludf.DUMMYFUNCTION("""COMPUTED_VALUE"""),-76.5569)</f>
        <v>-76.5569</v>
      </c>
    </row>
    <row r="230">
      <c r="A230" s="6" t="str">
        <f>IFERROR(__xludf.DUMMYFUNCTION("""COMPUTED_VALUE"""),"NicolleTorresG")</f>
        <v>NicolleTorresG</v>
      </c>
      <c r="B230" s="9">
        <f>IFERROR(__xludf.DUMMYFUNCTION("""COMPUTED_VALUE"""),3.5611)</f>
        <v>3.5611</v>
      </c>
      <c r="C230" s="9">
        <f>IFERROR(__xludf.DUMMYFUNCTION("""COMPUTED_VALUE"""),-76.5569)</f>
        <v>-76.5569</v>
      </c>
    </row>
    <row r="231">
      <c r="A231" s="6" t="str">
        <f>IFERROR(__xludf.DUMMYFUNCTION("""COMPUTED_VALUE"""),"NicolleTorresG")</f>
        <v>NicolleTorresG</v>
      </c>
      <c r="B231" s="9">
        <f>IFERROR(__xludf.DUMMYFUNCTION("""COMPUTED_VALUE"""),3.5611)</f>
        <v>3.5611</v>
      </c>
      <c r="C231" s="9">
        <f>IFERROR(__xludf.DUMMYFUNCTION("""COMPUTED_VALUE"""),-76.5569)</f>
        <v>-76.5569</v>
      </c>
    </row>
    <row r="232">
      <c r="A232" s="6" t="str">
        <f>IFERROR(__xludf.DUMMYFUNCTION("""COMPUTED_VALUE"""),"Supertita")</f>
        <v>Supertita</v>
      </c>
      <c r="B232" s="9">
        <f>IFERROR(__xludf.DUMMYFUNCTION("""COMPUTED_VALUE"""),4.5816)</f>
        <v>4.5816</v>
      </c>
      <c r="C232" s="9">
        <f>IFERROR(__xludf.DUMMYFUNCTION("""COMPUTED_VALUE"""),-7.41721)</f>
        <v>-7.41721</v>
      </c>
    </row>
    <row r="233">
      <c r="A233" s="6" t="str">
        <f>IFERROR(__xludf.DUMMYFUNCTION("""COMPUTED_VALUE"""),"Supertita")</f>
        <v>Supertita</v>
      </c>
      <c r="B233" s="9">
        <f>IFERROR(__xludf.DUMMYFUNCTION("""COMPUTED_VALUE"""),4.5816)</f>
        <v>4.5816</v>
      </c>
      <c r="C233" s="9">
        <f>IFERROR(__xludf.DUMMYFUNCTION("""COMPUTED_VALUE"""),-7.41721)</f>
        <v>-7.41721</v>
      </c>
    </row>
    <row r="234">
      <c r="A234" s="6" t="str">
        <f>IFERROR(__xludf.DUMMYFUNCTION("""COMPUTED_VALUE"""),"AmiGueko")</f>
        <v>AmiGueko</v>
      </c>
      <c r="B234" s="9">
        <f>IFERROR(__xludf.DUMMYFUNCTION("""COMPUTED_VALUE"""),4.893333)</f>
        <v>4.893333</v>
      </c>
      <c r="C234" s="9">
        <f>IFERROR(__xludf.DUMMYFUNCTION("""COMPUTED_VALUE"""),-75.090288)</f>
        <v>-75.090288</v>
      </c>
    </row>
    <row r="235">
      <c r="A235" s="6" t="str">
        <f>IFERROR(__xludf.DUMMYFUNCTION("""COMPUTED_VALUE"""),"AmiGueko")</f>
        <v>AmiGueko</v>
      </c>
      <c r="B235" s="9">
        <f>IFERROR(__xludf.DUMMYFUNCTION("""COMPUTED_VALUE"""),4.953006)</f>
        <v>4.953006</v>
      </c>
      <c r="C235" s="9">
        <f>IFERROR(__xludf.DUMMYFUNCTION("""COMPUTED_VALUE"""),-74.89493)</f>
        <v>-74.89493</v>
      </c>
    </row>
    <row r="236">
      <c r="A236" s="6" t="str">
        <f>IFERROR(__xludf.DUMMYFUNCTION("""COMPUTED_VALUE"""),"Charlesjsharp")</f>
        <v>Charlesjsharp</v>
      </c>
      <c r="B236" s="9">
        <f>IFERROR(__xludf.DUMMYFUNCTION("""COMPUTED_VALUE"""),5.07)</f>
        <v>5.07</v>
      </c>
      <c r="C236" s="9">
        <f>IFERROR(__xludf.DUMMYFUNCTION("""COMPUTED_VALUE"""),-75.44)</f>
        <v>-75.44</v>
      </c>
    </row>
    <row r="237">
      <c r="A237" s="6" t="str">
        <f>IFERROR(__xludf.DUMMYFUNCTION("""COMPUTED_VALUE"""),"Supertita")</f>
        <v>Supertita</v>
      </c>
      <c r="B237" s="9">
        <f>IFERROR(__xludf.DUMMYFUNCTION("""COMPUTED_VALUE"""),4.668211)</f>
        <v>4.668211</v>
      </c>
      <c r="C237" s="9">
        <f>IFERROR(__xludf.DUMMYFUNCTION("""COMPUTED_VALUE"""),-74.100198)</f>
        <v>-74.100198</v>
      </c>
    </row>
    <row r="238">
      <c r="A238" s="6" t="str">
        <f>IFERROR(__xludf.DUMMYFUNCTION("""COMPUTED_VALUE"""),"JJCL09")</f>
        <v>JJCL09</v>
      </c>
      <c r="B238" s="9">
        <f>IFERROR(__xludf.DUMMYFUNCTION("""COMPUTED_VALUE"""),5.071261)</f>
        <v>5.071261</v>
      </c>
      <c r="C238" s="9">
        <f>IFERROR(__xludf.DUMMYFUNCTION("""COMPUTED_VALUE"""),-75.287675)</f>
        <v>-75.287675</v>
      </c>
    </row>
    <row r="239">
      <c r="A239" s="6" t="str">
        <f>IFERROR(__xludf.DUMMYFUNCTION("""COMPUTED_VALUE"""),"Dewinjj")</f>
        <v>Dewinjj</v>
      </c>
      <c r="B239" s="9">
        <f>IFERROR(__xludf.DUMMYFUNCTION("""COMPUTED_VALUE"""),10.929443)</f>
        <v>10.929443</v>
      </c>
      <c r="C239" s="9">
        <f>IFERROR(__xludf.DUMMYFUNCTION("""COMPUTED_VALUE"""),-74.7733)</f>
        <v>-74.7733</v>
      </c>
    </row>
    <row r="240">
      <c r="A240" s="6" t="str">
        <f>IFERROR(__xludf.DUMMYFUNCTION("""COMPUTED_VALUE"""),"Diferoch")</f>
        <v>Diferoch</v>
      </c>
      <c r="B240" s="9">
        <f>IFERROR(__xludf.DUMMYFUNCTION("""COMPUTED_VALUE"""),7.085015)</f>
        <v>7.085015</v>
      </c>
      <c r="C240" s="9">
        <f>IFERROR(__xludf.DUMMYFUNCTION("""COMPUTED_VALUE"""),-73.864067)</f>
        <v>-73.864067</v>
      </c>
    </row>
    <row r="241">
      <c r="A241" s="6" t="str">
        <f>IFERROR(__xludf.DUMMYFUNCTION("""COMPUTED_VALUE"""),"Diferoch")</f>
        <v>Diferoch</v>
      </c>
      <c r="B241" s="9">
        <f>IFERROR(__xludf.DUMMYFUNCTION("""COMPUTED_VALUE"""),7.085015)</f>
        <v>7.085015</v>
      </c>
      <c r="C241" s="9">
        <f>IFERROR(__xludf.DUMMYFUNCTION("""COMPUTED_VALUE"""),-73.86409)</f>
        <v>-73.86409</v>
      </c>
    </row>
    <row r="242">
      <c r="A242" s="6" t="str">
        <f>IFERROR(__xludf.DUMMYFUNCTION("""COMPUTED_VALUE"""),"Supertita")</f>
        <v>Supertita</v>
      </c>
      <c r="B242" s="9">
        <f>IFERROR(__xludf.DUMMYFUNCTION("""COMPUTED_VALUE"""),4.51316)</f>
        <v>4.51316</v>
      </c>
      <c r="C242" s="9">
        <f>IFERROR(__xludf.DUMMYFUNCTION("""COMPUTED_VALUE"""),-74.53792)</f>
        <v>-74.53792</v>
      </c>
    </row>
    <row r="243">
      <c r="A243" s="6" t="str">
        <f>IFERROR(__xludf.DUMMYFUNCTION("""COMPUTED_VALUE"""),"Lamoraleja")</f>
        <v>Lamoraleja</v>
      </c>
      <c r="B243" s="9">
        <f>IFERROR(__xludf.DUMMYFUNCTION("""COMPUTED_VALUE"""),4.876822)</f>
        <v>4.876822</v>
      </c>
      <c r="C243" s="9">
        <f>IFERROR(__xludf.DUMMYFUNCTION("""COMPUTED_VALUE"""),-75.263344)</f>
        <v>-75.263344</v>
      </c>
    </row>
    <row r="244">
      <c r="A244" s="6" t="str">
        <f>IFERROR(__xludf.DUMMYFUNCTION("""COMPUTED_VALUE"""),"Diferoch")</f>
        <v>Diferoch</v>
      </c>
      <c r="B244" s="9">
        <f>IFERROR(__xludf.DUMMYFUNCTION("""COMPUTED_VALUE"""),4.599895)</f>
        <v>4.599895</v>
      </c>
      <c r="C244" s="9">
        <f>IFERROR(__xludf.DUMMYFUNCTION("""COMPUTED_VALUE"""),-74.063584)</f>
        <v>-74.063584</v>
      </c>
    </row>
    <row r="245">
      <c r="A245" s="6" t="str">
        <f>IFERROR(__xludf.DUMMYFUNCTION("""COMPUTED_VALUE"""),"Diferoch")</f>
        <v>Diferoch</v>
      </c>
      <c r="B245" s="9">
        <f>IFERROR(__xludf.DUMMYFUNCTION("""COMPUTED_VALUE"""),4.600495)</f>
        <v>4.600495</v>
      </c>
      <c r="C245" s="9">
        <f>IFERROR(__xludf.DUMMYFUNCTION("""COMPUTED_VALUE"""),-74.063438)</f>
        <v>-74.063438</v>
      </c>
    </row>
    <row r="246">
      <c r="A246" s="6" t="str">
        <f>IFERROR(__xludf.DUMMYFUNCTION("""COMPUTED_VALUE"""),"JulianaaValenFrog28")</f>
        <v>JulianaaValenFrog28</v>
      </c>
      <c r="B246" s="9">
        <f>IFERROR(__xludf.DUMMYFUNCTION("""COMPUTED_VALUE"""),4.703611)</f>
        <v>4.703611</v>
      </c>
      <c r="C246" s="9">
        <f>IFERROR(__xludf.DUMMYFUNCTION("""COMPUTED_VALUE"""),-74.066667)</f>
        <v>-74.066667</v>
      </c>
    </row>
    <row r="247">
      <c r="A247" s="6" t="str">
        <f>IFERROR(__xludf.DUMMYFUNCTION("""COMPUTED_VALUE"""),"Antoniacorralosorio")</f>
        <v>Antoniacorralosorio</v>
      </c>
      <c r="B247" s="9">
        <f>IFERROR(__xludf.DUMMYFUNCTION("""COMPUTED_VALUE"""),10.396081)</f>
        <v>10.396081</v>
      </c>
      <c r="C247" s="9">
        <f>IFERROR(__xludf.DUMMYFUNCTION("""COMPUTED_VALUE"""),-75.559639)</f>
        <v>-75.559639</v>
      </c>
    </row>
    <row r="248">
      <c r="A248" s="6" t="str">
        <f>IFERROR(__xludf.DUMMYFUNCTION("""COMPUTED_VALUE"""),"KingJo09")</f>
        <v>KingJo09</v>
      </c>
      <c r="B248" s="9">
        <f>IFERROR(__xludf.DUMMYFUNCTION("""COMPUTED_VALUE"""),4.59449)</f>
        <v>4.59449</v>
      </c>
      <c r="C248" s="9">
        <f>IFERROR(__xludf.DUMMYFUNCTION("""COMPUTED_VALUE"""),-74.07034)</f>
        <v>-74.07034</v>
      </c>
    </row>
    <row r="249">
      <c r="A249" s="6" t="str">
        <f>IFERROR(__xludf.DUMMYFUNCTION("""COMPUTED_VALUE"""),"Guiverfer")</f>
        <v>Guiverfer</v>
      </c>
      <c r="B249" s="9">
        <f>IFERROR(__xludf.DUMMYFUNCTION("""COMPUTED_VALUE"""),6.243749)</f>
        <v>6.243749</v>
      </c>
      <c r="C249" s="9">
        <f>IFERROR(__xludf.DUMMYFUNCTION("""COMPUTED_VALUE"""),-75.553864)</f>
        <v>-75.553864</v>
      </c>
    </row>
    <row r="250">
      <c r="A250" s="6" t="str">
        <f>IFERROR(__xludf.DUMMYFUNCTION("""COMPUTED_VALUE"""),"Sophy Martinez")</f>
        <v>Sophy Martinez</v>
      </c>
      <c r="B250" s="9">
        <f>IFERROR(__xludf.DUMMYFUNCTION("""COMPUTED_VALUE"""),4.85442)</f>
        <v>4.85442</v>
      </c>
      <c r="C250" s="9">
        <f>IFERROR(__xludf.DUMMYFUNCTION("""COMPUTED_VALUE"""),-74.575762)</f>
        <v>-74.575762</v>
      </c>
    </row>
    <row r="251">
      <c r="A251" s="6" t="str">
        <f>IFERROR(__xludf.DUMMYFUNCTION("""COMPUTED_VALUE"""),"Supertita")</f>
        <v>Supertita</v>
      </c>
      <c r="B251" s="9">
        <f>IFERROR(__xludf.DUMMYFUNCTION("""COMPUTED_VALUE"""),4.52799)</f>
        <v>4.52799</v>
      </c>
      <c r="C251" s="9">
        <f>IFERROR(__xludf.DUMMYFUNCTION("""COMPUTED_VALUE"""),-73.75284)</f>
        <v>-73.75284</v>
      </c>
    </row>
    <row r="252">
      <c r="A252" s="6" t="str">
        <f>IFERROR(__xludf.DUMMYFUNCTION("""COMPUTED_VALUE"""),"Diferoch")</f>
        <v>Diferoch</v>
      </c>
      <c r="B252" s="9">
        <f>IFERROR(__xludf.DUMMYFUNCTION("""COMPUTED_VALUE"""),5.704153)</f>
        <v>5.704153</v>
      </c>
      <c r="C252" s="9">
        <f>IFERROR(__xludf.DUMMYFUNCTION("""COMPUTED_VALUE"""),-77.272468)</f>
        <v>-77.272468</v>
      </c>
    </row>
    <row r="253">
      <c r="A253" s="6" t="str">
        <f>IFERROR(__xludf.DUMMYFUNCTION("""COMPUTED_VALUE"""),"Diferoch")</f>
        <v>Diferoch</v>
      </c>
      <c r="B253" s="9">
        <f>IFERROR(__xludf.DUMMYFUNCTION("""COMPUTED_VALUE"""),5.624992)</f>
        <v>5.624992</v>
      </c>
      <c r="C253" s="9">
        <f>IFERROR(__xludf.DUMMYFUNCTION("""COMPUTED_VALUE"""),-77.42084)</f>
        <v>-77.42084</v>
      </c>
    </row>
    <row r="254">
      <c r="A254" s="6" t="str">
        <f>IFERROR(__xludf.DUMMYFUNCTION("""COMPUTED_VALUE"""),"Diferoch")</f>
        <v>Diferoch</v>
      </c>
      <c r="B254" s="9">
        <f>IFERROR(__xludf.DUMMYFUNCTION("""COMPUTED_VALUE"""),5.624478)</f>
        <v>5.624478</v>
      </c>
      <c r="C254" s="9">
        <f>IFERROR(__xludf.DUMMYFUNCTION("""COMPUTED_VALUE"""),-77.42125)</f>
        <v>-77.42125</v>
      </c>
    </row>
    <row r="255">
      <c r="A255" s="6" t="str">
        <f>IFERROR(__xludf.DUMMYFUNCTION("""COMPUTED_VALUE"""),"Diferoch")</f>
        <v>Diferoch</v>
      </c>
      <c r="B255" s="9">
        <f>IFERROR(__xludf.DUMMYFUNCTION("""COMPUTED_VALUE"""),5.624992)</f>
        <v>5.624992</v>
      </c>
      <c r="C255" s="9">
        <f>IFERROR(__xludf.DUMMYFUNCTION("""COMPUTED_VALUE"""),-77.42084)</f>
        <v>-77.42084</v>
      </c>
    </row>
    <row r="256">
      <c r="A256" s="6" t="str">
        <f>IFERROR(__xludf.DUMMYFUNCTION("""COMPUTED_VALUE"""),"Diferoch")</f>
        <v>Diferoch</v>
      </c>
      <c r="B256" s="9">
        <f>IFERROR(__xludf.DUMMYFUNCTION("""COMPUTED_VALUE"""),5.624992)</f>
        <v>5.624992</v>
      </c>
      <c r="C256" s="9">
        <f>IFERROR(__xludf.DUMMYFUNCTION("""COMPUTED_VALUE"""),-77.42084)</f>
        <v>-77.42084</v>
      </c>
    </row>
    <row r="257">
      <c r="A257" s="6" t="str">
        <f>IFERROR(__xludf.DUMMYFUNCTION("""COMPUTED_VALUE"""),"Supertita")</f>
        <v>Supertita</v>
      </c>
      <c r="B257" s="9">
        <f>IFERROR(__xludf.DUMMYFUNCTION("""COMPUTED_VALUE"""),5.0294)</f>
        <v>5.0294</v>
      </c>
      <c r="C257" s="9">
        <f>IFERROR(__xludf.DUMMYFUNCTION("""COMPUTED_VALUE"""),-74.3276)</f>
        <v>-74.3276</v>
      </c>
    </row>
    <row r="258">
      <c r="A258" s="6" t="str">
        <f>IFERROR(__xludf.DUMMYFUNCTION("""COMPUTED_VALUE"""),"KingJo09")</f>
        <v>KingJo09</v>
      </c>
      <c r="B258" s="9">
        <f>IFERROR(__xludf.DUMMYFUNCTION("""COMPUTED_VALUE"""),4.59449)</f>
        <v>4.59449</v>
      </c>
      <c r="C258" s="9">
        <f>IFERROR(__xludf.DUMMYFUNCTION("""COMPUTED_VALUE"""),-74.07034)</f>
        <v>-74.07034</v>
      </c>
    </row>
    <row r="259">
      <c r="A259" s="6" t="str">
        <f>IFERROR(__xludf.DUMMYFUNCTION("""COMPUTED_VALUE"""),"Adrianvargasag")</f>
        <v>Adrianvargasag</v>
      </c>
      <c r="B259" s="9">
        <f>IFERROR(__xludf.DUMMYFUNCTION("""COMPUTED_VALUE"""),4.980914)</f>
        <v>4.980914</v>
      </c>
      <c r="C259" s="9">
        <f>IFERROR(__xludf.DUMMYFUNCTION("""COMPUTED_VALUE"""),-75.335031)</f>
        <v>-75.335031</v>
      </c>
    </row>
    <row r="260">
      <c r="A260" s="6" t="str">
        <f>IFERROR(__xludf.DUMMYFUNCTION("""COMPUTED_VALUE"""),"Adrianvargasag")</f>
        <v>Adrianvargasag</v>
      </c>
      <c r="B260" s="9">
        <f>IFERROR(__xludf.DUMMYFUNCTION("""COMPUTED_VALUE"""),4.980656)</f>
        <v>4.980656</v>
      </c>
      <c r="C260" s="9">
        <f>IFERROR(__xludf.DUMMYFUNCTION("""COMPUTED_VALUE"""),-75.335258)</f>
        <v>-75.335258</v>
      </c>
    </row>
    <row r="261">
      <c r="A261" s="6" t="str">
        <f>IFERROR(__xludf.DUMMYFUNCTION("""COMPUTED_VALUE"""),"Supertita")</f>
        <v>Supertita</v>
      </c>
      <c r="B261" s="9">
        <f>IFERROR(__xludf.DUMMYFUNCTION("""COMPUTED_VALUE"""),4.668211)</f>
        <v>4.668211</v>
      </c>
      <c r="C261" s="9">
        <f>IFERROR(__xludf.DUMMYFUNCTION("""COMPUTED_VALUE"""),-74.100198)</f>
        <v>-74.100198</v>
      </c>
    </row>
    <row r="262">
      <c r="A262" s="6" t="str">
        <f>IFERROR(__xludf.DUMMYFUNCTION("""COMPUTED_VALUE"""),"Charlesjsharp")</f>
        <v>Charlesjsharp</v>
      </c>
      <c r="B262" s="9">
        <f>IFERROR(__xludf.DUMMYFUNCTION("""COMPUTED_VALUE"""),5.07)</f>
        <v>5.07</v>
      </c>
      <c r="C262" s="9">
        <f>IFERROR(__xludf.DUMMYFUNCTION("""COMPUTED_VALUE"""),-75.44)</f>
        <v>-75.44</v>
      </c>
    </row>
    <row r="263">
      <c r="A263" s="6" t="str">
        <f>IFERROR(__xludf.DUMMYFUNCTION("""COMPUTED_VALUE"""),"Supertita")</f>
        <v>Supertita</v>
      </c>
      <c r="B263" s="9">
        <f>IFERROR(__xludf.DUMMYFUNCTION("""COMPUTED_VALUE"""),4.5816)</f>
        <v>4.5816</v>
      </c>
      <c r="C263" s="9">
        <f>IFERROR(__xludf.DUMMYFUNCTION("""COMPUTED_VALUE"""),-7.41721)</f>
        <v>-7.41721</v>
      </c>
    </row>
    <row r="264">
      <c r="A264" s="6" t="str">
        <f>IFERROR(__xludf.DUMMYFUNCTION("""COMPUTED_VALUE"""),"Rodrigomacrophoto")</f>
        <v>Rodrigomacrophoto</v>
      </c>
      <c r="B264" s="9">
        <f>IFERROR(__xludf.DUMMYFUNCTION("""COMPUTED_VALUE"""),4.87337)</f>
        <v>4.87337</v>
      </c>
      <c r="C264" s="9">
        <f>IFERROR(__xludf.DUMMYFUNCTION("""COMPUTED_VALUE"""),-74.08291)</f>
        <v>-74.08291</v>
      </c>
    </row>
    <row r="265">
      <c r="A265" s="6" t="str">
        <f>IFERROR(__xludf.DUMMYFUNCTION("""COMPUTED_VALUE"""),"Romauribe")</f>
        <v>Romauribe</v>
      </c>
      <c r="B265" s="9">
        <f>IFERROR(__xludf.DUMMYFUNCTION("""COMPUTED_VALUE"""),4.69)</f>
        <v>4.69</v>
      </c>
      <c r="C265" s="9">
        <f>IFERROR(__xludf.DUMMYFUNCTION("""COMPUTED_VALUE"""),-74.06)</f>
        <v>-74.06</v>
      </c>
    </row>
    <row r="266">
      <c r="A266" s="6" t="str">
        <f>IFERROR(__xludf.DUMMYFUNCTION("""COMPUTED_VALUE"""),"LentedeBerilo")</f>
        <v>LentedeBerilo</v>
      </c>
      <c r="B266" s="9">
        <f>IFERROR(__xludf.DUMMYFUNCTION("""COMPUTED_VALUE"""),2.936613)</f>
        <v>2.936613</v>
      </c>
      <c r="C266" s="9">
        <f>IFERROR(__xludf.DUMMYFUNCTION("""COMPUTED_VALUE"""),-78.205967)</f>
        <v>-78.205967</v>
      </c>
    </row>
    <row r="267">
      <c r="A267" s="6" t="str">
        <f>IFERROR(__xludf.DUMMYFUNCTION("""COMPUTED_VALUE"""),"AmiGueko")</f>
        <v>AmiGueko</v>
      </c>
      <c r="B267" s="9">
        <f>IFERROR(__xludf.DUMMYFUNCTION("""COMPUTED_VALUE"""),4.984594)</f>
        <v>4.984594</v>
      </c>
      <c r="C267" s="9">
        <f>IFERROR(__xludf.DUMMYFUNCTION("""COMPUTED_VALUE"""),-74.264242)</f>
        <v>-74.264242</v>
      </c>
    </row>
    <row r="268">
      <c r="A268" s="6" t="str">
        <f>IFERROR(__xludf.DUMMYFUNCTION("""COMPUTED_VALUE"""),"AmiGueko")</f>
        <v>AmiGueko</v>
      </c>
      <c r="B268" s="9">
        <f>IFERROR(__xludf.DUMMYFUNCTION("""COMPUTED_VALUE"""),4.984627)</f>
        <v>4.984627</v>
      </c>
      <c r="C268" s="9">
        <f>IFERROR(__xludf.DUMMYFUNCTION("""COMPUTED_VALUE"""),-74.26404)</f>
        <v>-74.26404</v>
      </c>
    </row>
    <row r="269">
      <c r="A269" s="6" t="str">
        <f>IFERROR(__xludf.DUMMYFUNCTION("""COMPUTED_VALUE"""),"Herme Cantero")</f>
        <v>Herme Cantero</v>
      </c>
      <c r="B269" s="9">
        <f>IFERROR(__xludf.DUMMYFUNCTION("""COMPUTED_VALUE"""),2.263333)</f>
        <v>2.263333</v>
      </c>
      <c r="C269" s="9">
        <f>IFERROR(__xludf.DUMMYFUNCTION("""COMPUTED_VALUE"""),-69.918611)</f>
        <v>-69.918611</v>
      </c>
    </row>
    <row r="270">
      <c r="A270" s="6" t="str">
        <f>IFERROR(__xludf.DUMMYFUNCTION("""COMPUTED_VALUE"""),"Herme Cantero")</f>
        <v>Herme Cantero</v>
      </c>
      <c r="B270" s="9">
        <f>IFERROR(__xludf.DUMMYFUNCTION("""COMPUTED_VALUE"""),3.645495)</f>
        <v>3.645495</v>
      </c>
      <c r="C270" s="9">
        <f>IFERROR(__xludf.DUMMYFUNCTION("""COMPUTED_VALUE"""),-67.936312)</f>
        <v>-67.936312</v>
      </c>
    </row>
    <row r="271">
      <c r="A271" s="6" t="str">
        <f>IFERROR(__xludf.DUMMYFUNCTION("""COMPUTED_VALUE"""),"Herme Cantero")</f>
        <v>Herme Cantero</v>
      </c>
      <c r="B271" s="9">
        <f>IFERROR(__xludf.DUMMYFUNCTION("""COMPUTED_VALUE"""),3.461922)</f>
        <v>3.461922</v>
      </c>
      <c r="C271" s="9">
        <f>IFERROR(__xludf.DUMMYFUNCTION("""COMPUTED_VALUE"""),-67.970807)</f>
        <v>-67.970807</v>
      </c>
    </row>
    <row r="272">
      <c r="A272" s="6" t="str">
        <f>IFERROR(__xludf.DUMMYFUNCTION("""COMPUTED_VALUE"""),"Herme Cantero")</f>
        <v>Herme Cantero</v>
      </c>
      <c r="B272" s="9">
        <f>IFERROR(__xludf.DUMMYFUNCTION("""COMPUTED_VALUE"""),3.461922)</f>
        <v>3.461922</v>
      </c>
      <c r="C272" s="9">
        <f>IFERROR(__xludf.DUMMYFUNCTION("""COMPUTED_VALUE"""),-67.970807)</f>
        <v>-67.970807</v>
      </c>
    </row>
    <row r="273">
      <c r="A273" s="6" t="str">
        <f>IFERROR(__xludf.DUMMYFUNCTION("""COMPUTED_VALUE"""),"Herme Cantero")</f>
        <v>Herme Cantero</v>
      </c>
      <c r="B273" s="9">
        <f>IFERROR(__xludf.DUMMYFUNCTION("""COMPUTED_VALUE"""),3.461922)</f>
        <v>3.461922</v>
      </c>
      <c r="C273" s="9">
        <f>IFERROR(__xludf.DUMMYFUNCTION("""COMPUTED_VALUE"""),-67.970807)</f>
        <v>-67.970807</v>
      </c>
    </row>
    <row r="274">
      <c r="A274" s="6" t="str">
        <f>IFERROR(__xludf.DUMMYFUNCTION("""COMPUTED_VALUE"""),"Herme Cantero")</f>
        <v>Herme Cantero</v>
      </c>
      <c r="B274" s="9">
        <f>IFERROR(__xludf.DUMMYFUNCTION("""COMPUTED_VALUE"""),3.461922)</f>
        <v>3.461922</v>
      </c>
      <c r="C274" s="9">
        <f>IFERROR(__xludf.DUMMYFUNCTION("""COMPUTED_VALUE"""),-67.970807)</f>
        <v>-67.970807</v>
      </c>
    </row>
    <row r="275">
      <c r="A275" s="6" t="str">
        <f>IFERROR(__xludf.DUMMYFUNCTION("""COMPUTED_VALUE"""),"Herme Cantero")</f>
        <v>Herme Cantero</v>
      </c>
      <c r="B275" s="9">
        <f>IFERROR(__xludf.DUMMYFUNCTION("""COMPUTED_VALUE"""),3.461922)</f>
        <v>3.461922</v>
      </c>
      <c r="C275" s="9">
        <f>IFERROR(__xludf.DUMMYFUNCTION("""COMPUTED_VALUE"""),-67.970807)</f>
        <v>-67.970807</v>
      </c>
    </row>
    <row r="276">
      <c r="A276" s="6" t="str">
        <f>IFERROR(__xludf.DUMMYFUNCTION("""COMPUTED_VALUE"""),"Herme Cantero")</f>
        <v>Herme Cantero</v>
      </c>
      <c r="B276" s="9">
        <f>IFERROR(__xludf.DUMMYFUNCTION("""COMPUTED_VALUE"""),3.461922)</f>
        <v>3.461922</v>
      </c>
      <c r="C276" s="9">
        <f>IFERROR(__xludf.DUMMYFUNCTION("""COMPUTED_VALUE"""),-67.970807)</f>
        <v>-67.970807</v>
      </c>
    </row>
    <row r="277">
      <c r="A277" s="6" t="str">
        <f>IFERROR(__xludf.DUMMYFUNCTION("""COMPUTED_VALUE"""),"Herme Cantero")</f>
        <v>Herme Cantero</v>
      </c>
      <c r="B277" s="9">
        <f>IFERROR(__xludf.DUMMYFUNCTION("""COMPUTED_VALUE"""),3.461922)</f>
        <v>3.461922</v>
      </c>
      <c r="C277" s="9">
        <f>IFERROR(__xludf.DUMMYFUNCTION("""COMPUTED_VALUE"""),-67.970807)</f>
        <v>-67.970807</v>
      </c>
    </row>
    <row r="278">
      <c r="A278" s="6" t="str">
        <f>IFERROR(__xludf.DUMMYFUNCTION("""COMPUTED_VALUE"""),"Herme Cantero")</f>
        <v>Herme Cantero</v>
      </c>
      <c r="B278" s="9">
        <f>IFERROR(__xludf.DUMMYFUNCTION("""COMPUTED_VALUE"""),3.461922)</f>
        <v>3.461922</v>
      </c>
      <c r="C278" s="9">
        <f>IFERROR(__xludf.DUMMYFUNCTION("""COMPUTED_VALUE"""),-67.970807)</f>
        <v>-67.970807</v>
      </c>
    </row>
    <row r="279">
      <c r="A279" s="6" t="str">
        <f>IFERROR(__xludf.DUMMYFUNCTION("""COMPUTED_VALUE"""),"Herme Cantero")</f>
        <v>Herme Cantero</v>
      </c>
      <c r="B279" s="9">
        <f>IFERROR(__xludf.DUMMYFUNCTION("""COMPUTED_VALUE"""),3.461922)</f>
        <v>3.461922</v>
      </c>
      <c r="C279" s="9">
        <f>IFERROR(__xludf.DUMMYFUNCTION("""COMPUTED_VALUE"""),-67.970807)</f>
        <v>-67.970807</v>
      </c>
    </row>
    <row r="280">
      <c r="A280" s="6" t="str">
        <f>IFERROR(__xludf.DUMMYFUNCTION("""COMPUTED_VALUE"""),"Herme Cantero")</f>
        <v>Herme Cantero</v>
      </c>
      <c r="B280" s="9">
        <f>IFERROR(__xludf.DUMMYFUNCTION("""COMPUTED_VALUE"""),3.461922)</f>
        <v>3.461922</v>
      </c>
      <c r="C280" s="9">
        <f>IFERROR(__xludf.DUMMYFUNCTION("""COMPUTED_VALUE"""),-67.970807)</f>
        <v>-67.970807</v>
      </c>
    </row>
    <row r="281">
      <c r="A281" s="6" t="str">
        <f>IFERROR(__xludf.DUMMYFUNCTION("""COMPUTED_VALUE"""),"Herme Cantero")</f>
        <v>Herme Cantero</v>
      </c>
      <c r="B281" s="9">
        <f>IFERROR(__xludf.DUMMYFUNCTION("""COMPUTED_VALUE"""),3.461922)</f>
        <v>3.461922</v>
      </c>
      <c r="C281" s="9">
        <f>IFERROR(__xludf.DUMMYFUNCTION("""COMPUTED_VALUE"""),-67.970807)</f>
        <v>-67.970807</v>
      </c>
    </row>
    <row r="282">
      <c r="A282" s="6" t="str">
        <f>IFERROR(__xludf.DUMMYFUNCTION("""COMPUTED_VALUE"""),"Herme Cantero")</f>
        <v>Herme Cantero</v>
      </c>
      <c r="B282" s="9">
        <f>IFERROR(__xludf.DUMMYFUNCTION("""COMPUTED_VALUE"""),3.461922)</f>
        <v>3.461922</v>
      </c>
      <c r="C282" s="9">
        <f>IFERROR(__xludf.DUMMYFUNCTION("""COMPUTED_VALUE"""),-67.970807)</f>
        <v>-67.970807</v>
      </c>
    </row>
    <row r="283">
      <c r="A283" s="6" t="str">
        <f>IFERROR(__xludf.DUMMYFUNCTION("""COMPUTED_VALUE"""),"Herme Cantero")</f>
        <v>Herme Cantero</v>
      </c>
      <c r="B283" s="9">
        <f>IFERROR(__xludf.DUMMYFUNCTION("""COMPUTED_VALUE"""),3.461922)</f>
        <v>3.461922</v>
      </c>
      <c r="C283" s="9">
        <f>IFERROR(__xludf.DUMMYFUNCTION("""COMPUTED_VALUE"""),-67.970807)</f>
        <v>-67.970807</v>
      </c>
    </row>
    <row r="284">
      <c r="A284" s="6" t="str">
        <f>IFERROR(__xludf.DUMMYFUNCTION("""COMPUTED_VALUE"""),"Herme Cantero")</f>
        <v>Herme Cantero</v>
      </c>
      <c r="B284" s="9">
        <f>IFERROR(__xludf.DUMMYFUNCTION("""COMPUTED_VALUE"""),3.461922)</f>
        <v>3.461922</v>
      </c>
      <c r="C284" s="9">
        <f>IFERROR(__xludf.DUMMYFUNCTION("""COMPUTED_VALUE"""),-67.970807)</f>
        <v>-67.970807</v>
      </c>
    </row>
    <row r="285">
      <c r="A285" s="6" t="str">
        <f>IFERROR(__xludf.DUMMYFUNCTION("""COMPUTED_VALUE"""),"Herme Cantero")</f>
        <v>Herme Cantero</v>
      </c>
      <c r="B285" s="9">
        <f>IFERROR(__xludf.DUMMYFUNCTION("""COMPUTED_VALUE"""),3.461922)</f>
        <v>3.461922</v>
      </c>
      <c r="C285" s="9">
        <f>IFERROR(__xludf.DUMMYFUNCTION("""COMPUTED_VALUE"""),-67.970807)</f>
        <v>-67.970807</v>
      </c>
    </row>
    <row r="286">
      <c r="A286" s="6" t="str">
        <f>IFERROR(__xludf.DUMMYFUNCTION("""COMPUTED_VALUE"""),"Herme Cantero")</f>
        <v>Herme Cantero</v>
      </c>
      <c r="B286" s="9">
        <f>IFERROR(__xludf.DUMMYFUNCTION("""COMPUTED_VALUE"""),3.461922)</f>
        <v>3.461922</v>
      </c>
      <c r="C286" s="9">
        <f>IFERROR(__xludf.DUMMYFUNCTION("""COMPUTED_VALUE"""),-67.970807)</f>
        <v>-67.970807</v>
      </c>
    </row>
    <row r="287">
      <c r="A287" s="6" t="str">
        <f>IFERROR(__xludf.DUMMYFUNCTION("""COMPUTED_VALUE"""),"Herme Cantero")</f>
        <v>Herme Cantero</v>
      </c>
      <c r="B287" s="9">
        <f>IFERROR(__xludf.DUMMYFUNCTION("""COMPUTED_VALUE"""),3.461922)</f>
        <v>3.461922</v>
      </c>
      <c r="C287" s="9">
        <f>IFERROR(__xludf.DUMMYFUNCTION("""COMPUTED_VALUE"""),-67.970807)</f>
        <v>-67.970807</v>
      </c>
    </row>
    <row r="288">
      <c r="A288" s="6" t="str">
        <f>IFERROR(__xludf.DUMMYFUNCTION("""COMPUTED_VALUE"""),"Herme Cantero")</f>
        <v>Herme Cantero</v>
      </c>
      <c r="B288" s="9">
        <f>IFERROR(__xludf.DUMMYFUNCTION("""COMPUTED_VALUE"""),3.461922)</f>
        <v>3.461922</v>
      </c>
      <c r="C288" s="9">
        <f>IFERROR(__xludf.DUMMYFUNCTION("""COMPUTED_VALUE"""),-67.970807)</f>
        <v>-67.970807</v>
      </c>
    </row>
    <row r="289">
      <c r="A289" s="6" t="str">
        <f>IFERROR(__xludf.DUMMYFUNCTION("""COMPUTED_VALUE"""),"Herme Cantero")</f>
        <v>Herme Cantero</v>
      </c>
      <c r="B289" s="9">
        <f>IFERROR(__xludf.DUMMYFUNCTION("""COMPUTED_VALUE"""),3.461922)</f>
        <v>3.461922</v>
      </c>
      <c r="C289" s="9">
        <f>IFERROR(__xludf.DUMMYFUNCTION("""COMPUTED_VALUE"""),-67.970807)</f>
        <v>-67.970807</v>
      </c>
    </row>
    <row r="290">
      <c r="A290" s="6" t="str">
        <f>IFERROR(__xludf.DUMMYFUNCTION("""COMPUTED_VALUE"""),"Herme Cantero")</f>
        <v>Herme Cantero</v>
      </c>
      <c r="B290" s="9">
        <f>IFERROR(__xludf.DUMMYFUNCTION("""COMPUTED_VALUE"""),3.20895)</f>
        <v>3.20895</v>
      </c>
      <c r="C290" s="9">
        <f>IFERROR(__xludf.DUMMYFUNCTION("""COMPUTED_VALUE"""),-68.220461)</f>
        <v>-68.220461</v>
      </c>
    </row>
    <row r="291">
      <c r="A291" s="6" t="str">
        <f>IFERROR(__xludf.DUMMYFUNCTION("""COMPUTED_VALUE"""),"Herme Cantero")</f>
        <v>Herme Cantero</v>
      </c>
      <c r="B291" s="9">
        <f>IFERROR(__xludf.DUMMYFUNCTION("""COMPUTED_VALUE"""),3.20895)</f>
        <v>3.20895</v>
      </c>
      <c r="C291" s="9">
        <f>IFERROR(__xludf.DUMMYFUNCTION("""COMPUTED_VALUE"""),-68.220461)</f>
        <v>-68.220461</v>
      </c>
    </row>
    <row r="292">
      <c r="A292" s="6" t="str">
        <f>IFERROR(__xludf.DUMMYFUNCTION("""COMPUTED_VALUE"""),"Herme Cantero")</f>
        <v>Herme Cantero</v>
      </c>
      <c r="B292" s="9">
        <f>IFERROR(__xludf.DUMMYFUNCTION("""COMPUTED_VALUE"""),3.20895)</f>
        <v>3.20895</v>
      </c>
      <c r="C292" s="9">
        <f>IFERROR(__xludf.DUMMYFUNCTION("""COMPUTED_VALUE"""),-68.220461)</f>
        <v>-68.220461</v>
      </c>
    </row>
    <row r="293">
      <c r="A293" s="6" t="str">
        <f>IFERROR(__xludf.DUMMYFUNCTION("""COMPUTED_VALUE"""),"Herme Cantero")</f>
        <v>Herme Cantero</v>
      </c>
      <c r="B293" s="9">
        <f>IFERROR(__xludf.DUMMYFUNCTION("""COMPUTED_VALUE"""),3.20895)</f>
        <v>3.20895</v>
      </c>
      <c r="C293" s="9">
        <f>IFERROR(__xludf.DUMMYFUNCTION("""COMPUTED_VALUE"""),-68.220461)</f>
        <v>-68.220461</v>
      </c>
    </row>
    <row r="294">
      <c r="A294" s="6" t="str">
        <f>IFERROR(__xludf.DUMMYFUNCTION("""COMPUTED_VALUE"""),"Herme Cantero")</f>
        <v>Herme Cantero</v>
      </c>
      <c r="B294" s="9">
        <f>IFERROR(__xludf.DUMMYFUNCTION("""COMPUTED_VALUE"""),3.20895)</f>
        <v>3.20895</v>
      </c>
      <c r="C294" s="9">
        <f>IFERROR(__xludf.DUMMYFUNCTION("""COMPUTED_VALUE"""),-68.220461)</f>
        <v>-68.220461</v>
      </c>
    </row>
    <row r="295">
      <c r="A295" s="6" t="str">
        <f>IFERROR(__xludf.DUMMYFUNCTION("""COMPUTED_VALUE"""),"Herme Cantero")</f>
        <v>Herme Cantero</v>
      </c>
      <c r="B295" s="9">
        <f>IFERROR(__xludf.DUMMYFUNCTION("""COMPUTED_VALUE"""),2.972793)</f>
        <v>2.972793</v>
      </c>
      <c r="C295" s="9">
        <f>IFERROR(__xludf.DUMMYFUNCTION("""COMPUTED_VALUE"""),-68.759265)</f>
        <v>-68.759265</v>
      </c>
    </row>
    <row r="296">
      <c r="A296" s="6" t="str">
        <f>IFERROR(__xludf.DUMMYFUNCTION("""COMPUTED_VALUE"""),"Herme Cantero")</f>
        <v>Herme Cantero</v>
      </c>
      <c r="B296" s="9">
        <f>IFERROR(__xludf.DUMMYFUNCTION("""COMPUTED_VALUE"""),2.723425)</f>
        <v>2.723425</v>
      </c>
      <c r="C296" s="9">
        <f>IFERROR(__xludf.DUMMYFUNCTION("""COMPUTED_VALUE"""),-69.411142)</f>
        <v>-69.411142</v>
      </c>
    </row>
    <row r="297">
      <c r="A297" s="6" t="str">
        <f>IFERROR(__xludf.DUMMYFUNCTION("""COMPUTED_VALUE"""),"Herme Cantero")</f>
        <v>Herme Cantero</v>
      </c>
      <c r="B297" s="9">
        <f>IFERROR(__xludf.DUMMYFUNCTION("""COMPUTED_VALUE"""),2.723425)</f>
        <v>2.723425</v>
      </c>
      <c r="C297" s="9">
        <f>IFERROR(__xludf.DUMMYFUNCTION("""COMPUTED_VALUE"""),-69.411142)</f>
        <v>-69.411142</v>
      </c>
    </row>
    <row r="298">
      <c r="A298" s="6" t="str">
        <f>IFERROR(__xludf.DUMMYFUNCTION("""COMPUTED_VALUE"""),"NMontoya (WMCO)")</f>
        <v>NMontoya (WMCO)</v>
      </c>
      <c r="B298" s="9">
        <f>IFERROR(__xludf.DUMMYFUNCTION("""COMPUTED_VALUE"""),4.669437)</f>
        <v>4.669437</v>
      </c>
      <c r="C298" s="9">
        <f>IFERROR(__xludf.DUMMYFUNCTION("""COMPUTED_VALUE"""),-74.097702)</f>
        <v>-74.097702</v>
      </c>
    </row>
    <row r="299">
      <c r="A299" s="6" t="str">
        <f>IFERROR(__xludf.DUMMYFUNCTION("""COMPUTED_VALUE"""),"Y.eduardo")</f>
        <v>Y.eduardo</v>
      </c>
      <c r="B299" s="9">
        <f>IFERROR(__xludf.DUMMYFUNCTION("""COMPUTED_VALUE"""),1.55)</f>
        <v>1.55</v>
      </c>
      <c r="C299" s="9">
        <f>IFERROR(__xludf.DUMMYFUNCTION("""COMPUTED_VALUE"""),-76.133333)</f>
        <v>-76.133333</v>
      </c>
    </row>
    <row r="300">
      <c r="A300" s="6" t="str">
        <f>IFERROR(__xludf.DUMMYFUNCTION("""COMPUTED_VALUE"""),"Alexpanther")</f>
        <v>Alexpanther</v>
      </c>
      <c r="B300" s="9">
        <f>IFERROR(__xludf.DUMMYFUNCTION("""COMPUTED_VALUE"""),4.091467)</f>
        <v>4.091467</v>
      </c>
      <c r="C300" s="9">
        <f>IFERROR(__xludf.DUMMYFUNCTION("""COMPUTED_VALUE"""),-73.502273)</f>
        <v>-73.502273</v>
      </c>
    </row>
    <row r="301">
      <c r="A301" s="6" t="str">
        <f>IFERROR(__xludf.DUMMYFUNCTION("""COMPUTED_VALUE"""),"Herme Cantero")</f>
        <v>Herme Cantero</v>
      </c>
      <c r="B301" s="9">
        <f>IFERROR(__xludf.DUMMYFUNCTION("""COMPUTED_VALUE"""),2.266171)</f>
        <v>2.266171</v>
      </c>
      <c r="C301" s="9">
        <f>IFERROR(__xludf.DUMMYFUNCTION("""COMPUTED_VALUE"""),-69.918742)</f>
        <v>-69.918742</v>
      </c>
    </row>
    <row r="302">
      <c r="A302" s="6" t="str">
        <f>IFERROR(__xludf.DUMMYFUNCTION("""COMPUTED_VALUE"""),"AmiGueko")</f>
        <v>AmiGueko</v>
      </c>
      <c r="B302" s="9">
        <f>IFERROR(__xludf.DUMMYFUNCTION("""COMPUTED_VALUE"""),4.975199)</f>
        <v>4.975199</v>
      </c>
      <c r="C302" s="9">
        <f>IFERROR(__xludf.DUMMYFUNCTION("""COMPUTED_VALUE"""),-74.304805)</f>
        <v>-74.304805</v>
      </c>
    </row>
    <row r="303">
      <c r="A303" s="6" t="str">
        <f>IFERROR(__xludf.DUMMYFUNCTION("""COMPUTED_VALUE"""),"Zolsemiya")</f>
        <v>Zolsemiya</v>
      </c>
      <c r="B303" s="9">
        <f>IFERROR(__xludf.DUMMYFUNCTION("""COMPUTED_VALUE"""),4.172187)</f>
        <v>4.172187</v>
      </c>
      <c r="C303" s="9">
        <f>IFERROR(__xludf.DUMMYFUNCTION("""COMPUTED_VALUE"""),-74.146794)</f>
        <v>-74.146794</v>
      </c>
    </row>
    <row r="304">
      <c r="A304" s="6" t="str">
        <f>IFERROR(__xludf.DUMMYFUNCTION("""COMPUTED_VALUE"""),"KingJo09")</f>
        <v>KingJo09</v>
      </c>
      <c r="B304" s="9">
        <f>IFERROR(__xludf.DUMMYFUNCTION("""COMPUTED_VALUE"""),4.59449)</f>
        <v>4.59449</v>
      </c>
      <c r="C304" s="9">
        <f>IFERROR(__xludf.DUMMYFUNCTION("""COMPUTED_VALUE"""),-74.07034)</f>
        <v>-74.07034</v>
      </c>
    </row>
    <row r="305">
      <c r="A305" s="6" t="str">
        <f>IFERROR(__xludf.DUMMYFUNCTION("""COMPUTED_VALUE"""),"Diferoch")</f>
        <v>Diferoch</v>
      </c>
      <c r="B305" s="9">
        <f>IFERROR(__xludf.DUMMYFUNCTION("""COMPUTED_VALUE"""),7.085)</f>
        <v>7.085</v>
      </c>
      <c r="C305" s="9">
        <f>IFERROR(__xludf.DUMMYFUNCTION("""COMPUTED_VALUE"""),-73.863883)</f>
        <v>-73.863883</v>
      </c>
    </row>
    <row r="306">
      <c r="A306" s="6" t="str">
        <f>IFERROR(__xludf.DUMMYFUNCTION("""COMPUTED_VALUE"""),"Lamoraleja")</f>
        <v>Lamoraleja</v>
      </c>
      <c r="B306" s="9">
        <f>IFERROR(__xludf.DUMMYFUNCTION("""COMPUTED_VALUE"""),3.457897)</f>
        <v>3.457897</v>
      </c>
      <c r="C306" s="9">
        <f>IFERROR(__xludf.DUMMYFUNCTION("""COMPUTED_VALUE"""),-67.969261)</f>
        <v>-67.969261</v>
      </c>
    </row>
    <row r="307">
      <c r="A307" s="6" t="str">
        <f>IFERROR(__xludf.DUMMYFUNCTION("""COMPUTED_VALUE"""),"Supertita")</f>
        <v>Supertita</v>
      </c>
      <c r="B307" s="9">
        <f>IFERROR(__xludf.DUMMYFUNCTION("""COMPUTED_VALUE"""),11.283333)</f>
        <v>11.283333</v>
      </c>
      <c r="C307" s="9">
        <f>IFERROR(__xludf.DUMMYFUNCTION("""COMPUTED_VALUE"""),-74.183333)</f>
        <v>-74.183333</v>
      </c>
    </row>
    <row r="308">
      <c r="A308" s="6" t="str">
        <f>IFERROR(__xludf.DUMMYFUNCTION("""COMPUTED_VALUE"""),"XimmoY")</f>
        <v>XimmoY</v>
      </c>
      <c r="B308" s="9">
        <f>IFERROR(__xludf.DUMMYFUNCTION("""COMPUTED_VALUE"""),5.86224)</f>
        <v>5.86224</v>
      </c>
      <c r="C308" s="9">
        <f>IFERROR(__xludf.DUMMYFUNCTION("""COMPUTED_VALUE"""),-74.87047)</f>
        <v>-74.87047</v>
      </c>
    </row>
    <row r="309">
      <c r="A309" s="6" t="str">
        <f>IFERROR(__xludf.DUMMYFUNCTION("""COMPUTED_VALUE"""),"XimmoY")</f>
        <v>XimmoY</v>
      </c>
      <c r="B309" s="9">
        <f>IFERROR(__xludf.DUMMYFUNCTION("""COMPUTED_VALUE"""),5.86224)</f>
        <v>5.86224</v>
      </c>
      <c r="C309" s="9">
        <f>IFERROR(__xludf.DUMMYFUNCTION("""COMPUTED_VALUE"""),-74.87047)</f>
        <v>-74.87047</v>
      </c>
    </row>
    <row r="310">
      <c r="A310" s="6" t="str">
        <f>IFERROR(__xludf.DUMMYFUNCTION("""COMPUTED_VALUE"""),"AmiGueko")</f>
        <v>AmiGueko</v>
      </c>
      <c r="B310" s="9">
        <f>IFERROR(__xludf.DUMMYFUNCTION("""COMPUTED_VALUE"""),4.983754)</f>
        <v>4.983754</v>
      </c>
      <c r="C310" s="9">
        <f>IFERROR(__xludf.DUMMYFUNCTION("""COMPUTED_VALUE"""),-74.268623)</f>
        <v>-74.268623</v>
      </c>
    </row>
    <row r="311">
      <c r="A311" s="6" t="str">
        <f>IFERROR(__xludf.DUMMYFUNCTION("""COMPUTED_VALUE"""),"AmiGueko")</f>
        <v>AmiGueko</v>
      </c>
      <c r="B311" s="9">
        <f>IFERROR(__xludf.DUMMYFUNCTION("""COMPUTED_VALUE"""),4.984224)</f>
        <v>4.984224</v>
      </c>
      <c r="C311" s="9">
        <f>IFERROR(__xludf.DUMMYFUNCTION("""COMPUTED_VALUE"""),-74.278261)</f>
        <v>-74.278261</v>
      </c>
    </row>
    <row r="312">
      <c r="A312" s="6" t="str">
        <f>IFERROR(__xludf.DUMMYFUNCTION("""COMPUTED_VALUE"""),"Supertita")</f>
        <v>Supertita</v>
      </c>
      <c r="B312" s="9">
        <f>IFERROR(__xludf.DUMMYFUNCTION("""COMPUTED_VALUE"""),4.5816)</f>
        <v>4.5816</v>
      </c>
      <c r="C312" s="9">
        <f>IFERROR(__xludf.DUMMYFUNCTION("""COMPUTED_VALUE"""),-7.41721)</f>
        <v>-7.41721</v>
      </c>
    </row>
    <row r="313">
      <c r="A313" s="6" t="str">
        <f>IFERROR(__xludf.DUMMYFUNCTION("""COMPUTED_VALUE"""),"CHAVESJUAN19")</f>
        <v>CHAVESJUAN19</v>
      </c>
      <c r="B313" s="9">
        <f>IFERROR(__xludf.DUMMYFUNCTION("""COMPUTED_VALUE"""),1.615202)</f>
        <v>1.615202</v>
      </c>
      <c r="C313" s="9">
        <f>IFERROR(__xludf.DUMMYFUNCTION("""COMPUTED_VALUE"""),-76.102569)</f>
        <v>-76.102569</v>
      </c>
    </row>
    <row r="314">
      <c r="A314" s="6" t="str">
        <f>IFERROR(__xludf.DUMMYFUNCTION("""COMPUTED_VALUE"""),"ZulayMR")</f>
        <v>ZulayMR</v>
      </c>
      <c r="B314" s="9">
        <f>IFERROR(__xludf.DUMMYFUNCTION("""COMPUTED_VALUE"""),11.306367)</f>
        <v>11.306367</v>
      </c>
      <c r="C314" s="9">
        <f>IFERROR(__xludf.DUMMYFUNCTION("""COMPUTED_VALUE"""),-74.065745)</f>
        <v>-74.065745</v>
      </c>
    </row>
    <row r="315">
      <c r="A315" s="6" t="str">
        <f>IFERROR(__xludf.DUMMYFUNCTION("""COMPUTED_VALUE"""),"Johan Andrés Toro")</f>
        <v>Johan Andrés Toro</v>
      </c>
      <c r="B315" s="9">
        <f>IFERROR(__xludf.DUMMYFUNCTION("""COMPUTED_VALUE"""),4.575004)</f>
        <v>4.575004</v>
      </c>
      <c r="C315" s="9">
        <f>IFERROR(__xludf.DUMMYFUNCTION("""COMPUTED_VALUE"""),-74.293933)</f>
        <v>-74.293933</v>
      </c>
    </row>
    <row r="316">
      <c r="A316" s="6" t="str">
        <f>IFERROR(__xludf.DUMMYFUNCTION("""COMPUTED_VALUE"""),"Elprofeta91")</f>
        <v>Elprofeta91</v>
      </c>
      <c r="B316" s="9">
        <f>IFERROR(__xludf.DUMMYFUNCTION("""COMPUTED_VALUE"""),8.072878)</f>
        <v>8.072878</v>
      </c>
      <c r="C316" s="9">
        <f>IFERROR(__xludf.DUMMYFUNCTION("""COMPUTED_VALUE"""),-74.7856)</f>
        <v>-74.7856</v>
      </c>
    </row>
    <row r="317">
      <c r="A317" s="6" t="str">
        <f>IFERROR(__xludf.DUMMYFUNCTION("""COMPUTED_VALUE"""),"NicolleTorresG")</f>
        <v>NicolleTorresG</v>
      </c>
      <c r="B317" s="9">
        <f>IFERROR(__xludf.DUMMYFUNCTION("""COMPUTED_VALUE"""),3.5611)</f>
        <v>3.5611</v>
      </c>
      <c r="C317" s="9">
        <f>IFERROR(__xludf.DUMMYFUNCTION("""COMPUTED_VALUE"""),-76.5569)</f>
        <v>-76.5569</v>
      </c>
    </row>
    <row r="318">
      <c r="A318" s="6" t="str">
        <f>IFERROR(__xludf.DUMMYFUNCTION("""COMPUTED_VALUE"""),"Diferoch")</f>
        <v>Diferoch</v>
      </c>
      <c r="B318" s="9">
        <f>IFERROR(__xludf.DUMMYFUNCTION("""COMPUTED_VALUE"""),7.08488)</f>
        <v>7.08488</v>
      </c>
      <c r="C318" s="9">
        <f>IFERROR(__xludf.DUMMYFUNCTION("""COMPUTED_VALUE"""),-73.863915)</f>
        <v>-73.863915</v>
      </c>
    </row>
    <row r="319">
      <c r="A319" s="6" t="str">
        <f>IFERROR(__xludf.DUMMYFUNCTION("""COMPUTED_VALUE"""),"Diferoch")</f>
        <v>Diferoch</v>
      </c>
      <c r="B319" s="9">
        <f>IFERROR(__xludf.DUMMYFUNCTION("""COMPUTED_VALUE"""),7.084865)</f>
        <v>7.084865</v>
      </c>
      <c r="C319" s="9">
        <f>IFERROR(__xludf.DUMMYFUNCTION("""COMPUTED_VALUE"""),-73.863877)</f>
        <v>-73.863877</v>
      </c>
    </row>
    <row r="320">
      <c r="A320" s="6" t="str">
        <f>IFERROR(__xludf.DUMMYFUNCTION("""COMPUTED_VALUE"""),"Diferoch")</f>
        <v>Diferoch</v>
      </c>
      <c r="B320" s="9">
        <f>IFERROR(__xludf.DUMMYFUNCTION("""COMPUTED_VALUE"""),7.084798)</f>
        <v>7.084798</v>
      </c>
      <c r="C320" s="9">
        <f>IFERROR(__xludf.DUMMYFUNCTION("""COMPUTED_VALUE"""),-73.863785)</f>
        <v>-73.863785</v>
      </c>
    </row>
    <row r="321">
      <c r="A321" s="6" t="str">
        <f>IFERROR(__xludf.DUMMYFUNCTION("""COMPUTED_VALUE"""),"Diferoch")</f>
        <v>Diferoch</v>
      </c>
      <c r="B321" s="9">
        <f>IFERROR(__xludf.DUMMYFUNCTION("""COMPUTED_VALUE"""),4.601548)</f>
        <v>4.601548</v>
      </c>
      <c r="C321" s="9">
        <f>IFERROR(__xludf.DUMMYFUNCTION("""COMPUTED_VALUE"""),-74.066155)</f>
        <v>-74.066155</v>
      </c>
    </row>
    <row r="322">
      <c r="A322" s="6" t="str">
        <f>IFERROR(__xludf.DUMMYFUNCTION("""COMPUTED_VALUE"""),"Diferoch")</f>
        <v>Diferoch</v>
      </c>
      <c r="B322" s="9">
        <f>IFERROR(__xludf.DUMMYFUNCTION("""COMPUTED_VALUE"""),4.600512)</f>
        <v>4.600512</v>
      </c>
      <c r="C322" s="9">
        <f>IFERROR(__xludf.DUMMYFUNCTION("""COMPUTED_VALUE"""),-74.06324)</f>
        <v>-74.06324</v>
      </c>
    </row>
    <row r="323">
      <c r="A323" s="6" t="str">
        <f>IFERROR(__xludf.DUMMYFUNCTION("""COMPUTED_VALUE"""),"Diferoch")</f>
        <v>Diferoch</v>
      </c>
      <c r="B323" s="9">
        <f>IFERROR(__xludf.DUMMYFUNCTION("""COMPUTED_VALUE"""),4.59979)</f>
        <v>4.59979</v>
      </c>
      <c r="C323" s="9">
        <f>IFERROR(__xludf.DUMMYFUNCTION("""COMPUTED_VALUE"""),-74.06343)</f>
        <v>-74.06343</v>
      </c>
    </row>
    <row r="324">
      <c r="A324" s="6" t="str">
        <f>IFERROR(__xludf.DUMMYFUNCTION("""COMPUTED_VALUE"""),"Project5443")</f>
        <v>Project5443</v>
      </c>
      <c r="B324" s="9">
        <f>IFERROR(__xludf.DUMMYFUNCTION("""COMPUTED_VALUE"""),11.0467)</f>
        <v>11.0467</v>
      </c>
      <c r="C324" s="9">
        <f>IFERROR(__xludf.DUMMYFUNCTION("""COMPUTED_VALUE"""),-74.8442)</f>
        <v>-74.8442</v>
      </c>
    </row>
    <row r="325">
      <c r="A325" s="6" t="str">
        <f>IFERROR(__xludf.DUMMYFUNCTION("""COMPUTED_VALUE"""),"LentedeBerilo")</f>
        <v>LentedeBerilo</v>
      </c>
      <c r="B325" s="9">
        <f>IFERROR(__xludf.DUMMYFUNCTION("""COMPUTED_VALUE"""),2.938272)</f>
        <v>2.938272</v>
      </c>
      <c r="C325" s="9">
        <f>IFERROR(__xludf.DUMMYFUNCTION("""COMPUTED_VALUE"""),-78.202501)</f>
        <v>-78.202501</v>
      </c>
    </row>
    <row r="326">
      <c r="A326" s="6" t="str">
        <f>IFERROR(__xludf.DUMMYFUNCTION("""COMPUTED_VALUE"""),"Elprofeta91")</f>
        <v>Elprofeta91</v>
      </c>
      <c r="B326" s="9">
        <f>IFERROR(__xludf.DUMMYFUNCTION("""COMPUTED_VALUE"""),8.074178)</f>
        <v>8.074178</v>
      </c>
      <c r="C326" s="9">
        <f>IFERROR(__xludf.DUMMYFUNCTION("""COMPUTED_VALUE"""),-74.784397)</f>
        <v>-74.784397</v>
      </c>
    </row>
    <row r="327">
      <c r="A327" s="6" t="str">
        <f>IFERROR(__xludf.DUMMYFUNCTION("""COMPUTED_VALUE"""),"Elprofeta91")</f>
        <v>Elprofeta91</v>
      </c>
      <c r="B327" s="9">
        <f>IFERROR(__xludf.DUMMYFUNCTION("""COMPUTED_VALUE"""),8.076128)</f>
        <v>8.076128</v>
      </c>
      <c r="C327" s="9">
        <f>IFERROR(__xludf.DUMMYFUNCTION("""COMPUTED_VALUE"""),-74.782939)</f>
        <v>-74.782939</v>
      </c>
    </row>
    <row r="328">
      <c r="A328" s="6" t="str">
        <f>IFERROR(__xludf.DUMMYFUNCTION("""COMPUTED_VALUE"""),"AmiGueko")</f>
        <v>AmiGueko</v>
      </c>
      <c r="B328" s="9">
        <f>IFERROR(__xludf.DUMMYFUNCTION("""COMPUTED_VALUE"""),5.045198)</f>
        <v>5.045198</v>
      </c>
      <c r="C328" s="9">
        <f>IFERROR(__xludf.DUMMYFUNCTION("""COMPUTED_VALUE"""),-75.373337)</f>
        <v>-75.373337</v>
      </c>
    </row>
    <row r="329">
      <c r="A329" s="6" t="str">
        <f>IFERROR(__xludf.DUMMYFUNCTION("""COMPUTED_VALUE"""),"AmiGueko")</f>
        <v>AmiGueko</v>
      </c>
      <c r="B329" s="9">
        <f>IFERROR(__xludf.DUMMYFUNCTION("""COMPUTED_VALUE"""),5.004421)</f>
        <v>5.004421</v>
      </c>
      <c r="C329" s="9">
        <f>IFERROR(__xludf.DUMMYFUNCTION("""COMPUTED_VALUE"""),-75.323638)</f>
        <v>-75.323638</v>
      </c>
    </row>
    <row r="330">
      <c r="A330" s="6" t="str">
        <f>IFERROR(__xludf.DUMMYFUNCTION("""COMPUTED_VALUE"""),"AmiGueko")</f>
        <v>AmiGueko</v>
      </c>
      <c r="B330" s="9">
        <f>IFERROR(__xludf.DUMMYFUNCTION("""COMPUTED_VALUE"""),4.982794)</f>
        <v>4.982794</v>
      </c>
      <c r="C330" s="9">
        <f>IFERROR(__xludf.DUMMYFUNCTION("""COMPUTED_VALUE"""),-75.388973)</f>
        <v>-75.388973</v>
      </c>
    </row>
    <row r="331">
      <c r="A331" s="6" t="str">
        <f>IFERROR(__xludf.DUMMYFUNCTION("""COMPUTED_VALUE"""),"Diferoch")</f>
        <v>Diferoch</v>
      </c>
      <c r="B331" s="9">
        <f>IFERROR(__xludf.DUMMYFUNCTION("""COMPUTED_VALUE"""),7.095982)</f>
        <v>7.095982</v>
      </c>
      <c r="C331" s="9">
        <f>IFERROR(__xludf.DUMMYFUNCTION("""COMPUTED_VALUE"""),-73.75634)</f>
        <v>-73.75634</v>
      </c>
    </row>
    <row r="332">
      <c r="A332" s="6" t="str">
        <f>IFERROR(__xludf.DUMMYFUNCTION("""COMPUTED_VALUE"""),"Lchaparrob")</f>
        <v>Lchaparrob</v>
      </c>
      <c r="B332" s="9">
        <f>IFERROR(__xludf.DUMMYFUNCTION("""COMPUTED_VALUE"""),0.792278)</f>
        <v>0.792278</v>
      </c>
      <c r="C332" s="9">
        <f>IFERROR(__xludf.DUMMYFUNCTION("""COMPUTED_VALUE"""),-70.954627)</f>
        <v>-70.954627</v>
      </c>
    </row>
    <row r="333">
      <c r="A333" s="6" t="str">
        <f>IFERROR(__xludf.DUMMYFUNCTION("""COMPUTED_VALUE"""),"Cathetovar")</f>
        <v>Cathetovar</v>
      </c>
      <c r="B333" s="9">
        <f>IFERROR(__xludf.DUMMYFUNCTION("""COMPUTED_VALUE"""),3.23738)</f>
        <v>3.23738</v>
      </c>
      <c r="C333" s="9">
        <f>IFERROR(__xludf.DUMMYFUNCTION("""COMPUTED_VALUE"""),-75.118142)</f>
        <v>-75.118142</v>
      </c>
    </row>
    <row r="334">
      <c r="A334" s="6" t="str">
        <f>IFERROR(__xludf.DUMMYFUNCTION("""COMPUTED_VALUE"""),"KingJo09")</f>
        <v>KingJo09</v>
      </c>
      <c r="B334" s="9">
        <f>IFERROR(__xludf.DUMMYFUNCTION("""COMPUTED_VALUE"""),4.59449)</f>
        <v>4.59449</v>
      </c>
      <c r="C334" s="9">
        <f>IFERROR(__xludf.DUMMYFUNCTION("""COMPUTED_VALUE"""),-74.07034)</f>
        <v>-74.07034</v>
      </c>
    </row>
    <row r="335">
      <c r="A335" s="6" t="str">
        <f>IFERROR(__xludf.DUMMYFUNCTION("""COMPUTED_VALUE"""),"Johan Andrés Toro")</f>
        <v>Johan Andrés Toro</v>
      </c>
      <c r="B335" s="9">
        <f>IFERROR(__xludf.DUMMYFUNCTION("""COMPUTED_VALUE"""),4.580103)</f>
        <v>4.580103</v>
      </c>
      <c r="C335" s="9">
        <f>IFERROR(__xludf.DUMMYFUNCTION("""COMPUTED_VALUE"""),-74.295648)</f>
        <v>-74.295648</v>
      </c>
    </row>
    <row r="336">
      <c r="A336" s="6" t="str">
        <f>IFERROR(__xludf.DUMMYFUNCTION("""COMPUTED_VALUE"""),"Zolsemiya")</f>
        <v>Zolsemiya</v>
      </c>
      <c r="B336" s="9">
        <f>IFERROR(__xludf.DUMMYFUNCTION("""COMPUTED_VALUE"""),4.172187)</f>
        <v>4.172187</v>
      </c>
      <c r="C336" s="9">
        <f>IFERROR(__xludf.DUMMYFUNCTION("""COMPUTED_VALUE"""),-74.146794)</f>
        <v>-74.146794</v>
      </c>
    </row>
    <row r="337">
      <c r="A337" s="6" t="str">
        <f>IFERROR(__xludf.DUMMYFUNCTION("""COMPUTED_VALUE"""),"Elprofeta91")</f>
        <v>Elprofeta91</v>
      </c>
      <c r="B337" s="9">
        <f>IFERROR(__xludf.DUMMYFUNCTION("""COMPUTED_VALUE"""),8.073572)</f>
        <v>8.073572</v>
      </c>
      <c r="C337" s="9">
        <f>IFERROR(__xludf.DUMMYFUNCTION("""COMPUTED_VALUE"""),-74.785042)</f>
        <v>-74.785042</v>
      </c>
    </row>
    <row r="338">
      <c r="A338" s="6" t="str">
        <f>IFERROR(__xludf.DUMMYFUNCTION("""COMPUTED_VALUE"""),"Alexpanther")</f>
        <v>Alexpanther</v>
      </c>
      <c r="B338" s="9">
        <f>IFERROR(__xludf.DUMMYFUNCTION("""COMPUTED_VALUE"""),4.091467)</f>
        <v>4.091467</v>
      </c>
      <c r="C338" s="9">
        <f>IFERROR(__xludf.DUMMYFUNCTION("""COMPUTED_VALUE"""),-73.502273)</f>
        <v>-73.502273</v>
      </c>
    </row>
    <row r="339">
      <c r="A339" s="6" t="str">
        <f>IFERROR(__xludf.DUMMYFUNCTION("""COMPUTED_VALUE"""),"Elprofeta91")</f>
        <v>Elprofeta91</v>
      </c>
      <c r="B339" s="9">
        <f>IFERROR(__xludf.DUMMYFUNCTION("""COMPUTED_VALUE"""),8.073469)</f>
        <v>8.073469</v>
      </c>
      <c r="C339" s="9">
        <f>IFERROR(__xludf.DUMMYFUNCTION("""COMPUTED_VALUE"""),-74.785061)</f>
        <v>-74.785061</v>
      </c>
    </row>
    <row r="340">
      <c r="A340" s="6" t="str">
        <f>IFERROR(__xludf.DUMMYFUNCTION("""COMPUTED_VALUE"""),"Elprofeta91")</f>
        <v>Elprofeta91</v>
      </c>
      <c r="B340" s="9">
        <f>IFERROR(__xludf.DUMMYFUNCTION("""COMPUTED_VALUE"""),8.071481)</f>
        <v>8.071481</v>
      </c>
      <c r="C340" s="9">
        <f>IFERROR(__xludf.DUMMYFUNCTION("""COMPUTED_VALUE"""),-74.787092)</f>
        <v>-74.787092</v>
      </c>
    </row>
    <row r="341">
      <c r="A341" s="6" t="str">
        <f>IFERROR(__xludf.DUMMYFUNCTION("""COMPUTED_VALUE"""),"Elprofeta91")</f>
        <v>Elprofeta91</v>
      </c>
      <c r="B341" s="9">
        <f>IFERROR(__xludf.DUMMYFUNCTION("""COMPUTED_VALUE"""),8.073578)</f>
        <v>8.073578</v>
      </c>
      <c r="C341" s="9">
        <f>IFERROR(__xludf.DUMMYFUNCTION("""COMPUTED_VALUE"""),-74.785064)</f>
        <v>-74.785064</v>
      </c>
    </row>
    <row r="342">
      <c r="A342" s="6" t="str">
        <f>IFERROR(__xludf.DUMMYFUNCTION("""COMPUTED_VALUE"""),"Nbareschu")</f>
        <v>Nbareschu</v>
      </c>
      <c r="B342" s="9">
        <f>IFERROR(__xludf.DUMMYFUNCTION("""COMPUTED_VALUE"""),4.86095)</f>
        <v>4.86095</v>
      </c>
      <c r="C342" s="9">
        <f>IFERROR(__xludf.DUMMYFUNCTION("""COMPUTED_VALUE"""),-74.344986)</f>
        <v>-74.344986</v>
      </c>
    </row>
    <row r="343">
      <c r="A343" s="6" t="str">
        <f>IFERROR(__xludf.DUMMYFUNCTION("""COMPUTED_VALUE"""),"Natlycu")</f>
        <v>Natlycu</v>
      </c>
      <c r="B343" s="9">
        <f>IFERROR(__xludf.DUMMYFUNCTION("""COMPUTED_VALUE"""),4.934418)</f>
        <v>4.934418</v>
      </c>
      <c r="C343" s="9">
        <f>IFERROR(__xludf.DUMMYFUNCTION("""COMPUTED_VALUE"""),-73.84236)</f>
        <v>-73.84236</v>
      </c>
    </row>
    <row r="344">
      <c r="A344" s="6" t="str">
        <f>IFERROR(__xludf.DUMMYFUNCTION("""COMPUTED_VALUE"""),"Mat1318")</f>
        <v>Mat1318</v>
      </c>
      <c r="B344" s="9">
        <f>IFERROR(__xludf.DUMMYFUNCTION("""COMPUTED_VALUE"""),5.16943311)</f>
        <v>5.16943311</v>
      </c>
      <c r="C344" s="9">
        <f>IFERROR(__xludf.DUMMYFUNCTION("""COMPUTED_VALUE"""),-73.95256042)</f>
        <v>-73.95256042</v>
      </c>
    </row>
    <row r="345">
      <c r="A345" s="6" t="str">
        <f>IFERROR(__xludf.DUMMYFUNCTION("""COMPUTED_VALUE"""),"Mat1318")</f>
        <v>Mat1318</v>
      </c>
      <c r="B345" s="9">
        <f>IFERROR(__xludf.DUMMYFUNCTION("""COMPUTED_VALUE"""),4.96035289)</f>
        <v>4.96035289</v>
      </c>
      <c r="C345" s="9">
        <f>IFERROR(__xludf.DUMMYFUNCTION("""COMPUTED_VALUE"""),-73.82216642)</f>
        <v>-73.82216642</v>
      </c>
    </row>
    <row r="346">
      <c r="A346" s="6" t="str">
        <f>IFERROR(__xludf.DUMMYFUNCTION("""COMPUTED_VALUE"""),"Zolsemiya")</f>
        <v>Zolsemiya</v>
      </c>
      <c r="B346" s="9">
        <f>IFERROR(__xludf.DUMMYFUNCTION("""COMPUTED_VALUE"""),4.172187)</f>
        <v>4.172187</v>
      </c>
      <c r="C346" s="9">
        <f>IFERROR(__xludf.DUMMYFUNCTION("""COMPUTED_VALUE"""),-74.146794)</f>
        <v>-74.146794</v>
      </c>
    </row>
    <row r="347">
      <c r="A347" s="6" t="str">
        <f>IFERROR(__xludf.DUMMYFUNCTION("""COMPUTED_VALUE"""),"Janavet pantoja isaza")</f>
        <v>Janavet pantoja isaza</v>
      </c>
      <c r="B347" s="9">
        <f>IFERROR(__xludf.DUMMYFUNCTION("""COMPUTED_VALUE"""),4.883333)</f>
        <v>4.883333</v>
      </c>
      <c r="C347" s="9">
        <f>IFERROR(__xludf.DUMMYFUNCTION("""COMPUTED_VALUE"""),-75.316667)</f>
        <v>-75.316667</v>
      </c>
    </row>
    <row r="348">
      <c r="A348" s="6" t="str">
        <f>IFERROR(__xludf.DUMMYFUNCTION("""COMPUTED_VALUE"""),"Adrianvargasag")</f>
        <v>Adrianvargasag</v>
      </c>
      <c r="B348" s="9">
        <f>IFERROR(__xludf.DUMMYFUNCTION("""COMPUTED_VALUE"""),4.932139)</f>
        <v>4.932139</v>
      </c>
      <c r="C348" s="9">
        <f>IFERROR(__xludf.DUMMYFUNCTION("""COMPUTED_VALUE"""),-75.324708)</f>
        <v>-75.324708</v>
      </c>
    </row>
    <row r="349">
      <c r="A349" s="6" t="str">
        <f>IFERROR(__xludf.DUMMYFUNCTION("""COMPUTED_VALUE"""),"NMontoya (WMCO)")</f>
        <v>NMontoya (WMCO)</v>
      </c>
      <c r="B349" s="9">
        <f>IFERROR(__xludf.DUMMYFUNCTION("""COMPUTED_VALUE"""),4.66775)</f>
        <v>4.66775</v>
      </c>
      <c r="C349" s="9">
        <f>IFERROR(__xludf.DUMMYFUNCTION("""COMPUTED_VALUE"""),-74.099944)</f>
        <v>-74.099944</v>
      </c>
    </row>
    <row r="350">
      <c r="A350" s="6" t="str">
        <f>IFERROR(__xludf.DUMMYFUNCTION("""COMPUTED_VALUE"""),"NMontoya (WMCO)")</f>
        <v>NMontoya (WMCO)</v>
      </c>
      <c r="B350" s="9">
        <f>IFERROR(__xludf.DUMMYFUNCTION("""COMPUTED_VALUE"""),4.669437)</f>
        <v>4.669437</v>
      </c>
      <c r="C350" s="9">
        <f>IFERROR(__xludf.DUMMYFUNCTION("""COMPUTED_VALUE"""),-74.097702)</f>
        <v>-74.097702</v>
      </c>
    </row>
    <row r="351">
      <c r="A351" s="6" t="str">
        <f>IFERROR(__xludf.DUMMYFUNCTION("""COMPUTED_VALUE"""),"Bioedna.ro")</f>
        <v>Bioedna.ro</v>
      </c>
      <c r="B351" s="9">
        <f>IFERROR(__xludf.DUMMYFUNCTION("""COMPUTED_VALUE"""),4.700031)</f>
        <v>4.700031</v>
      </c>
      <c r="C351" s="9">
        <f>IFERROR(__xludf.DUMMYFUNCTION("""COMPUTED_VALUE"""),-74.360916)</f>
        <v>-74.360916</v>
      </c>
    </row>
    <row r="352">
      <c r="A352" s="6" t="str">
        <f>IFERROR(__xludf.DUMMYFUNCTION("""COMPUTED_VALUE"""),"Bioedna.ro")</f>
        <v>Bioedna.ro</v>
      </c>
      <c r="B352" s="9">
        <f>IFERROR(__xludf.DUMMYFUNCTION("""COMPUTED_VALUE"""),4.700031)</f>
        <v>4.700031</v>
      </c>
      <c r="C352" s="9">
        <f>IFERROR(__xludf.DUMMYFUNCTION("""COMPUTED_VALUE"""),-74.360916)</f>
        <v>-74.360916</v>
      </c>
    </row>
    <row r="353">
      <c r="A353" s="6" t="str">
        <f>IFERROR(__xludf.DUMMYFUNCTION("""COMPUTED_VALUE"""),"AmiGueko")</f>
        <v>AmiGueko</v>
      </c>
      <c r="B353" s="9">
        <f>IFERROR(__xludf.DUMMYFUNCTION("""COMPUTED_VALUE"""),5.953556)</f>
        <v>5.953556</v>
      </c>
      <c r="C353" s="9">
        <f>IFERROR(__xludf.DUMMYFUNCTION("""COMPUTED_VALUE"""),-75.155795)</f>
        <v>-75.155795</v>
      </c>
    </row>
    <row r="354">
      <c r="A354" s="6" t="str">
        <f>IFERROR(__xludf.DUMMYFUNCTION("""COMPUTED_VALUE"""),"Nbareschu")</f>
        <v>Nbareschu</v>
      </c>
      <c r="B354" s="9">
        <f>IFERROR(__xludf.DUMMYFUNCTION("""COMPUTED_VALUE"""),6.369967)</f>
        <v>6.369967</v>
      </c>
      <c r="C354" s="9">
        <f>IFERROR(__xludf.DUMMYFUNCTION("""COMPUTED_VALUE"""),-72.318475)</f>
        <v>-72.318475</v>
      </c>
    </row>
    <row r="355">
      <c r="A355" s="6" t="str">
        <f>IFERROR(__xludf.DUMMYFUNCTION("""COMPUTED_VALUE"""),"AmiGueko")</f>
        <v>AmiGueko</v>
      </c>
      <c r="B355" s="9">
        <f>IFERROR(__xludf.DUMMYFUNCTION("""COMPUTED_VALUE"""),4.984191)</f>
        <v>4.984191</v>
      </c>
      <c r="C355" s="9">
        <f>IFERROR(__xludf.DUMMYFUNCTION("""COMPUTED_VALUE"""),-74.278295)</f>
        <v>-74.278295</v>
      </c>
    </row>
    <row r="356">
      <c r="A356" s="6" t="str">
        <f>IFERROR(__xludf.DUMMYFUNCTION("""COMPUTED_VALUE"""),"Biodiego88")</f>
        <v>Biodiego88</v>
      </c>
      <c r="B356" s="9">
        <f>IFERROR(__xludf.DUMMYFUNCTION("""COMPUTED_VALUE"""),4.325333)</f>
        <v>4.325333</v>
      </c>
      <c r="C356" s="9">
        <f>IFERROR(__xludf.DUMMYFUNCTION("""COMPUTED_VALUE"""),-75.834167)</f>
        <v>-75.834167</v>
      </c>
    </row>
    <row r="357">
      <c r="A357" s="6" t="str">
        <f>IFERROR(__xludf.DUMMYFUNCTION("""COMPUTED_VALUE"""),"AmiGueko")</f>
        <v>AmiGueko</v>
      </c>
      <c r="B357" s="9">
        <f>IFERROR(__xludf.DUMMYFUNCTION("""COMPUTED_VALUE"""),4.968432)</f>
        <v>4.968432</v>
      </c>
      <c r="C357" s="9">
        <f>IFERROR(__xludf.DUMMYFUNCTION("""COMPUTED_VALUE"""),-74.322032)</f>
        <v>-74.322032</v>
      </c>
    </row>
    <row r="358">
      <c r="A358" s="6" t="str">
        <f>IFERROR(__xludf.DUMMYFUNCTION("""COMPUTED_VALUE"""),"AmiGueko")</f>
        <v>AmiGueko</v>
      </c>
      <c r="B358" s="9">
        <f>IFERROR(__xludf.DUMMYFUNCTION("""COMPUTED_VALUE"""),4.97049)</f>
        <v>4.97049</v>
      </c>
      <c r="C358" s="9">
        <f>IFERROR(__xludf.DUMMYFUNCTION("""COMPUTED_VALUE"""),-74.290079)</f>
        <v>-74.290079</v>
      </c>
    </row>
    <row r="359">
      <c r="A359" s="6" t="str">
        <f>IFERROR(__xludf.DUMMYFUNCTION("""COMPUTED_VALUE"""),"KingJo09")</f>
        <v>KingJo09</v>
      </c>
      <c r="B359" s="9">
        <f>IFERROR(__xludf.DUMMYFUNCTION("""COMPUTED_VALUE"""),4.59449)</f>
        <v>4.59449</v>
      </c>
      <c r="C359" s="9">
        <f>IFERROR(__xludf.DUMMYFUNCTION("""COMPUTED_VALUE"""),-74.07034)</f>
        <v>-74.07034</v>
      </c>
    </row>
    <row r="360">
      <c r="A360" s="6" t="str">
        <f>IFERROR(__xludf.DUMMYFUNCTION("""COMPUTED_VALUE"""),"KingJo09")</f>
        <v>KingJo09</v>
      </c>
      <c r="B360" s="9">
        <f>IFERROR(__xludf.DUMMYFUNCTION("""COMPUTED_VALUE"""),4.59449)</f>
        <v>4.59449</v>
      </c>
      <c r="C360" s="9">
        <f>IFERROR(__xludf.DUMMYFUNCTION("""COMPUTED_VALUE"""),-74.07034)</f>
        <v>-74.07034</v>
      </c>
    </row>
    <row r="361">
      <c r="A361" s="6" t="str">
        <f>IFERROR(__xludf.DUMMYFUNCTION("""COMPUTED_VALUE"""),"KingJo09")</f>
        <v>KingJo09</v>
      </c>
      <c r="B361" s="9">
        <f>IFERROR(__xludf.DUMMYFUNCTION("""COMPUTED_VALUE"""),4.59449)</f>
        <v>4.59449</v>
      </c>
      <c r="C361" s="9">
        <f>IFERROR(__xludf.DUMMYFUNCTION("""COMPUTED_VALUE"""),-74.07034)</f>
        <v>-74.07034</v>
      </c>
    </row>
    <row r="362">
      <c r="A362" s="6" t="str">
        <f>IFERROR(__xludf.DUMMYFUNCTION("""COMPUTED_VALUE"""),"Supertita")</f>
        <v>Supertita</v>
      </c>
      <c r="B362" s="9">
        <f>IFERROR(__xludf.DUMMYFUNCTION("""COMPUTED_VALUE"""),4.52799)</f>
        <v>4.52799</v>
      </c>
      <c r="C362" s="9">
        <f>IFERROR(__xludf.DUMMYFUNCTION("""COMPUTED_VALUE"""),-73.75284)</f>
        <v>-73.75284</v>
      </c>
    </row>
    <row r="363">
      <c r="A363" s="6" t="str">
        <f>IFERROR(__xludf.DUMMYFUNCTION("""COMPUTED_VALUE"""),"CHAVESJUAN19")</f>
        <v>CHAVESJUAN19</v>
      </c>
      <c r="B363" s="9">
        <f>IFERROR(__xludf.DUMMYFUNCTION("""COMPUTED_VALUE"""),1.615202)</f>
        <v>1.615202</v>
      </c>
      <c r="C363" s="9">
        <f>IFERROR(__xludf.DUMMYFUNCTION("""COMPUTED_VALUE"""),-76.102569)</f>
        <v>-76.102569</v>
      </c>
    </row>
    <row r="364">
      <c r="A364" s="6" t="str">
        <f>IFERROR(__xludf.DUMMYFUNCTION("""COMPUTED_VALUE"""),"Nbareschu")</f>
        <v>Nbareschu</v>
      </c>
      <c r="B364" s="9">
        <f>IFERROR(__xludf.DUMMYFUNCTION("""COMPUTED_VALUE"""),4.562336)</f>
        <v>4.562336</v>
      </c>
      <c r="C364" s="9">
        <f>IFERROR(__xludf.DUMMYFUNCTION("""COMPUTED_VALUE"""),-73.989083)</f>
        <v>-73.989083</v>
      </c>
    </row>
    <row r="365">
      <c r="A365" s="6" t="str">
        <f>IFERROR(__xludf.DUMMYFUNCTION("""COMPUTED_VALUE"""),"Supertita")</f>
        <v>Supertita</v>
      </c>
      <c r="B365" s="9">
        <f>IFERROR(__xludf.DUMMYFUNCTION("""COMPUTED_VALUE"""),5.02991)</f>
        <v>5.02991</v>
      </c>
      <c r="C365" s="9">
        <f>IFERROR(__xludf.DUMMYFUNCTION("""COMPUTED_VALUE"""),-74.282561)</f>
        <v>-74.282561</v>
      </c>
    </row>
    <row r="366">
      <c r="A366" s="6" t="str">
        <f>IFERROR(__xludf.DUMMYFUNCTION("""COMPUTED_VALUE"""),"Natlycu")</f>
        <v>Natlycu</v>
      </c>
      <c r="B366" s="9">
        <f>IFERROR(__xludf.DUMMYFUNCTION("""COMPUTED_VALUE"""),4.360644)</f>
        <v>4.360644</v>
      </c>
      <c r="C366" s="9">
        <f>IFERROR(__xludf.DUMMYFUNCTION("""COMPUTED_VALUE"""),-74.335404)</f>
        <v>-74.335404</v>
      </c>
    </row>
    <row r="367">
      <c r="A367" s="6" t="str">
        <f>IFERROR(__xludf.DUMMYFUNCTION("""COMPUTED_VALUE"""),"Natlycu")</f>
        <v>Natlycu</v>
      </c>
      <c r="B367" s="9">
        <f>IFERROR(__xludf.DUMMYFUNCTION("""COMPUTED_VALUE"""),4.360644)</f>
        <v>4.360644</v>
      </c>
      <c r="C367" s="9">
        <f>IFERROR(__xludf.DUMMYFUNCTION("""COMPUTED_VALUE"""),-74.335404)</f>
        <v>-74.335404</v>
      </c>
    </row>
    <row r="368">
      <c r="A368" s="6" t="str">
        <f>IFERROR(__xludf.DUMMYFUNCTION("""COMPUTED_VALUE"""),"Diferoch")</f>
        <v>Diferoch</v>
      </c>
      <c r="B368" s="9">
        <f>IFERROR(__xludf.DUMMYFUNCTION("""COMPUTED_VALUE"""),7.084965)</f>
        <v>7.084965</v>
      </c>
      <c r="C368" s="9">
        <f>IFERROR(__xludf.DUMMYFUNCTION("""COMPUTED_VALUE"""),-73.864013)</f>
        <v>-73.864013</v>
      </c>
    </row>
    <row r="369">
      <c r="A369" s="6" t="str">
        <f>IFERROR(__xludf.DUMMYFUNCTION("""COMPUTED_VALUE"""),"Diferoch")</f>
        <v>Diferoch</v>
      </c>
      <c r="B369" s="9">
        <f>IFERROR(__xludf.DUMMYFUNCTION("""COMPUTED_VALUE"""),7.084988)</f>
        <v>7.084988</v>
      </c>
      <c r="C369" s="9">
        <f>IFERROR(__xludf.DUMMYFUNCTION("""COMPUTED_VALUE"""),-73.864052)</f>
        <v>-73.864052</v>
      </c>
    </row>
    <row r="370">
      <c r="A370" s="6" t="str">
        <f>IFERROR(__xludf.DUMMYFUNCTION("""COMPUTED_VALUE"""),"Diferoch")</f>
        <v>Diferoch</v>
      </c>
      <c r="B370" s="9">
        <f>IFERROR(__xludf.DUMMYFUNCTION("""COMPUTED_VALUE"""),7.0849)</f>
        <v>7.0849</v>
      </c>
      <c r="C370" s="9">
        <f>IFERROR(__xludf.DUMMYFUNCTION("""COMPUTED_VALUE"""),-73.8639)</f>
        <v>-73.8639</v>
      </c>
    </row>
    <row r="371">
      <c r="A371" s="6" t="str">
        <f>IFERROR(__xludf.DUMMYFUNCTION("""COMPUTED_VALUE"""),"Diferoch")</f>
        <v>Diferoch</v>
      </c>
      <c r="B371" s="9">
        <f>IFERROR(__xludf.DUMMYFUNCTION("""COMPUTED_VALUE"""),7.095963)</f>
        <v>7.095963</v>
      </c>
      <c r="C371" s="9">
        <f>IFERROR(__xludf.DUMMYFUNCTION("""COMPUTED_VALUE"""),-73.756355)</f>
        <v>-73.756355</v>
      </c>
    </row>
    <row r="372">
      <c r="A372" s="6" t="str">
        <f>IFERROR(__xludf.DUMMYFUNCTION("""COMPUTED_VALUE"""),"JuanitoCISF")</f>
        <v>JuanitoCISF</v>
      </c>
      <c r="B372" s="9">
        <f>IFERROR(__xludf.DUMMYFUNCTION("""COMPUTED_VALUE"""),4.280661)</f>
        <v>4.280661</v>
      </c>
      <c r="C372" s="9">
        <f>IFERROR(__xludf.DUMMYFUNCTION("""COMPUTED_VALUE"""),-75.106225)</f>
        <v>-75.106225</v>
      </c>
    </row>
    <row r="373">
      <c r="A373" s="6" t="str">
        <f>IFERROR(__xludf.DUMMYFUNCTION("""COMPUTED_VALUE"""),"Dalacuel")</f>
        <v>Dalacuel</v>
      </c>
      <c r="B373" s="9">
        <f>IFERROR(__xludf.DUMMYFUNCTION("""COMPUTED_VALUE"""),4.864623)</f>
        <v>4.864623</v>
      </c>
      <c r="C373" s="9">
        <f>IFERROR(__xludf.DUMMYFUNCTION("""COMPUTED_VALUE"""),-74.048936)</f>
        <v>-74.048936</v>
      </c>
    </row>
    <row r="374">
      <c r="A374" s="6" t="str">
        <f>IFERROR(__xludf.DUMMYFUNCTION("""COMPUTED_VALUE"""),"Edwinzerep")</f>
        <v>Edwinzerep</v>
      </c>
      <c r="B374" s="9">
        <f>IFERROR(__xludf.DUMMYFUNCTION("""COMPUTED_VALUE"""),5.739763)</f>
        <v>5.739763</v>
      </c>
      <c r="C374" s="9">
        <f>IFERROR(__xludf.DUMMYFUNCTION("""COMPUTED_VALUE"""),-76.281762)</f>
        <v>-76.281762</v>
      </c>
    </row>
    <row r="375">
      <c r="A375" s="6" t="str">
        <f>IFERROR(__xludf.DUMMYFUNCTION("""COMPUTED_VALUE"""),"Edwinzerep")</f>
        <v>Edwinzerep</v>
      </c>
      <c r="B375" s="9">
        <f>IFERROR(__xludf.DUMMYFUNCTION("""COMPUTED_VALUE"""),5.869236)</f>
        <v>5.869236</v>
      </c>
      <c r="C375" s="9">
        <f>IFERROR(__xludf.DUMMYFUNCTION("""COMPUTED_VALUE"""),-76.128552)</f>
        <v>-76.128552</v>
      </c>
    </row>
    <row r="376">
      <c r="A376" s="6" t="str">
        <f>IFERROR(__xludf.DUMMYFUNCTION("""COMPUTED_VALUE"""),"AmiGueko")</f>
        <v>AmiGueko</v>
      </c>
      <c r="B376" s="9">
        <f>IFERROR(__xludf.DUMMYFUNCTION("""COMPUTED_VALUE"""),4.66775)</f>
        <v>4.66775</v>
      </c>
      <c r="C376" s="9">
        <f>IFERROR(__xludf.DUMMYFUNCTION("""COMPUTED_VALUE"""),-74.099944)</f>
        <v>-74.099944</v>
      </c>
    </row>
    <row r="377">
      <c r="A377" s="6" t="str">
        <f>IFERROR(__xludf.DUMMYFUNCTION("""COMPUTED_VALUE"""),"AmiGueko")</f>
        <v>AmiGueko</v>
      </c>
      <c r="B377" s="9">
        <f>IFERROR(__xludf.DUMMYFUNCTION("""COMPUTED_VALUE"""),4.66775)</f>
        <v>4.66775</v>
      </c>
      <c r="C377" s="9">
        <f>IFERROR(__xludf.DUMMYFUNCTION("""COMPUTED_VALUE"""),-74.099944)</f>
        <v>-74.099944</v>
      </c>
    </row>
    <row r="378">
      <c r="A378" s="6" t="str">
        <f>IFERROR(__xludf.DUMMYFUNCTION("""COMPUTED_VALUE"""),"AmiGueko")</f>
        <v>AmiGueko</v>
      </c>
      <c r="B378" s="9">
        <f>IFERROR(__xludf.DUMMYFUNCTION("""COMPUTED_VALUE"""),4.66775)</f>
        <v>4.66775</v>
      </c>
      <c r="C378" s="9">
        <f>IFERROR(__xludf.DUMMYFUNCTION("""COMPUTED_VALUE"""),-74.099944)</f>
        <v>-74.099944</v>
      </c>
    </row>
    <row r="379">
      <c r="A379" s="6" t="str">
        <f>IFERROR(__xludf.DUMMYFUNCTION("""COMPUTED_VALUE"""),"AmiGueko")</f>
        <v>AmiGueko</v>
      </c>
      <c r="B379" s="9">
        <f>IFERROR(__xludf.DUMMYFUNCTION("""COMPUTED_VALUE"""),4.66775)</f>
        <v>4.66775</v>
      </c>
      <c r="C379" s="9">
        <f>IFERROR(__xludf.DUMMYFUNCTION("""COMPUTED_VALUE"""),-74.099944)</f>
        <v>-74.099944</v>
      </c>
    </row>
    <row r="380">
      <c r="A380" s="6" t="str">
        <f>IFERROR(__xludf.DUMMYFUNCTION("""COMPUTED_VALUE"""),"Elprofeta91")</f>
        <v>Elprofeta91</v>
      </c>
      <c r="B380" s="9">
        <f>IFERROR(__xludf.DUMMYFUNCTION("""COMPUTED_VALUE"""),8.077878)</f>
        <v>8.077878</v>
      </c>
      <c r="C380" s="9">
        <f>IFERROR(__xludf.DUMMYFUNCTION("""COMPUTED_VALUE"""),-74.7815)</f>
        <v>-74.7815</v>
      </c>
    </row>
    <row r="381">
      <c r="A381" s="6" t="str">
        <f>IFERROR(__xludf.DUMMYFUNCTION("""COMPUTED_VALUE"""),"AmiGueko")</f>
        <v>AmiGueko</v>
      </c>
      <c r="B381" s="9">
        <f>IFERROR(__xludf.DUMMYFUNCTION("""COMPUTED_VALUE"""),4.66775)</f>
        <v>4.66775</v>
      </c>
      <c r="C381" s="9">
        <f>IFERROR(__xludf.DUMMYFUNCTION("""COMPUTED_VALUE"""),-74.099944)</f>
        <v>-74.099944</v>
      </c>
    </row>
    <row r="382">
      <c r="A382" s="6" t="str">
        <f>IFERROR(__xludf.DUMMYFUNCTION("""COMPUTED_VALUE"""),"Nbareschu")</f>
        <v>Nbareschu</v>
      </c>
      <c r="B382" s="9">
        <f>IFERROR(__xludf.DUMMYFUNCTION("""COMPUTED_VALUE"""),4.883569)</f>
        <v>4.883569</v>
      </c>
      <c r="C382" s="9">
        <f>IFERROR(__xludf.DUMMYFUNCTION("""COMPUTED_VALUE"""),-74.2817)</f>
        <v>-74.2817</v>
      </c>
    </row>
    <row r="383">
      <c r="A383" s="6" t="str">
        <f>IFERROR(__xludf.DUMMYFUNCTION("""COMPUTED_VALUE"""),"NMontoya (WMCO)")</f>
        <v>NMontoya (WMCO)</v>
      </c>
      <c r="B383" s="9">
        <f>IFERROR(__xludf.DUMMYFUNCTION("""COMPUTED_VALUE"""),4.669437)</f>
        <v>4.669437</v>
      </c>
      <c r="C383" s="9">
        <f>IFERROR(__xludf.DUMMYFUNCTION("""COMPUTED_VALUE"""),-74.097702)</f>
        <v>-74.097702</v>
      </c>
    </row>
    <row r="384">
      <c r="A384" s="6" t="str">
        <f>IFERROR(__xludf.DUMMYFUNCTION("""COMPUTED_VALUE"""),"Bioedna.ro")</f>
        <v>Bioedna.ro</v>
      </c>
      <c r="B384" s="9">
        <f>IFERROR(__xludf.DUMMYFUNCTION("""COMPUTED_VALUE"""),4.668222)</f>
        <v>4.668222</v>
      </c>
      <c r="C384" s="9">
        <f>IFERROR(__xludf.DUMMYFUNCTION("""COMPUTED_VALUE"""),-74.099861)</f>
        <v>-74.099861</v>
      </c>
    </row>
    <row r="385">
      <c r="A385" s="6" t="str">
        <f>IFERROR(__xludf.DUMMYFUNCTION("""COMPUTED_VALUE"""),"AmiGueko")</f>
        <v>AmiGueko</v>
      </c>
      <c r="B385" s="9">
        <f>IFERROR(__xludf.DUMMYFUNCTION("""COMPUTED_VALUE"""),4.66775)</f>
        <v>4.66775</v>
      </c>
      <c r="C385" s="9">
        <f>IFERROR(__xludf.DUMMYFUNCTION("""COMPUTED_VALUE"""),-74.099944)</f>
        <v>-74.099944</v>
      </c>
    </row>
    <row r="386">
      <c r="A386" s="6" t="str">
        <f>IFERROR(__xludf.DUMMYFUNCTION("""COMPUTED_VALUE"""),"AmiGueko")</f>
        <v>AmiGueko</v>
      </c>
      <c r="B386" s="9">
        <f>IFERROR(__xludf.DUMMYFUNCTION("""COMPUTED_VALUE"""),4.66775)</f>
        <v>4.66775</v>
      </c>
      <c r="C386" s="9">
        <f>IFERROR(__xludf.DUMMYFUNCTION("""COMPUTED_VALUE"""),-74.099944)</f>
        <v>-74.099944</v>
      </c>
    </row>
    <row r="387">
      <c r="A387" s="6" t="str">
        <f>IFERROR(__xludf.DUMMYFUNCTION("""COMPUTED_VALUE"""),"NMontoya (WMCO)")</f>
        <v>NMontoya (WMCO)</v>
      </c>
      <c r="B387" s="9">
        <f>IFERROR(__xludf.DUMMYFUNCTION("""COMPUTED_VALUE"""),4.669437)</f>
        <v>4.669437</v>
      </c>
      <c r="C387" s="9">
        <f>IFERROR(__xludf.DUMMYFUNCTION("""COMPUTED_VALUE"""),-74.097702)</f>
        <v>-74.097702</v>
      </c>
    </row>
    <row r="388">
      <c r="A388" s="6" t="str">
        <f>IFERROR(__xludf.DUMMYFUNCTION("""COMPUTED_VALUE"""),"Romauribe")</f>
        <v>Romauribe</v>
      </c>
      <c r="B388" s="9">
        <f>IFERROR(__xludf.DUMMYFUNCTION("""COMPUTED_VALUE"""),12.583333)</f>
        <v>12.583333</v>
      </c>
      <c r="C388" s="9">
        <f>IFERROR(__xludf.DUMMYFUNCTION("""COMPUTED_VALUE"""),-81.7)</f>
        <v>-81.7</v>
      </c>
    </row>
    <row r="389">
      <c r="A389" s="6" t="str">
        <f>IFERROR(__xludf.DUMMYFUNCTION("""COMPUTED_VALUE"""),"Supertita")</f>
        <v>Supertita</v>
      </c>
      <c r="B389" s="9">
        <f>IFERROR(__xludf.DUMMYFUNCTION("""COMPUTED_VALUE"""),5.02991)</f>
        <v>5.02991</v>
      </c>
      <c r="C389" s="9">
        <f>IFERROR(__xludf.DUMMYFUNCTION("""COMPUTED_VALUE"""),-74.282561)</f>
        <v>-74.282561</v>
      </c>
    </row>
    <row r="390">
      <c r="A390" s="6" t="str">
        <f>IFERROR(__xludf.DUMMYFUNCTION("""COMPUTED_VALUE"""),"Nbareschu")</f>
        <v>Nbareschu</v>
      </c>
      <c r="B390" s="9">
        <f>IFERROR(__xludf.DUMMYFUNCTION("""COMPUTED_VALUE"""),4.857047)</f>
        <v>4.857047</v>
      </c>
      <c r="C390" s="9">
        <f>IFERROR(__xludf.DUMMYFUNCTION("""COMPUTED_VALUE"""),-74.347328)</f>
        <v>-74.347328</v>
      </c>
    </row>
    <row r="391">
      <c r="A391" s="6" t="str">
        <f>IFERROR(__xludf.DUMMYFUNCTION("""COMPUTED_VALUE"""),"Nbareschu")</f>
        <v>Nbareschu</v>
      </c>
      <c r="B391" s="9">
        <f>IFERROR(__xludf.DUMMYFUNCTION("""COMPUTED_VALUE"""),6.373144)</f>
        <v>6.373144</v>
      </c>
      <c r="C391" s="9">
        <f>IFERROR(__xludf.DUMMYFUNCTION("""COMPUTED_VALUE"""),-72.338189)</f>
        <v>-72.338189</v>
      </c>
    </row>
    <row r="392">
      <c r="A392" s="6" t="str">
        <f>IFERROR(__xludf.DUMMYFUNCTION("""COMPUTED_VALUE"""),"AmiGueko")</f>
        <v>AmiGueko</v>
      </c>
      <c r="B392" s="9">
        <f>IFERROR(__xludf.DUMMYFUNCTION("""COMPUTED_VALUE"""),4.66775)</f>
        <v>4.66775</v>
      </c>
      <c r="C392" s="9">
        <f>IFERROR(__xludf.DUMMYFUNCTION("""COMPUTED_VALUE"""),-74.099944)</f>
        <v>-74.099944</v>
      </c>
    </row>
    <row r="393">
      <c r="A393" s="6" t="str">
        <f>IFERROR(__xludf.DUMMYFUNCTION("""COMPUTED_VALUE"""),"NMontoya (WMCO)")</f>
        <v>NMontoya (WMCO)</v>
      </c>
      <c r="B393" s="9">
        <f>IFERROR(__xludf.DUMMYFUNCTION("""COMPUTED_VALUE"""),4.669437)</f>
        <v>4.669437</v>
      </c>
      <c r="C393" s="9">
        <f>IFERROR(__xludf.DUMMYFUNCTION("""COMPUTED_VALUE"""),-74.097702)</f>
        <v>-74.097702</v>
      </c>
    </row>
    <row r="394">
      <c r="A394" s="6" t="str">
        <f>IFERROR(__xludf.DUMMYFUNCTION("""COMPUTED_VALUE"""),"Nbareschu")</f>
        <v>Nbareschu</v>
      </c>
      <c r="B394" s="9">
        <f>IFERROR(__xludf.DUMMYFUNCTION("""COMPUTED_VALUE"""),4.563622)</f>
        <v>4.563622</v>
      </c>
      <c r="C394" s="9">
        <f>IFERROR(__xludf.DUMMYFUNCTION("""COMPUTED_VALUE"""),-73.990211)</f>
        <v>-73.990211</v>
      </c>
    </row>
    <row r="395">
      <c r="A395" s="6" t="str">
        <f>IFERROR(__xludf.DUMMYFUNCTION("""COMPUTED_VALUE"""),"JJCL09")</f>
        <v>JJCL09</v>
      </c>
      <c r="B395" s="9">
        <f>IFERROR(__xludf.DUMMYFUNCTION("""COMPUTED_VALUE"""),4.736347)</f>
        <v>4.736347</v>
      </c>
      <c r="C395" s="9">
        <f>IFERROR(__xludf.DUMMYFUNCTION("""COMPUTED_VALUE"""),-75.643272)</f>
        <v>-75.643272</v>
      </c>
    </row>
    <row r="396">
      <c r="A396" s="6" t="str">
        <f>IFERROR(__xludf.DUMMYFUNCTION("""COMPUTED_VALUE"""),"JJCL09")</f>
        <v>JJCL09</v>
      </c>
      <c r="B396" s="9">
        <f>IFERROR(__xludf.DUMMYFUNCTION("""COMPUTED_VALUE"""),5.072919)</f>
        <v>5.072919</v>
      </c>
      <c r="C396" s="9">
        <f>IFERROR(__xludf.DUMMYFUNCTION("""COMPUTED_VALUE"""),-75.285392)</f>
        <v>-75.285392</v>
      </c>
    </row>
    <row r="397">
      <c r="A397" s="6" t="str">
        <f>IFERROR(__xludf.DUMMYFUNCTION("""COMPUTED_VALUE"""),"Cathetovar")</f>
        <v>Cathetovar</v>
      </c>
      <c r="B397" s="9">
        <f>IFERROR(__xludf.DUMMYFUNCTION("""COMPUTED_VALUE"""),3.237904)</f>
        <v>3.237904</v>
      </c>
      <c r="C397" s="9">
        <f>IFERROR(__xludf.DUMMYFUNCTION("""COMPUTED_VALUE"""),-75.118426)</f>
        <v>-75.118426</v>
      </c>
    </row>
    <row r="398">
      <c r="A398" s="6" t="str">
        <f>IFERROR(__xludf.DUMMYFUNCTION("""COMPUTED_VALUE"""),"Johan Andrés Toro")</f>
        <v>Johan Andrés Toro</v>
      </c>
      <c r="B398" s="9">
        <f>IFERROR(__xludf.DUMMYFUNCTION("""COMPUTED_VALUE"""),5.216618)</f>
        <v>5.216618</v>
      </c>
      <c r="C398" s="9">
        <f>IFERROR(__xludf.DUMMYFUNCTION("""COMPUTED_VALUE"""),-73.846286)</f>
        <v>-73.846286</v>
      </c>
    </row>
    <row r="399">
      <c r="A399" s="6" t="str">
        <f>IFERROR(__xludf.DUMMYFUNCTION("""COMPUTED_VALUE"""),"KingJo09")</f>
        <v>KingJo09</v>
      </c>
      <c r="B399" s="9">
        <f>IFERROR(__xludf.DUMMYFUNCTION("""COMPUTED_VALUE"""),4.59449)</f>
        <v>4.59449</v>
      </c>
      <c r="C399" s="9">
        <f>IFERROR(__xludf.DUMMYFUNCTION("""COMPUTED_VALUE"""),-74.07034)</f>
        <v>-74.07034</v>
      </c>
    </row>
    <row r="400">
      <c r="A400" s="6" t="str">
        <f>IFERROR(__xludf.DUMMYFUNCTION("""COMPUTED_VALUE"""),"Nbareschu")</f>
        <v>Nbareschu</v>
      </c>
      <c r="B400" s="9">
        <f>IFERROR(__xludf.DUMMYFUNCTION("""COMPUTED_VALUE"""),6.398675)</f>
        <v>6.398675</v>
      </c>
      <c r="C400" s="9">
        <f>IFERROR(__xludf.DUMMYFUNCTION("""COMPUTED_VALUE"""),-72.316881)</f>
        <v>-72.316881</v>
      </c>
    </row>
    <row r="401">
      <c r="A401" s="6" t="str">
        <f>IFERROR(__xludf.DUMMYFUNCTION("""COMPUTED_VALUE"""),"Luifereduardoo")</f>
        <v>Luifereduardoo</v>
      </c>
      <c r="B401" s="9">
        <f>IFERROR(__xludf.DUMMYFUNCTION("""COMPUTED_VALUE"""),6.413197)</f>
        <v>6.413197</v>
      </c>
      <c r="C401" s="9">
        <f>IFERROR(__xludf.DUMMYFUNCTION("""COMPUTED_VALUE"""),-72.337286)</f>
        <v>-72.337286</v>
      </c>
    </row>
    <row r="402">
      <c r="A402" s="6" t="str">
        <f>IFERROR(__xludf.DUMMYFUNCTION("""COMPUTED_VALUE"""),"Supertita")</f>
        <v>Supertita</v>
      </c>
      <c r="B402" s="9">
        <f>IFERROR(__xludf.DUMMYFUNCTION("""COMPUTED_VALUE"""),4.52799)</f>
        <v>4.52799</v>
      </c>
      <c r="C402" s="9">
        <f>IFERROR(__xludf.DUMMYFUNCTION("""COMPUTED_VALUE"""),-73.75284)</f>
        <v>-73.75284</v>
      </c>
    </row>
    <row r="403">
      <c r="A403" s="6" t="str">
        <f>IFERROR(__xludf.DUMMYFUNCTION("""COMPUTED_VALUE"""),"SergioM01")</f>
        <v>SergioM01</v>
      </c>
      <c r="B403" s="9">
        <f>IFERROR(__xludf.DUMMYFUNCTION("""COMPUTED_VALUE"""),4.934704)</f>
        <v>4.934704</v>
      </c>
      <c r="C403" s="9">
        <f>IFERROR(__xludf.DUMMYFUNCTION("""COMPUTED_VALUE"""),-75.34723)</f>
        <v>-75.34723</v>
      </c>
    </row>
    <row r="404">
      <c r="A404" s="6" t="str">
        <f>IFERROR(__xludf.DUMMYFUNCTION("""COMPUTED_VALUE"""),"KingJo09")</f>
        <v>KingJo09</v>
      </c>
      <c r="B404" s="9">
        <f>IFERROR(__xludf.DUMMYFUNCTION("""COMPUTED_VALUE"""),4.59449)</f>
        <v>4.59449</v>
      </c>
      <c r="C404" s="9">
        <f>IFERROR(__xludf.DUMMYFUNCTION("""COMPUTED_VALUE"""),-74.07034)</f>
        <v>-74.07034</v>
      </c>
    </row>
    <row r="405">
      <c r="A405" s="6" t="str">
        <f>IFERROR(__xludf.DUMMYFUNCTION("""COMPUTED_VALUE"""),"AmiGueko")</f>
        <v>AmiGueko</v>
      </c>
      <c r="B405" s="9">
        <f>IFERROR(__xludf.DUMMYFUNCTION("""COMPUTED_VALUE"""),4.944761)</f>
        <v>4.944761</v>
      </c>
      <c r="C405" s="9">
        <f>IFERROR(__xludf.DUMMYFUNCTION("""COMPUTED_VALUE"""),-75.135616)</f>
        <v>-75.135616</v>
      </c>
    </row>
    <row r="406">
      <c r="A406" s="6" t="str">
        <f>IFERROR(__xludf.DUMMYFUNCTION("""COMPUTED_VALUE"""),"AmiGueko")</f>
        <v>AmiGueko</v>
      </c>
      <c r="B406" s="9">
        <f>IFERROR(__xludf.DUMMYFUNCTION("""COMPUTED_VALUE"""),4.918956)</f>
        <v>4.918956</v>
      </c>
      <c r="C406" s="9">
        <f>IFERROR(__xludf.DUMMYFUNCTION("""COMPUTED_VALUE"""),-74.927765)</f>
        <v>-74.927765</v>
      </c>
    </row>
    <row r="407">
      <c r="A407" s="6" t="str">
        <f>IFERROR(__xludf.DUMMYFUNCTION("""COMPUTED_VALUE"""),"AmiGueko")</f>
        <v>AmiGueko</v>
      </c>
      <c r="B407" s="9">
        <f>IFERROR(__xludf.DUMMYFUNCTION("""COMPUTED_VALUE"""),4.975985)</f>
        <v>4.975985</v>
      </c>
      <c r="C407" s="9">
        <f>IFERROR(__xludf.DUMMYFUNCTION("""COMPUTED_VALUE"""),-75.033227)</f>
        <v>-75.033227</v>
      </c>
    </row>
    <row r="408">
      <c r="A408" s="6" t="str">
        <f>IFERROR(__xludf.DUMMYFUNCTION("""COMPUTED_VALUE"""),"Dalacuel")</f>
        <v>Dalacuel</v>
      </c>
      <c r="B408" s="9">
        <f>IFERROR(__xludf.DUMMYFUNCTION("""COMPUTED_VALUE"""),4.863661)</f>
        <v>4.863661</v>
      </c>
      <c r="C408" s="9">
        <f>IFERROR(__xludf.DUMMYFUNCTION("""COMPUTED_VALUE"""),-74.04811)</f>
        <v>-74.04811</v>
      </c>
    </row>
    <row r="409">
      <c r="A409" s="6" t="str">
        <f>IFERROR(__xludf.DUMMYFUNCTION("""COMPUTED_VALUE"""),"KingJo09")</f>
        <v>KingJo09</v>
      </c>
      <c r="B409" s="9">
        <f>IFERROR(__xludf.DUMMYFUNCTION("""COMPUTED_VALUE"""),4.59449)</f>
        <v>4.59449</v>
      </c>
      <c r="C409" s="9">
        <f>IFERROR(__xludf.DUMMYFUNCTION("""COMPUTED_VALUE"""),-74.07034)</f>
        <v>-74.07034</v>
      </c>
    </row>
    <row r="410">
      <c r="A410" s="6" t="str">
        <f>IFERROR(__xludf.DUMMYFUNCTION("""COMPUTED_VALUE"""),"AntonioEliseo")</f>
        <v>AntonioEliseo</v>
      </c>
      <c r="B410" s="9">
        <f>IFERROR(__xludf.DUMMYFUNCTION("""COMPUTED_VALUE"""),4.664552)</f>
        <v>4.664552</v>
      </c>
      <c r="C410" s="9">
        <f>IFERROR(__xludf.DUMMYFUNCTION("""COMPUTED_VALUE"""),-74.377688)</f>
        <v>-74.377688</v>
      </c>
    </row>
    <row r="411">
      <c r="A411" s="6" t="str">
        <f>IFERROR(__xludf.DUMMYFUNCTION("""COMPUTED_VALUE"""),"Jcast07")</f>
        <v>Jcast07</v>
      </c>
      <c r="B411" s="9">
        <f>IFERROR(__xludf.DUMMYFUNCTION("""COMPUTED_VALUE"""),4.935833)</f>
        <v>4.935833</v>
      </c>
      <c r="C411" s="9">
        <f>IFERROR(__xludf.DUMMYFUNCTION("""COMPUTED_VALUE"""),-73.980278)</f>
        <v>-73.980278</v>
      </c>
    </row>
    <row r="412">
      <c r="A412" s="6" t="str">
        <f>IFERROR(__xludf.DUMMYFUNCTION("""COMPUTED_VALUE"""),"Mat1318")</f>
        <v>Mat1318</v>
      </c>
      <c r="B412" s="9">
        <f>IFERROR(__xludf.DUMMYFUNCTION("""COMPUTED_VALUE"""),7.739343)</f>
        <v>7.739343</v>
      </c>
      <c r="C412" s="9">
        <f>IFERROR(__xludf.DUMMYFUNCTION("""COMPUTED_VALUE"""),-73.047775)</f>
        <v>-73.047775</v>
      </c>
    </row>
    <row r="413">
      <c r="A413" s="6" t="str">
        <f>IFERROR(__xludf.DUMMYFUNCTION("""COMPUTED_VALUE"""),"Nbareschu")</f>
        <v>Nbareschu</v>
      </c>
      <c r="B413" s="9">
        <f>IFERROR(__xludf.DUMMYFUNCTION("""COMPUTED_VALUE"""),4.863975)</f>
        <v>4.863975</v>
      </c>
      <c r="C413" s="9">
        <f>IFERROR(__xludf.DUMMYFUNCTION("""COMPUTED_VALUE"""),-74.346956)</f>
        <v>-74.346956</v>
      </c>
    </row>
    <row r="414">
      <c r="A414" s="6" t="str">
        <f>IFERROR(__xludf.DUMMYFUNCTION("""COMPUTED_VALUE"""),"Romauribe")</f>
        <v>Romauribe</v>
      </c>
      <c r="B414" s="9">
        <f>IFERROR(__xludf.DUMMYFUNCTION("""COMPUTED_VALUE"""),5.768603)</f>
        <v>5.768603</v>
      </c>
      <c r="C414" s="9">
        <f>IFERROR(__xludf.DUMMYFUNCTION("""COMPUTED_VALUE"""),-73.115372)</f>
        <v>-73.115372</v>
      </c>
    </row>
    <row r="415">
      <c r="A415" s="6" t="str">
        <f>IFERROR(__xludf.DUMMYFUNCTION("""COMPUTED_VALUE"""),"Dalacuel")</f>
        <v>Dalacuel</v>
      </c>
      <c r="B415" s="9">
        <f>IFERROR(__xludf.DUMMYFUNCTION("""COMPUTED_VALUE"""),4.885011)</f>
        <v>4.885011</v>
      </c>
      <c r="C415" s="9">
        <f>IFERROR(__xludf.DUMMYFUNCTION("""COMPUTED_VALUE"""),-74.044707)</f>
        <v>-74.044707</v>
      </c>
    </row>
    <row r="416">
      <c r="A416" s="6" t="str">
        <f>IFERROR(__xludf.DUMMYFUNCTION("""COMPUTED_VALUE"""),"Dalacuel")</f>
        <v>Dalacuel</v>
      </c>
      <c r="B416" s="9">
        <f>IFERROR(__xludf.DUMMYFUNCTION("""COMPUTED_VALUE"""),4.864626)</f>
        <v>4.864626</v>
      </c>
      <c r="C416" s="9">
        <f>IFERROR(__xludf.DUMMYFUNCTION("""COMPUTED_VALUE"""),-74.048884)</f>
        <v>-74.048884</v>
      </c>
    </row>
    <row r="417">
      <c r="A417" s="6" t="str">
        <f>IFERROR(__xludf.DUMMYFUNCTION("""COMPUTED_VALUE"""),"AmiGueko")</f>
        <v>AmiGueko</v>
      </c>
      <c r="B417" s="9">
        <f>IFERROR(__xludf.DUMMYFUNCTION("""COMPUTED_VALUE"""),4.66775)</f>
        <v>4.66775</v>
      </c>
      <c r="C417" s="9">
        <f>IFERROR(__xludf.DUMMYFUNCTION("""COMPUTED_VALUE"""),-74.099944)</f>
        <v>-74.099944</v>
      </c>
    </row>
    <row r="418">
      <c r="A418" s="6" t="str">
        <f>IFERROR(__xludf.DUMMYFUNCTION("""COMPUTED_VALUE"""),"Supertita")</f>
        <v>Supertita</v>
      </c>
      <c r="B418" s="9">
        <f>IFERROR(__xludf.DUMMYFUNCTION("""COMPUTED_VALUE"""),5.3759)</f>
        <v>5.3759</v>
      </c>
      <c r="C418" s="9">
        <f>IFERROR(__xludf.DUMMYFUNCTION("""COMPUTED_VALUE"""),-7.33132)</f>
        <v>-7.33132</v>
      </c>
    </row>
    <row r="419">
      <c r="A419" s="6" t="str">
        <f>IFERROR(__xludf.DUMMYFUNCTION("""COMPUTED_VALUE"""),"Nbareschu")</f>
        <v>Nbareschu</v>
      </c>
      <c r="B419" s="9">
        <f>IFERROR(__xludf.DUMMYFUNCTION("""COMPUTED_VALUE"""),4.894333)</f>
        <v>4.894333</v>
      </c>
      <c r="C419" s="9">
        <f>IFERROR(__xludf.DUMMYFUNCTION("""COMPUTED_VALUE"""),-74.354194)</f>
        <v>-74.354194</v>
      </c>
    </row>
    <row r="420">
      <c r="A420" s="6" t="str">
        <f>IFERROR(__xludf.DUMMYFUNCTION("""COMPUTED_VALUE"""),"Charlesjsharp")</f>
        <v>Charlesjsharp</v>
      </c>
      <c r="B420" s="9">
        <f>IFERROR(__xludf.DUMMYFUNCTION("""COMPUTED_VALUE"""),5.07)</f>
        <v>5.07</v>
      </c>
      <c r="C420" s="9">
        <f>IFERROR(__xludf.DUMMYFUNCTION("""COMPUTED_VALUE"""),-75.44)</f>
        <v>-75.44</v>
      </c>
    </row>
    <row r="421">
      <c r="A421" s="6" t="str">
        <f>IFERROR(__xludf.DUMMYFUNCTION("""COMPUTED_VALUE"""),"Charlesjsharp")</f>
        <v>Charlesjsharp</v>
      </c>
      <c r="B421" s="9">
        <f>IFERROR(__xludf.DUMMYFUNCTION("""COMPUTED_VALUE"""),5.02)</f>
        <v>5.02</v>
      </c>
      <c r="C421" s="9">
        <f>IFERROR(__xludf.DUMMYFUNCTION("""COMPUTED_VALUE"""),-75.36)</f>
        <v>-75.36</v>
      </c>
    </row>
    <row r="422">
      <c r="A422" s="6" t="str">
        <f>IFERROR(__xludf.DUMMYFUNCTION("""COMPUTED_VALUE"""),"AmiGueko")</f>
        <v>AmiGueko</v>
      </c>
      <c r="B422" s="9">
        <f>IFERROR(__xludf.DUMMYFUNCTION("""COMPUTED_VALUE"""),4.330608)</f>
        <v>4.330608</v>
      </c>
      <c r="C422" s="9">
        <f>IFERROR(__xludf.DUMMYFUNCTION("""COMPUTED_VALUE"""),-75.845553)</f>
        <v>-75.845553</v>
      </c>
    </row>
    <row r="423">
      <c r="A423" s="6" t="str">
        <f>IFERROR(__xludf.DUMMYFUNCTION("""COMPUTED_VALUE"""),"AmiGueko")</f>
        <v>AmiGueko</v>
      </c>
      <c r="B423" s="9">
        <f>IFERROR(__xludf.DUMMYFUNCTION("""COMPUTED_VALUE"""),4.66775)</f>
        <v>4.66775</v>
      </c>
      <c r="C423" s="9">
        <f>IFERROR(__xludf.DUMMYFUNCTION("""COMPUTED_VALUE"""),-74.09994)</f>
        <v>-74.09994</v>
      </c>
    </row>
    <row r="424">
      <c r="A424" s="6" t="str">
        <f>IFERROR(__xludf.DUMMYFUNCTION("""COMPUTED_VALUE"""),"AmiGueko")</f>
        <v>AmiGueko</v>
      </c>
      <c r="B424" s="9">
        <f>IFERROR(__xludf.DUMMYFUNCTION("""COMPUTED_VALUE"""),4.66775)</f>
        <v>4.66775</v>
      </c>
      <c r="C424" s="9">
        <f>IFERROR(__xludf.DUMMYFUNCTION("""COMPUTED_VALUE"""),-74.09994)</f>
        <v>-74.09994</v>
      </c>
    </row>
    <row r="425">
      <c r="A425" s="6" t="str">
        <f>IFERROR(__xludf.DUMMYFUNCTION("""COMPUTED_VALUE"""),"AmiGueko")</f>
        <v>AmiGueko</v>
      </c>
      <c r="B425" s="9">
        <f>IFERROR(__xludf.DUMMYFUNCTION("""COMPUTED_VALUE"""),4.66775)</f>
        <v>4.66775</v>
      </c>
      <c r="C425" s="9">
        <f>IFERROR(__xludf.DUMMYFUNCTION("""COMPUTED_VALUE"""),-74.099944)</f>
        <v>-74.099944</v>
      </c>
    </row>
    <row r="426">
      <c r="A426" s="6" t="str">
        <f>IFERROR(__xludf.DUMMYFUNCTION("""COMPUTED_VALUE"""),"AmiGueko")</f>
        <v>AmiGueko</v>
      </c>
      <c r="B426" s="9">
        <f>IFERROR(__xludf.DUMMYFUNCTION("""COMPUTED_VALUE"""),4.66775)</f>
        <v>4.66775</v>
      </c>
      <c r="C426" s="9">
        <f>IFERROR(__xludf.DUMMYFUNCTION("""COMPUTED_VALUE"""),-74.099944)</f>
        <v>-74.099944</v>
      </c>
    </row>
    <row r="427">
      <c r="A427" s="6" t="str">
        <f>IFERROR(__xludf.DUMMYFUNCTION("""COMPUTED_VALUE"""),"LentedeBerilo")</f>
        <v>LentedeBerilo</v>
      </c>
      <c r="B427" s="9">
        <f>IFERROR(__xludf.DUMMYFUNCTION("""COMPUTED_VALUE"""),2.128661)</f>
        <v>2.128661</v>
      </c>
      <c r="C427" s="9">
        <f>IFERROR(__xludf.DUMMYFUNCTION("""COMPUTED_VALUE"""),-76.429432)</f>
        <v>-76.429432</v>
      </c>
    </row>
    <row r="428">
      <c r="A428" s="6" t="str">
        <f>IFERROR(__xludf.DUMMYFUNCTION("""COMPUTED_VALUE"""),"Halleyuncometafotografo")</f>
        <v>Halleyuncometafotografo</v>
      </c>
      <c r="B428" s="9">
        <f>IFERROR(__xludf.DUMMYFUNCTION("""COMPUTED_VALUE"""),5.936661)</f>
        <v>5.936661</v>
      </c>
      <c r="C428" s="9">
        <f>IFERROR(__xludf.DUMMYFUNCTION("""COMPUTED_VALUE"""),-73.007276)</f>
        <v>-73.007276</v>
      </c>
    </row>
    <row r="429">
      <c r="A429" s="6" t="str">
        <f>IFERROR(__xludf.DUMMYFUNCTION("""COMPUTED_VALUE"""),"AmiGueko")</f>
        <v>AmiGueko</v>
      </c>
      <c r="B429" s="9">
        <f>IFERROR(__xludf.DUMMYFUNCTION("""COMPUTED_VALUE"""),5.075699)</f>
        <v>5.075699</v>
      </c>
      <c r="C429" s="9">
        <f>IFERROR(__xludf.DUMMYFUNCTION("""COMPUTED_VALUE"""),-75.512623)</f>
        <v>-75.512623</v>
      </c>
    </row>
    <row r="430">
      <c r="A430" s="6" t="str">
        <f>IFERROR(__xludf.DUMMYFUNCTION("""COMPUTED_VALUE"""),"AmiGueko")</f>
        <v>AmiGueko</v>
      </c>
      <c r="B430" s="9">
        <f>IFERROR(__xludf.DUMMYFUNCTION("""COMPUTED_VALUE"""),4.968263)</f>
        <v>4.968263</v>
      </c>
      <c r="C430" s="9">
        <f>IFERROR(__xludf.DUMMYFUNCTION("""COMPUTED_VALUE"""),-74.250233)</f>
        <v>-74.250233</v>
      </c>
    </row>
    <row r="431">
      <c r="A431" s="6" t="str">
        <f>IFERROR(__xludf.DUMMYFUNCTION("""COMPUTED_VALUE"""),"AmiGueko")</f>
        <v>AmiGueko</v>
      </c>
      <c r="B431" s="9">
        <f>IFERROR(__xludf.DUMMYFUNCTION("""COMPUTED_VALUE"""),4.971446)</f>
        <v>4.971446</v>
      </c>
      <c r="C431" s="9">
        <f>IFERROR(__xludf.DUMMYFUNCTION("""COMPUTED_VALUE"""),-74.293691)</f>
        <v>-74.293691</v>
      </c>
    </row>
    <row r="432">
      <c r="A432" s="6" t="str">
        <f>IFERROR(__xludf.DUMMYFUNCTION("""COMPUTED_VALUE"""),"AmiGueko")</f>
        <v>AmiGueko</v>
      </c>
      <c r="B432" s="9">
        <f>IFERROR(__xludf.DUMMYFUNCTION("""COMPUTED_VALUE"""),4.96916)</f>
        <v>4.96916</v>
      </c>
      <c r="C432" s="9">
        <f>IFERROR(__xludf.DUMMYFUNCTION("""COMPUTED_VALUE"""),-74.252786)</f>
        <v>-74.252786</v>
      </c>
    </row>
    <row r="433">
      <c r="A433" s="6" t="str">
        <f>IFERROR(__xludf.DUMMYFUNCTION("""COMPUTED_VALUE"""),"Nbareschu")</f>
        <v>Nbareschu</v>
      </c>
      <c r="B433" s="9">
        <f>IFERROR(__xludf.DUMMYFUNCTION("""COMPUTED_VALUE"""),4.861056)</f>
        <v>4.861056</v>
      </c>
      <c r="C433" s="9">
        <f>IFERROR(__xludf.DUMMYFUNCTION("""COMPUTED_VALUE"""),-74.345047)</f>
        <v>-74.345047</v>
      </c>
    </row>
    <row r="434">
      <c r="A434" s="6" t="str">
        <f>IFERROR(__xludf.DUMMYFUNCTION("""COMPUTED_VALUE"""),"LentedeBerilo")</f>
        <v>LentedeBerilo</v>
      </c>
      <c r="B434" s="9">
        <f>IFERROR(__xludf.DUMMYFUNCTION("""COMPUTED_VALUE"""),2.93884)</f>
        <v>2.93884</v>
      </c>
      <c r="C434" s="9">
        <f>IFERROR(__xludf.DUMMYFUNCTION("""COMPUTED_VALUE"""),-78.202902)</f>
        <v>-78.202902</v>
      </c>
    </row>
    <row r="435">
      <c r="A435" s="6" t="str">
        <f>IFERROR(__xludf.DUMMYFUNCTION("""COMPUTED_VALUE"""),"AmiGueko")</f>
        <v>AmiGueko</v>
      </c>
      <c r="B435" s="9">
        <f>IFERROR(__xludf.DUMMYFUNCTION("""COMPUTED_VALUE"""),4.66775)</f>
        <v>4.66775</v>
      </c>
      <c r="C435" s="9">
        <f>IFERROR(__xludf.DUMMYFUNCTION("""COMPUTED_VALUE"""),-74.09994)</f>
        <v>-74.09994</v>
      </c>
    </row>
    <row r="436">
      <c r="A436" s="6" t="str">
        <f>IFERROR(__xludf.DUMMYFUNCTION("""COMPUTED_VALUE"""),"AmiGueko")</f>
        <v>AmiGueko</v>
      </c>
      <c r="B436" s="9">
        <f>IFERROR(__xludf.DUMMYFUNCTION("""COMPUTED_VALUE"""),4.66775)</f>
        <v>4.66775</v>
      </c>
      <c r="C436" s="9">
        <f>IFERROR(__xludf.DUMMYFUNCTION("""COMPUTED_VALUE"""),-74.09994)</f>
        <v>-74.09994</v>
      </c>
    </row>
    <row r="437">
      <c r="A437" s="6" t="str">
        <f>IFERROR(__xludf.DUMMYFUNCTION("""COMPUTED_VALUE"""),"Supertita")</f>
        <v>Supertita</v>
      </c>
      <c r="B437" s="9">
        <f>IFERROR(__xludf.DUMMYFUNCTION("""COMPUTED_VALUE"""),4.51316)</f>
        <v>4.51316</v>
      </c>
      <c r="C437" s="9">
        <f>IFERROR(__xludf.DUMMYFUNCTION("""COMPUTED_VALUE"""),-74.53792)</f>
        <v>-74.53792</v>
      </c>
    </row>
    <row r="438">
      <c r="A438" s="6" t="str">
        <f>IFERROR(__xludf.DUMMYFUNCTION("""COMPUTED_VALUE"""),"Supertita")</f>
        <v>Supertita</v>
      </c>
      <c r="B438" s="9">
        <f>IFERROR(__xludf.DUMMYFUNCTION("""COMPUTED_VALUE"""),4.668211)</f>
        <v>4.668211</v>
      </c>
      <c r="C438" s="9">
        <f>IFERROR(__xludf.DUMMYFUNCTION("""COMPUTED_VALUE"""),-74.100198)</f>
        <v>-74.100198</v>
      </c>
    </row>
    <row r="439">
      <c r="A439" s="6" t="str">
        <f>IFERROR(__xludf.DUMMYFUNCTION("""COMPUTED_VALUE"""),"Dalacuel")</f>
        <v>Dalacuel</v>
      </c>
      <c r="B439" s="9">
        <f>IFERROR(__xludf.DUMMYFUNCTION("""COMPUTED_VALUE"""),4.864625)</f>
        <v>4.864625</v>
      </c>
      <c r="C439" s="9">
        <f>IFERROR(__xludf.DUMMYFUNCTION("""COMPUTED_VALUE"""),-74.048879)</f>
        <v>-74.048879</v>
      </c>
    </row>
    <row r="440">
      <c r="A440" s="6" t="str">
        <f>IFERROR(__xludf.DUMMYFUNCTION("""COMPUTED_VALUE"""),"Rodrigomacrophoto")</f>
        <v>Rodrigomacrophoto</v>
      </c>
      <c r="B440" s="9">
        <f>IFERROR(__xludf.DUMMYFUNCTION("""COMPUTED_VALUE"""),4.794479)</f>
        <v>4.794479</v>
      </c>
      <c r="C440" s="9">
        <f>IFERROR(__xludf.DUMMYFUNCTION("""COMPUTED_VALUE"""),-73.908852)</f>
        <v>-73.908852</v>
      </c>
    </row>
    <row r="441">
      <c r="A441" s="6" t="str">
        <f>IFERROR(__xludf.DUMMYFUNCTION("""COMPUTED_VALUE"""),"Supertita")</f>
        <v>Supertita</v>
      </c>
      <c r="B441" s="9">
        <f>IFERROR(__xludf.DUMMYFUNCTION("""COMPUTED_VALUE"""),4.51316)</f>
        <v>4.51316</v>
      </c>
      <c r="C441" s="9">
        <f>IFERROR(__xludf.DUMMYFUNCTION("""COMPUTED_VALUE"""),-74.53792)</f>
        <v>-74.53792</v>
      </c>
    </row>
    <row r="442">
      <c r="A442" s="6" t="str">
        <f>IFERROR(__xludf.DUMMYFUNCTION("""COMPUTED_VALUE"""),"Nbareschu")</f>
        <v>Nbareschu</v>
      </c>
      <c r="B442" s="9">
        <f>IFERROR(__xludf.DUMMYFUNCTION("""COMPUTED_VALUE"""),6.370983)</f>
        <v>6.370983</v>
      </c>
      <c r="C442" s="9">
        <f>IFERROR(__xludf.DUMMYFUNCTION("""COMPUTED_VALUE"""),-72.311706)</f>
        <v>-72.311706</v>
      </c>
    </row>
    <row r="443">
      <c r="A443" s="6" t="str">
        <f>IFERROR(__xludf.DUMMYFUNCTION("""COMPUTED_VALUE"""),"NMontoya (WMCO)")</f>
        <v>NMontoya (WMCO)</v>
      </c>
      <c r="B443" s="9">
        <f>IFERROR(__xludf.DUMMYFUNCTION("""COMPUTED_VALUE"""),4.669437)</f>
        <v>4.669437</v>
      </c>
      <c r="C443" s="9">
        <f>IFERROR(__xludf.DUMMYFUNCTION("""COMPUTED_VALUE"""),-74.097702)</f>
        <v>-74.097702</v>
      </c>
    </row>
    <row r="444">
      <c r="A444" s="6" t="str">
        <f>IFERROR(__xludf.DUMMYFUNCTION("""COMPUTED_VALUE"""),"NMontoya (WMCO)")</f>
        <v>NMontoya (WMCO)</v>
      </c>
      <c r="B444" s="9">
        <f>IFERROR(__xludf.DUMMYFUNCTION("""COMPUTED_VALUE"""),4.669437)</f>
        <v>4.669437</v>
      </c>
      <c r="C444" s="9">
        <f>IFERROR(__xludf.DUMMYFUNCTION("""COMPUTED_VALUE"""),-74.097702)</f>
        <v>-74.097702</v>
      </c>
    </row>
    <row r="445">
      <c r="A445" s="6" t="str">
        <f>IFERROR(__xludf.DUMMYFUNCTION("""COMPUTED_VALUE"""),"Estudiante0001")</f>
        <v>Estudiante0001</v>
      </c>
      <c r="B445" s="9">
        <f>IFERROR(__xludf.DUMMYFUNCTION("""COMPUTED_VALUE"""),4.840614)</f>
        <v>4.840614</v>
      </c>
      <c r="C445" s="9">
        <f>IFERROR(__xludf.DUMMYFUNCTION("""COMPUTED_VALUE"""),-73.83284)</f>
        <v>-73.83284</v>
      </c>
    </row>
    <row r="446">
      <c r="A446" s="6" t="str">
        <f>IFERROR(__xludf.DUMMYFUNCTION("""COMPUTED_VALUE"""),"Estudiante0001")</f>
        <v>Estudiante0001</v>
      </c>
      <c r="B446" s="9">
        <f>IFERROR(__xludf.DUMMYFUNCTION("""COMPUTED_VALUE"""),4.843117)</f>
        <v>4.843117</v>
      </c>
      <c r="C446" s="9">
        <f>IFERROR(__xludf.DUMMYFUNCTION("""COMPUTED_VALUE"""),-73.831432)</f>
        <v>-73.831432</v>
      </c>
    </row>
    <row r="447">
      <c r="A447" s="6" t="str">
        <f>IFERROR(__xludf.DUMMYFUNCTION("""COMPUTED_VALUE"""),"Estudiante0001")</f>
        <v>Estudiante0001</v>
      </c>
      <c r="B447" s="9">
        <f>IFERROR(__xludf.DUMMYFUNCTION("""COMPUTED_VALUE"""),4.840586)</f>
        <v>4.840586</v>
      </c>
      <c r="C447" s="9">
        <f>IFERROR(__xludf.DUMMYFUNCTION("""COMPUTED_VALUE"""),-73.832858)</f>
        <v>-73.832858</v>
      </c>
    </row>
    <row r="448">
      <c r="A448" s="6" t="str">
        <f>IFERROR(__xludf.DUMMYFUNCTION("""COMPUTED_VALUE"""),"Sophy Martinez")</f>
        <v>Sophy Martinez</v>
      </c>
      <c r="B448" s="9">
        <f>IFERROR(__xludf.DUMMYFUNCTION("""COMPUTED_VALUE"""),4.577802)</f>
        <v>4.577802</v>
      </c>
      <c r="C448" s="9">
        <f>IFERROR(__xludf.DUMMYFUNCTION("""COMPUTED_VALUE"""),-74.054773)</f>
        <v>-74.054773</v>
      </c>
    </row>
    <row r="449">
      <c r="A449" s="6" t="str">
        <f>IFERROR(__xludf.DUMMYFUNCTION("""COMPUTED_VALUE"""),"Sophy Martinez")</f>
        <v>Sophy Martinez</v>
      </c>
      <c r="B449" s="9">
        <f>IFERROR(__xludf.DUMMYFUNCTION("""COMPUTED_VALUE"""),4.695205)</f>
        <v>4.695205</v>
      </c>
      <c r="C449" s="9">
        <f>IFERROR(__xludf.DUMMYFUNCTION("""COMPUTED_VALUE"""),-74.093442)</f>
        <v>-74.093442</v>
      </c>
    </row>
    <row r="450">
      <c r="A450" s="6" t="str">
        <f>IFERROR(__xludf.DUMMYFUNCTION("""COMPUTED_VALUE"""),"Nbareschu")</f>
        <v>Nbareschu</v>
      </c>
      <c r="B450" s="9">
        <f>IFERROR(__xludf.DUMMYFUNCTION("""COMPUTED_VALUE"""),4.854756)</f>
        <v>4.854756</v>
      </c>
      <c r="C450" s="9">
        <f>IFERROR(__xludf.DUMMYFUNCTION("""COMPUTED_VALUE"""),-74.3452)</f>
        <v>-74.3452</v>
      </c>
    </row>
    <row r="451">
      <c r="A451" s="6" t="str">
        <f>IFERROR(__xludf.DUMMYFUNCTION("""COMPUTED_VALUE"""),"Estudiante0001")</f>
        <v>Estudiante0001</v>
      </c>
      <c r="B451" s="9">
        <f>IFERROR(__xludf.DUMMYFUNCTION("""COMPUTED_VALUE"""),4.843085)</f>
        <v>4.843085</v>
      </c>
      <c r="C451" s="9">
        <f>IFERROR(__xludf.DUMMYFUNCTION("""COMPUTED_VALUE"""),-73.831453)</f>
        <v>-73.831453</v>
      </c>
    </row>
    <row r="452">
      <c r="A452" s="6" t="str">
        <f>IFERROR(__xludf.DUMMYFUNCTION("""COMPUTED_VALUE"""),"Nbareschu")</f>
        <v>Nbareschu</v>
      </c>
      <c r="B452" s="9">
        <f>IFERROR(__xludf.DUMMYFUNCTION("""COMPUTED_VALUE"""),4.557642)</f>
        <v>4.557642</v>
      </c>
      <c r="C452" s="9">
        <f>IFERROR(__xludf.DUMMYFUNCTION("""COMPUTED_VALUE"""),-73.962394)</f>
        <v>-73.962394</v>
      </c>
    </row>
    <row r="453">
      <c r="A453" s="6" t="str">
        <f>IFERROR(__xludf.DUMMYFUNCTION("""COMPUTED_VALUE"""),"Zolsemiya")</f>
        <v>Zolsemiya</v>
      </c>
      <c r="B453" s="9">
        <f>IFERROR(__xludf.DUMMYFUNCTION("""COMPUTED_VALUE"""),4.172187)</f>
        <v>4.172187</v>
      </c>
      <c r="C453" s="9">
        <f>IFERROR(__xludf.DUMMYFUNCTION("""COMPUTED_VALUE"""),-74.146794)</f>
        <v>-74.146794</v>
      </c>
    </row>
    <row r="454">
      <c r="A454" s="6" t="str">
        <f>IFERROR(__xludf.DUMMYFUNCTION("""COMPUTED_VALUE"""),"Elprofeta91")</f>
        <v>Elprofeta91</v>
      </c>
      <c r="B454" s="9">
        <f>IFERROR(__xludf.DUMMYFUNCTION("""COMPUTED_VALUE"""),8.076089)</f>
        <v>8.076089</v>
      </c>
      <c r="C454" s="9">
        <f>IFERROR(__xludf.DUMMYFUNCTION("""COMPUTED_VALUE"""),-74.78295)</f>
        <v>-74.78295</v>
      </c>
    </row>
    <row r="455">
      <c r="A455" s="6" t="str">
        <f>IFERROR(__xludf.DUMMYFUNCTION("""COMPUTED_VALUE"""),"Nbareschu")</f>
        <v>Nbareschu</v>
      </c>
      <c r="B455" s="9">
        <f>IFERROR(__xludf.DUMMYFUNCTION("""COMPUTED_VALUE"""),4.900175)</f>
        <v>4.900175</v>
      </c>
      <c r="C455" s="9">
        <f>IFERROR(__xludf.DUMMYFUNCTION("""COMPUTED_VALUE"""),-74.324919)</f>
        <v>-74.324919</v>
      </c>
    </row>
    <row r="456">
      <c r="A456" s="6" t="str">
        <f>IFERROR(__xludf.DUMMYFUNCTION("""COMPUTED_VALUE"""),"Project5443")</f>
        <v>Project5443</v>
      </c>
      <c r="B456" s="9">
        <f>IFERROR(__xludf.DUMMYFUNCTION("""COMPUTED_VALUE"""),4.66788)</f>
        <v>4.66788</v>
      </c>
      <c r="C456" s="9">
        <f>IFERROR(__xludf.DUMMYFUNCTION("""COMPUTED_VALUE"""),-74.099779)</f>
        <v>-74.099779</v>
      </c>
    </row>
    <row r="457">
      <c r="A457" s="6" t="str">
        <f>IFERROR(__xludf.DUMMYFUNCTION("""COMPUTED_VALUE"""),"XimmoY")</f>
        <v>XimmoY</v>
      </c>
      <c r="B457" s="9">
        <f>IFERROR(__xludf.DUMMYFUNCTION("""COMPUTED_VALUE"""),5.86224)</f>
        <v>5.86224</v>
      </c>
      <c r="C457" s="9">
        <f>IFERROR(__xludf.DUMMYFUNCTION("""COMPUTED_VALUE"""),-74.87047)</f>
        <v>-74.87047</v>
      </c>
    </row>
    <row r="458">
      <c r="A458" s="6" t="str">
        <f>IFERROR(__xludf.DUMMYFUNCTION("""COMPUTED_VALUE"""),"Diferoch")</f>
        <v>Diferoch</v>
      </c>
      <c r="B458" s="9">
        <f>IFERROR(__xludf.DUMMYFUNCTION("""COMPUTED_VALUE"""),7.08482)</f>
        <v>7.08482</v>
      </c>
      <c r="C458" s="9">
        <f>IFERROR(__xludf.DUMMYFUNCTION("""COMPUTED_VALUE"""),-73.864007)</f>
        <v>-73.864007</v>
      </c>
    </row>
    <row r="459">
      <c r="A459" s="6" t="str">
        <f>IFERROR(__xludf.DUMMYFUNCTION("""COMPUTED_VALUE"""),"Diferoch")</f>
        <v>Diferoch</v>
      </c>
      <c r="B459" s="9">
        <f>IFERROR(__xludf.DUMMYFUNCTION("""COMPUTED_VALUE"""),7.073068)</f>
        <v>7.073068</v>
      </c>
      <c r="C459" s="9">
        <f>IFERROR(__xludf.DUMMYFUNCTION("""COMPUTED_VALUE"""),-73.869392)</f>
        <v>-73.869392</v>
      </c>
    </row>
    <row r="460">
      <c r="A460" s="6" t="str">
        <f>IFERROR(__xludf.DUMMYFUNCTION("""COMPUTED_VALUE"""),"Diferoch")</f>
        <v>Diferoch</v>
      </c>
      <c r="B460" s="9">
        <f>IFERROR(__xludf.DUMMYFUNCTION("""COMPUTED_VALUE"""),7.084927)</f>
        <v>7.084927</v>
      </c>
      <c r="C460" s="9">
        <f>IFERROR(__xludf.DUMMYFUNCTION("""COMPUTED_VALUE"""),-73.864098)</f>
        <v>-73.864098</v>
      </c>
    </row>
    <row r="461">
      <c r="A461" s="6" t="str">
        <f>IFERROR(__xludf.DUMMYFUNCTION("""COMPUTED_VALUE"""),"Diferoch")</f>
        <v>Diferoch</v>
      </c>
      <c r="B461" s="9">
        <f>IFERROR(__xludf.DUMMYFUNCTION("""COMPUTED_VALUE"""),5.625004)</f>
        <v>5.625004</v>
      </c>
      <c r="C461" s="9">
        <f>IFERROR(__xludf.DUMMYFUNCTION("""COMPUTED_VALUE"""),-77.420867)</f>
        <v>-77.420867</v>
      </c>
    </row>
    <row r="462">
      <c r="A462" s="6" t="str">
        <f>IFERROR(__xludf.DUMMYFUNCTION("""COMPUTED_VALUE"""),"Diferoch")</f>
        <v>Diferoch</v>
      </c>
      <c r="B462" s="9">
        <f>IFERROR(__xludf.DUMMYFUNCTION("""COMPUTED_VALUE"""),11.141683)</f>
        <v>11.141683</v>
      </c>
      <c r="C462" s="9">
        <f>IFERROR(__xludf.DUMMYFUNCTION("""COMPUTED_VALUE"""),-74.226281)</f>
        <v>-74.226281</v>
      </c>
    </row>
    <row r="463">
      <c r="A463" s="6" t="str">
        <f>IFERROR(__xludf.DUMMYFUNCTION("""COMPUTED_VALUE"""),"XimmoY")</f>
        <v>XimmoY</v>
      </c>
      <c r="B463" s="9">
        <f>IFERROR(__xludf.DUMMYFUNCTION("""COMPUTED_VALUE"""),5.86224)</f>
        <v>5.86224</v>
      </c>
      <c r="C463" s="9">
        <f>IFERROR(__xludf.DUMMYFUNCTION("""COMPUTED_VALUE"""),-74.87047)</f>
        <v>-74.87047</v>
      </c>
    </row>
    <row r="464">
      <c r="A464" s="6" t="str">
        <f>IFERROR(__xludf.DUMMYFUNCTION("""COMPUTED_VALUE"""),"Johan Andrés Toro")</f>
        <v>Johan Andrés Toro</v>
      </c>
      <c r="B464" s="9">
        <f>IFERROR(__xludf.DUMMYFUNCTION("""COMPUTED_VALUE"""),4.574527)</f>
        <v>4.574527</v>
      </c>
      <c r="C464" s="9">
        <f>IFERROR(__xludf.DUMMYFUNCTION("""COMPUTED_VALUE"""),-74.293887)</f>
        <v>-74.293887</v>
      </c>
    </row>
    <row r="465">
      <c r="A465" s="6" t="str">
        <f>IFERROR(__xludf.DUMMYFUNCTION("""COMPUTED_VALUE"""),"NMontoya (WMCO)")</f>
        <v>NMontoya (WMCO)</v>
      </c>
      <c r="B465" s="9">
        <f>IFERROR(__xludf.DUMMYFUNCTION("""COMPUTED_VALUE"""),4.669437)</f>
        <v>4.669437</v>
      </c>
      <c r="C465" s="9">
        <f>IFERROR(__xludf.DUMMYFUNCTION("""COMPUTED_VALUE"""),-74.097702)</f>
        <v>-74.097702</v>
      </c>
    </row>
    <row r="466">
      <c r="A466" s="6" t="str">
        <f>IFERROR(__xludf.DUMMYFUNCTION("""COMPUTED_VALUE"""),"AmiGueko")</f>
        <v>AmiGueko</v>
      </c>
      <c r="B466" s="9">
        <f>IFERROR(__xludf.DUMMYFUNCTION("""COMPUTED_VALUE"""),4.66775)</f>
        <v>4.66775</v>
      </c>
      <c r="C466" s="9">
        <f>IFERROR(__xludf.DUMMYFUNCTION("""COMPUTED_VALUE"""),-74.099944)</f>
        <v>-74.099944</v>
      </c>
    </row>
    <row r="467">
      <c r="A467" s="6" t="str">
        <f>IFERROR(__xludf.DUMMYFUNCTION("""COMPUTED_VALUE"""),"Johannelob")</f>
        <v>Johannelob</v>
      </c>
      <c r="B467" s="9">
        <f>IFERROR(__xludf.DUMMYFUNCTION("""COMPUTED_VALUE"""),10.425)</f>
        <v>10.425</v>
      </c>
      <c r="C467" s="9">
        <f>IFERROR(__xludf.DUMMYFUNCTION("""COMPUTED_VALUE"""),-75.540278)</f>
        <v>-75.540278</v>
      </c>
    </row>
    <row r="468">
      <c r="A468" s="6" t="str">
        <f>IFERROR(__xludf.DUMMYFUNCTION("""COMPUTED_VALUE"""),"Elprofeta91")</f>
        <v>Elprofeta91</v>
      </c>
      <c r="B468" s="9">
        <f>IFERROR(__xludf.DUMMYFUNCTION("""COMPUTED_VALUE"""),8.078439)</f>
        <v>8.078439</v>
      </c>
      <c r="C468" s="9">
        <f>IFERROR(__xludf.DUMMYFUNCTION("""COMPUTED_VALUE"""),-74.781)</f>
        <v>-74.781</v>
      </c>
    </row>
    <row r="469">
      <c r="A469" s="6" t="str">
        <f>IFERROR(__xludf.DUMMYFUNCTION("""COMPUTED_VALUE"""),"Elprofeta91")</f>
        <v>Elprofeta91</v>
      </c>
      <c r="B469" s="9">
        <f>IFERROR(__xludf.DUMMYFUNCTION("""COMPUTED_VALUE"""),8.072097)</f>
        <v>8.072097</v>
      </c>
      <c r="C469" s="9">
        <f>IFERROR(__xludf.DUMMYFUNCTION("""COMPUTED_VALUE"""),-74.78615)</f>
        <v>-74.78615</v>
      </c>
    </row>
    <row r="470">
      <c r="A470" s="6" t="str">
        <f>IFERROR(__xludf.DUMMYFUNCTION("""COMPUTED_VALUE"""),"Elprofeta91")</f>
        <v>Elprofeta91</v>
      </c>
      <c r="B470" s="9">
        <f>IFERROR(__xludf.DUMMYFUNCTION("""COMPUTED_VALUE"""),8.072069)</f>
        <v>8.072069</v>
      </c>
      <c r="C470" s="9">
        <f>IFERROR(__xludf.DUMMYFUNCTION("""COMPUTED_VALUE"""),-74.786211)</f>
        <v>-74.786211</v>
      </c>
    </row>
    <row r="471">
      <c r="A471" s="6" t="str">
        <f>IFERROR(__xludf.DUMMYFUNCTION("""COMPUTED_VALUE"""),"Kithpro")</f>
        <v>Kithpro</v>
      </c>
      <c r="B471" s="9">
        <f>IFERROR(__xludf.DUMMYFUNCTION("""COMPUTED_VALUE"""),4.560439)</f>
        <v>4.560439</v>
      </c>
      <c r="C471" s="9">
        <f>IFERROR(__xludf.DUMMYFUNCTION("""COMPUTED_VALUE"""),-74.003639)</f>
        <v>-74.003639</v>
      </c>
    </row>
    <row r="472">
      <c r="A472" s="6" t="str">
        <f>IFERROR(__xludf.DUMMYFUNCTION("""COMPUTED_VALUE"""),"AmiGueko")</f>
        <v>AmiGueko</v>
      </c>
      <c r="B472" s="9">
        <f>IFERROR(__xludf.DUMMYFUNCTION("""COMPUTED_VALUE"""),4.965657)</f>
        <v>4.965657</v>
      </c>
      <c r="C472" s="9">
        <f>IFERROR(__xludf.DUMMYFUNCTION("""COMPUTED_VALUE"""),-75.263083)</f>
        <v>-75.263083</v>
      </c>
    </row>
    <row r="473">
      <c r="A473" s="6" t="str">
        <f>IFERROR(__xludf.DUMMYFUNCTION("""COMPUTED_VALUE"""),"Dalacuel")</f>
        <v>Dalacuel</v>
      </c>
      <c r="B473" s="9">
        <f>IFERROR(__xludf.DUMMYFUNCTION("""COMPUTED_VALUE"""),4.864712)</f>
        <v>4.864712</v>
      </c>
      <c r="C473" s="9">
        <f>IFERROR(__xludf.DUMMYFUNCTION("""COMPUTED_VALUE"""),-74.040156)</f>
        <v>-74.040156</v>
      </c>
    </row>
    <row r="474">
      <c r="A474" s="6" t="str">
        <f>IFERROR(__xludf.DUMMYFUNCTION("""COMPUTED_VALUE"""),"Luifereduardoo")</f>
        <v>Luifereduardoo</v>
      </c>
      <c r="B474" s="9">
        <f>IFERROR(__xludf.DUMMYFUNCTION("""COMPUTED_VALUE"""),11.209034)</f>
        <v>11.209034</v>
      </c>
      <c r="C474" s="9">
        <f>IFERROR(__xludf.DUMMYFUNCTION("""COMPUTED_VALUE"""),-74.239731)</f>
        <v>-74.239731</v>
      </c>
    </row>
    <row r="475">
      <c r="A475" s="6" t="str">
        <f>IFERROR(__xludf.DUMMYFUNCTION("""COMPUTED_VALUE"""),"Nbareschu")</f>
        <v>Nbareschu</v>
      </c>
      <c r="B475" s="9">
        <f>IFERROR(__xludf.DUMMYFUNCTION("""COMPUTED_VALUE"""),6.370744)</f>
        <v>6.370744</v>
      </c>
      <c r="C475" s="9">
        <f>IFERROR(__xludf.DUMMYFUNCTION("""COMPUTED_VALUE"""),-72.314972)</f>
        <v>-72.314972</v>
      </c>
    </row>
    <row r="476">
      <c r="A476" s="6" t="str">
        <f>IFERROR(__xludf.DUMMYFUNCTION("""COMPUTED_VALUE"""),"AmiGueko")</f>
        <v>AmiGueko</v>
      </c>
      <c r="B476" s="9">
        <f>IFERROR(__xludf.DUMMYFUNCTION("""COMPUTED_VALUE"""),4.66775)</f>
        <v>4.66775</v>
      </c>
      <c r="C476" s="9">
        <f>IFERROR(__xludf.DUMMYFUNCTION("""COMPUTED_VALUE"""),-74.099944)</f>
        <v>-74.099944</v>
      </c>
    </row>
    <row r="477">
      <c r="A477" s="6" t="str">
        <f>IFERROR(__xludf.DUMMYFUNCTION("""COMPUTED_VALUE"""),"AmiGueko")</f>
        <v>AmiGueko</v>
      </c>
      <c r="B477" s="9">
        <f>IFERROR(__xludf.DUMMYFUNCTION("""COMPUTED_VALUE"""),4.66775)</f>
        <v>4.66775</v>
      </c>
      <c r="C477" s="9">
        <f>IFERROR(__xludf.DUMMYFUNCTION("""COMPUTED_VALUE"""),-74.099944)</f>
        <v>-74.099944</v>
      </c>
    </row>
    <row r="478">
      <c r="A478" s="6" t="str">
        <f>IFERROR(__xludf.DUMMYFUNCTION("""COMPUTED_VALUE"""),"Natlycu")</f>
        <v>Natlycu</v>
      </c>
      <c r="B478" s="9">
        <f>IFERROR(__xludf.DUMMYFUNCTION("""COMPUTED_VALUE"""),4.655868)</f>
        <v>4.655868</v>
      </c>
      <c r="C478" s="9">
        <f>IFERROR(__xludf.DUMMYFUNCTION("""COMPUTED_VALUE"""),-74.095259)</f>
        <v>-74.095259</v>
      </c>
    </row>
    <row r="479">
      <c r="A479" s="6" t="str">
        <f>IFERROR(__xludf.DUMMYFUNCTION("""COMPUTED_VALUE"""),"KingJo09")</f>
        <v>KingJo09</v>
      </c>
      <c r="B479" s="9">
        <f>IFERROR(__xludf.DUMMYFUNCTION("""COMPUTED_VALUE"""),4.59449)</f>
        <v>4.59449</v>
      </c>
      <c r="C479" s="9">
        <f>IFERROR(__xludf.DUMMYFUNCTION("""COMPUTED_VALUE"""),-74.07034)</f>
        <v>-74.07034</v>
      </c>
    </row>
    <row r="480">
      <c r="A480" s="6" t="str">
        <f>IFERROR(__xludf.DUMMYFUNCTION("""COMPUTED_VALUE"""),"JJCL09")</f>
        <v>JJCL09</v>
      </c>
      <c r="B480" s="9">
        <f>IFERROR(__xludf.DUMMYFUNCTION("""COMPUTED_VALUE"""),5.566203)</f>
        <v>5.566203</v>
      </c>
      <c r="C480" s="9">
        <f>IFERROR(__xludf.DUMMYFUNCTION("""COMPUTED_VALUE"""),-74.907119)</f>
        <v>-74.907119</v>
      </c>
    </row>
    <row r="481">
      <c r="A481" s="6" t="str">
        <f>IFERROR(__xludf.DUMMYFUNCTION("""COMPUTED_VALUE"""),"Elprofeta91")</f>
        <v>Elprofeta91</v>
      </c>
      <c r="B481" s="9">
        <f>IFERROR(__xludf.DUMMYFUNCTION("""COMPUTED_VALUE"""),8.067128)</f>
        <v>8.067128</v>
      </c>
      <c r="C481" s="9">
        <f>IFERROR(__xludf.DUMMYFUNCTION("""COMPUTED_VALUE"""),-74.800269)</f>
        <v>-74.800269</v>
      </c>
    </row>
    <row r="482">
      <c r="A482" s="6" t="str">
        <f>IFERROR(__xludf.DUMMYFUNCTION("""COMPUTED_VALUE"""),"AmiGueko")</f>
        <v>AmiGueko</v>
      </c>
      <c r="B482" s="9">
        <f>IFERROR(__xludf.DUMMYFUNCTION("""COMPUTED_VALUE"""),4.66775)</f>
        <v>4.66775</v>
      </c>
      <c r="C482" s="9">
        <f>IFERROR(__xludf.DUMMYFUNCTION("""COMPUTED_VALUE"""),-74.099944)</f>
        <v>-74.099944</v>
      </c>
    </row>
    <row r="483">
      <c r="A483" s="6" t="str">
        <f>IFERROR(__xludf.DUMMYFUNCTION("""COMPUTED_VALUE"""),"AmiGueko")</f>
        <v>AmiGueko</v>
      </c>
      <c r="B483" s="9">
        <f>IFERROR(__xludf.DUMMYFUNCTION("""COMPUTED_VALUE"""),4.66775)</f>
        <v>4.66775</v>
      </c>
      <c r="C483" s="9">
        <f>IFERROR(__xludf.DUMMYFUNCTION("""COMPUTED_VALUE"""),-74.099944)</f>
        <v>-74.099944</v>
      </c>
    </row>
    <row r="484">
      <c r="A484" s="6" t="str">
        <f>IFERROR(__xludf.DUMMYFUNCTION("""COMPUTED_VALUE"""),"Supertita")</f>
        <v>Supertita</v>
      </c>
      <c r="B484" s="9">
        <f>IFERROR(__xludf.DUMMYFUNCTION("""COMPUTED_VALUE"""),5.3759)</f>
        <v>5.3759</v>
      </c>
      <c r="C484" s="9">
        <f>IFERROR(__xludf.DUMMYFUNCTION("""COMPUTED_VALUE"""),-7.33132)</f>
        <v>-7.33132</v>
      </c>
    </row>
    <row r="485">
      <c r="A485" s="6" t="str">
        <f>IFERROR(__xludf.DUMMYFUNCTION("""COMPUTED_VALUE"""),"Lamoraleja")</f>
        <v>Lamoraleja</v>
      </c>
      <c r="B485" s="9">
        <f>IFERROR(__xludf.DUMMYFUNCTION("""COMPUTED_VALUE"""),3.957875)</f>
        <v>3.957875</v>
      </c>
      <c r="C485" s="9">
        <f>IFERROR(__xludf.DUMMYFUNCTION("""COMPUTED_VALUE"""),-77.377358)</f>
        <v>-77.377358</v>
      </c>
    </row>
    <row r="486">
      <c r="A486" s="6" t="str">
        <f>IFERROR(__xludf.DUMMYFUNCTION("""COMPUTED_VALUE"""),"KingJo09")</f>
        <v>KingJo09</v>
      </c>
      <c r="B486" s="9">
        <f>IFERROR(__xludf.DUMMYFUNCTION("""COMPUTED_VALUE"""),4.59449)</f>
        <v>4.59449</v>
      </c>
      <c r="C486" s="9">
        <f>IFERROR(__xludf.DUMMYFUNCTION("""COMPUTED_VALUE"""),-74.07034)</f>
        <v>-74.07034</v>
      </c>
    </row>
    <row r="487">
      <c r="A487" s="6" t="str">
        <f>IFERROR(__xludf.DUMMYFUNCTION("""COMPUTED_VALUE"""),"Rodrigomacrophoto")</f>
        <v>Rodrigomacrophoto</v>
      </c>
      <c r="B487" s="9">
        <f>IFERROR(__xludf.DUMMYFUNCTION("""COMPUTED_VALUE"""),4.848476)</f>
        <v>4.848476</v>
      </c>
      <c r="C487" s="9">
        <f>IFERROR(__xludf.DUMMYFUNCTION("""COMPUTED_VALUE"""),-74.050662)</f>
        <v>-74.050662</v>
      </c>
    </row>
    <row r="488">
      <c r="A488" s="6" t="str">
        <f>IFERROR(__xludf.DUMMYFUNCTION("""COMPUTED_VALUE"""),"Zolsemiya")</f>
        <v>Zolsemiya</v>
      </c>
      <c r="B488" s="9">
        <f>IFERROR(__xludf.DUMMYFUNCTION("""COMPUTED_VALUE"""),4.172187)</f>
        <v>4.172187</v>
      </c>
      <c r="C488" s="9">
        <f>IFERROR(__xludf.DUMMYFUNCTION("""COMPUTED_VALUE"""),-74.146794)</f>
        <v>-74.146794</v>
      </c>
    </row>
    <row r="489">
      <c r="A489" s="6" t="str">
        <f>IFERROR(__xludf.DUMMYFUNCTION("""COMPUTED_VALUE"""),"JuanitoCISF")</f>
        <v>JuanitoCISF</v>
      </c>
      <c r="B489" s="9">
        <f>IFERROR(__xludf.DUMMYFUNCTION("""COMPUTED_VALUE"""),5.136483)</f>
        <v>5.136483</v>
      </c>
      <c r="C489" s="9">
        <f>IFERROR(__xludf.DUMMYFUNCTION("""COMPUTED_VALUE"""),-73.9953)</f>
        <v>-73.9953</v>
      </c>
    </row>
    <row r="490">
      <c r="A490" s="6" t="str">
        <f>IFERROR(__xludf.DUMMYFUNCTION("""COMPUTED_VALUE"""),"Sebastiánlic23")</f>
        <v>Sebastiánlic23</v>
      </c>
      <c r="B490" s="9">
        <f>IFERROR(__xludf.DUMMYFUNCTION("""COMPUTED_VALUE"""),6.218333)</f>
        <v>6.218333</v>
      </c>
      <c r="C490" s="9">
        <f>IFERROR(__xludf.DUMMYFUNCTION("""COMPUTED_VALUE"""),-75.165556)</f>
        <v>-75.165556</v>
      </c>
    </row>
    <row r="491">
      <c r="A491" s="6" t="str">
        <f>IFERROR(__xludf.DUMMYFUNCTION("""COMPUTED_VALUE"""),"Sebastian Durango")</f>
        <v>Sebastian Durango</v>
      </c>
      <c r="B491" s="9">
        <f>IFERROR(__xludf.DUMMYFUNCTION("""COMPUTED_VALUE"""),4.258757)</f>
        <v>4.258757</v>
      </c>
      <c r="C491" s="9">
        <f>IFERROR(__xludf.DUMMYFUNCTION("""COMPUTED_VALUE"""),-75.923736)</f>
        <v>-75.923736</v>
      </c>
    </row>
    <row r="492">
      <c r="A492" s="6" t="str">
        <f>IFERROR(__xludf.DUMMYFUNCTION("""COMPUTED_VALUE"""),"Sebastian Durango")</f>
        <v>Sebastian Durango</v>
      </c>
      <c r="B492" s="9">
        <f>IFERROR(__xludf.DUMMYFUNCTION("""COMPUTED_VALUE"""),4.258757)</f>
        <v>4.258757</v>
      </c>
      <c r="C492" s="9">
        <f>IFERROR(__xludf.DUMMYFUNCTION("""COMPUTED_VALUE"""),-75.923736)</f>
        <v>-75.923736</v>
      </c>
    </row>
    <row r="493">
      <c r="A493" s="6" t="str">
        <f>IFERROR(__xludf.DUMMYFUNCTION("""COMPUTED_VALUE"""),"Sebastian Durango")</f>
        <v>Sebastian Durango</v>
      </c>
      <c r="B493" s="9">
        <f>IFERROR(__xludf.DUMMYFUNCTION("""COMPUTED_VALUE"""),4.258757)</f>
        <v>4.258757</v>
      </c>
      <c r="C493" s="9">
        <f>IFERROR(__xludf.DUMMYFUNCTION("""COMPUTED_VALUE"""),-75.923736)</f>
        <v>-75.923736</v>
      </c>
    </row>
    <row r="494">
      <c r="A494" s="6" t="str">
        <f>IFERROR(__xludf.DUMMYFUNCTION("""COMPUTED_VALUE"""),"Sebastian Durango")</f>
        <v>Sebastian Durango</v>
      </c>
      <c r="B494" s="9">
        <f>IFERROR(__xludf.DUMMYFUNCTION("""COMPUTED_VALUE"""),4.258757)</f>
        <v>4.258757</v>
      </c>
      <c r="C494" s="9">
        <f>IFERROR(__xludf.DUMMYFUNCTION("""COMPUTED_VALUE"""),-75.923736)</f>
        <v>-75.923736</v>
      </c>
    </row>
    <row r="495">
      <c r="A495" s="6" t="str">
        <f>IFERROR(__xludf.DUMMYFUNCTION("""COMPUTED_VALUE"""),"Sebastian Durango")</f>
        <v>Sebastian Durango</v>
      </c>
      <c r="B495" s="9">
        <f>IFERROR(__xludf.DUMMYFUNCTION("""COMPUTED_VALUE"""),4.258757)</f>
        <v>4.258757</v>
      </c>
      <c r="C495" s="9">
        <f>IFERROR(__xludf.DUMMYFUNCTION("""COMPUTED_VALUE"""),-75.923736)</f>
        <v>-75.923736</v>
      </c>
    </row>
    <row r="496">
      <c r="A496" s="6" t="str">
        <f>IFERROR(__xludf.DUMMYFUNCTION("""COMPUTED_VALUE"""),"Sebastian Durango")</f>
        <v>Sebastian Durango</v>
      </c>
      <c r="B496" s="9">
        <f>IFERROR(__xludf.DUMMYFUNCTION("""COMPUTED_VALUE"""),4.258757)</f>
        <v>4.258757</v>
      </c>
      <c r="C496" s="9">
        <f>IFERROR(__xludf.DUMMYFUNCTION("""COMPUTED_VALUE"""),-75.923736)</f>
        <v>-75.923736</v>
      </c>
    </row>
    <row r="497">
      <c r="A497" s="6" t="str">
        <f>IFERROR(__xludf.DUMMYFUNCTION("""COMPUTED_VALUE"""),"Sebastian Durango")</f>
        <v>Sebastian Durango</v>
      </c>
      <c r="B497" s="9">
        <f>IFERROR(__xludf.DUMMYFUNCTION("""COMPUTED_VALUE"""),4.258757)</f>
        <v>4.258757</v>
      </c>
      <c r="C497" s="9">
        <f>IFERROR(__xludf.DUMMYFUNCTION("""COMPUTED_VALUE"""),-75.923736)</f>
        <v>-75.923736</v>
      </c>
    </row>
    <row r="498">
      <c r="A498" s="6" t="str">
        <f>IFERROR(__xludf.DUMMYFUNCTION("""COMPUTED_VALUE"""),"Sebastian Durango")</f>
        <v>Sebastian Durango</v>
      </c>
      <c r="B498" s="9">
        <f>IFERROR(__xludf.DUMMYFUNCTION("""COMPUTED_VALUE"""),4.258757)</f>
        <v>4.258757</v>
      </c>
      <c r="C498" s="9">
        <f>IFERROR(__xludf.DUMMYFUNCTION("""COMPUTED_VALUE"""),-75.923736)</f>
        <v>-75.923736</v>
      </c>
    </row>
    <row r="499">
      <c r="A499" s="6" t="str">
        <f>IFERROR(__xludf.DUMMYFUNCTION("""COMPUTED_VALUE"""),"Elprofeta91")</f>
        <v>Elprofeta91</v>
      </c>
      <c r="B499" s="9">
        <f>IFERROR(__xludf.DUMMYFUNCTION("""COMPUTED_VALUE"""),8.072169)</f>
        <v>8.072169</v>
      </c>
      <c r="C499" s="9">
        <f>IFERROR(__xludf.DUMMYFUNCTION("""COMPUTED_VALUE"""),-74.786253)</f>
        <v>-74.786253</v>
      </c>
    </row>
    <row r="500">
      <c r="A500" s="6" t="str">
        <f>IFERROR(__xludf.DUMMYFUNCTION("""COMPUTED_VALUE"""),"Sophy Martinez")</f>
        <v>Sophy Martinez</v>
      </c>
      <c r="B500" s="9">
        <f>IFERROR(__xludf.DUMMYFUNCTION("""COMPUTED_VALUE"""),4.575927)</f>
        <v>4.575927</v>
      </c>
      <c r="C500" s="9">
        <f>IFERROR(__xludf.DUMMYFUNCTION("""COMPUTED_VALUE"""),-74.0479)</f>
        <v>-74.0479</v>
      </c>
    </row>
    <row r="501">
      <c r="A501" s="6" t="str">
        <f>IFERROR(__xludf.DUMMYFUNCTION("""COMPUTED_VALUE"""),"Sebasgr05")</f>
        <v>Sebasgr05</v>
      </c>
      <c r="B501" s="9">
        <f>IFERROR(__xludf.DUMMYFUNCTION("""COMPUTED_VALUE"""),1.675855)</f>
        <v>1.675855</v>
      </c>
      <c r="C501" s="9">
        <f>IFERROR(__xludf.DUMMYFUNCTION("""COMPUTED_VALUE"""),-73.627109)</f>
        <v>-73.627109</v>
      </c>
    </row>
    <row r="502">
      <c r="A502" s="6" t="str">
        <f>IFERROR(__xludf.DUMMYFUNCTION("""COMPUTED_VALUE"""),"Supertita")</f>
        <v>Supertita</v>
      </c>
      <c r="B502" s="9">
        <f>IFERROR(__xludf.DUMMYFUNCTION("""COMPUTED_VALUE"""),5.0294)</f>
        <v>5.0294</v>
      </c>
      <c r="C502" s="9">
        <f>IFERROR(__xludf.DUMMYFUNCTION("""COMPUTED_VALUE"""),-74.3276)</f>
        <v>-74.3276</v>
      </c>
    </row>
    <row r="503">
      <c r="A503" s="6" t="str">
        <f>IFERROR(__xludf.DUMMYFUNCTION("""COMPUTED_VALUE"""),"Luifereduardoo")</f>
        <v>Luifereduardoo</v>
      </c>
      <c r="B503" s="9">
        <f>IFERROR(__xludf.DUMMYFUNCTION("""COMPUTED_VALUE"""),6.397117)</f>
        <v>6.397117</v>
      </c>
      <c r="C503" s="9">
        <f>IFERROR(__xludf.DUMMYFUNCTION("""COMPUTED_VALUE"""),-72.317877)</f>
        <v>-72.317877</v>
      </c>
    </row>
    <row r="504">
      <c r="A504" s="6" t="str">
        <f>IFERROR(__xludf.DUMMYFUNCTION("""COMPUTED_VALUE"""),"Mottenpriesterin")</f>
        <v>Mottenpriesterin</v>
      </c>
      <c r="B504" s="9">
        <f>IFERROR(__xludf.DUMMYFUNCTION("""COMPUTED_VALUE"""),1.960833)</f>
        <v>1.960833</v>
      </c>
      <c r="C504" s="9">
        <f>IFERROR(__xludf.DUMMYFUNCTION("""COMPUTED_VALUE"""),-76.073889)</f>
        <v>-76.073889</v>
      </c>
    </row>
    <row r="505">
      <c r="A505" s="6" t="str">
        <f>IFERROR(__xludf.DUMMYFUNCTION("""COMPUTED_VALUE"""),"JuanitoCISF")</f>
        <v>JuanitoCISF</v>
      </c>
      <c r="B505" s="9">
        <f>IFERROR(__xludf.DUMMYFUNCTION("""COMPUTED_VALUE"""),5.628797)</f>
        <v>5.628797</v>
      </c>
      <c r="C505" s="9">
        <f>IFERROR(__xludf.DUMMYFUNCTION("""COMPUTED_VALUE"""),-73.555839)</f>
        <v>-73.555839</v>
      </c>
    </row>
    <row r="506">
      <c r="A506" s="6" t="str">
        <f>IFERROR(__xludf.DUMMYFUNCTION("""COMPUTED_VALUE"""),"Luifereduardoo")</f>
        <v>Luifereduardoo</v>
      </c>
      <c r="B506" s="9">
        <f>IFERROR(__xludf.DUMMYFUNCTION("""COMPUTED_VALUE"""),6.397117)</f>
        <v>6.397117</v>
      </c>
      <c r="C506" s="9">
        <f>IFERROR(__xludf.DUMMYFUNCTION("""COMPUTED_VALUE"""),-72.317877)</f>
        <v>-72.317877</v>
      </c>
    </row>
    <row r="507">
      <c r="A507" s="6" t="str">
        <f>IFERROR(__xludf.DUMMYFUNCTION("""COMPUTED_VALUE"""),"Diferoch")</f>
        <v>Diferoch</v>
      </c>
      <c r="B507" s="9">
        <f>IFERROR(__xludf.DUMMYFUNCTION("""COMPUTED_VALUE"""),5.704187)</f>
        <v>5.704187</v>
      </c>
      <c r="C507" s="9">
        <f>IFERROR(__xludf.DUMMYFUNCTION("""COMPUTED_VALUE"""),-77.273842)</f>
        <v>-77.273842</v>
      </c>
    </row>
    <row r="508">
      <c r="A508" s="6" t="str">
        <f>IFERROR(__xludf.DUMMYFUNCTION("""COMPUTED_VALUE"""),"Diferoch")</f>
        <v>Diferoch</v>
      </c>
      <c r="B508" s="9">
        <f>IFERROR(__xludf.DUMMYFUNCTION("""COMPUTED_VALUE"""),5.704187)</f>
        <v>5.704187</v>
      </c>
      <c r="C508" s="9">
        <f>IFERROR(__xludf.DUMMYFUNCTION("""COMPUTED_VALUE"""),-77.273865)</f>
        <v>-77.273865</v>
      </c>
    </row>
    <row r="509">
      <c r="A509" s="6" t="str">
        <f>IFERROR(__xludf.DUMMYFUNCTION("""COMPUTED_VALUE"""),"Diferoch")</f>
        <v>Diferoch</v>
      </c>
      <c r="B509" s="9">
        <f>IFERROR(__xludf.DUMMYFUNCTION("""COMPUTED_VALUE"""),5.704463)</f>
        <v>5.704463</v>
      </c>
      <c r="C509" s="9">
        <f>IFERROR(__xludf.DUMMYFUNCTION("""COMPUTED_VALUE"""),-77.275017)</f>
        <v>-77.275017</v>
      </c>
    </row>
    <row r="510">
      <c r="A510" s="6" t="str">
        <f>IFERROR(__xludf.DUMMYFUNCTION("""COMPUTED_VALUE"""),"Diferoch")</f>
        <v>Diferoch</v>
      </c>
      <c r="B510" s="9">
        <f>IFERROR(__xludf.DUMMYFUNCTION("""COMPUTED_VALUE"""),5.612718)</f>
        <v>5.612718</v>
      </c>
      <c r="C510" s="9">
        <f>IFERROR(__xludf.DUMMYFUNCTION("""COMPUTED_VALUE"""),-77.507438)</f>
        <v>-77.507438</v>
      </c>
    </row>
    <row r="511">
      <c r="A511" s="6" t="str">
        <f>IFERROR(__xludf.DUMMYFUNCTION("""COMPUTED_VALUE"""),"Diferoch")</f>
        <v>Diferoch</v>
      </c>
      <c r="B511" s="9">
        <f>IFERROR(__xludf.DUMMYFUNCTION("""COMPUTED_VALUE"""),5.612897)</f>
        <v>5.612897</v>
      </c>
      <c r="C511" s="9">
        <f>IFERROR(__xludf.DUMMYFUNCTION("""COMPUTED_VALUE"""),-77.507042)</f>
        <v>-77.507042</v>
      </c>
    </row>
    <row r="512">
      <c r="A512" s="6" t="str">
        <f>IFERROR(__xludf.DUMMYFUNCTION("""COMPUTED_VALUE"""),"Diferoch")</f>
        <v>Diferoch</v>
      </c>
      <c r="B512" s="9">
        <f>IFERROR(__xludf.DUMMYFUNCTION("""COMPUTED_VALUE"""),5.625025)</f>
        <v>5.625025</v>
      </c>
      <c r="C512" s="9">
        <f>IFERROR(__xludf.DUMMYFUNCTION("""COMPUTED_VALUE"""),-77.420837)</f>
        <v>-77.420837</v>
      </c>
    </row>
    <row r="513">
      <c r="A513" s="6" t="str">
        <f>IFERROR(__xludf.DUMMYFUNCTION("""COMPUTED_VALUE"""),"Diferoch")</f>
        <v>Diferoch</v>
      </c>
      <c r="B513" s="9">
        <f>IFERROR(__xludf.DUMMYFUNCTION("""COMPUTED_VALUE"""),5.622952)</f>
        <v>5.622952</v>
      </c>
      <c r="C513" s="9">
        <f>IFERROR(__xludf.DUMMYFUNCTION("""COMPUTED_VALUE"""),-77.423905)</f>
        <v>-77.423905</v>
      </c>
    </row>
    <row r="514">
      <c r="A514" s="6" t="str">
        <f>IFERROR(__xludf.DUMMYFUNCTION("""COMPUTED_VALUE"""),"Diferoch")</f>
        <v>Diferoch</v>
      </c>
      <c r="B514" s="9">
        <f>IFERROR(__xludf.DUMMYFUNCTION("""COMPUTED_VALUE"""),5.625015)</f>
        <v>5.625015</v>
      </c>
      <c r="C514" s="9">
        <f>IFERROR(__xludf.DUMMYFUNCTION("""COMPUTED_VALUE"""),-77.420762)</f>
        <v>-77.420762</v>
      </c>
    </row>
    <row r="515">
      <c r="A515" s="6" t="str">
        <f>IFERROR(__xludf.DUMMYFUNCTION("""COMPUTED_VALUE"""),"Diferoch")</f>
        <v>Diferoch</v>
      </c>
      <c r="B515" s="9">
        <f>IFERROR(__xludf.DUMMYFUNCTION("""COMPUTED_VALUE"""),5.62503)</f>
        <v>5.62503</v>
      </c>
      <c r="C515" s="9">
        <f>IFERROR(__xludf.DUMMYFUNCTION("""COMPUTED_VALUE"""),-77.420753)</f>
        <v>-77.420753</v>
      </c>
    </row>
    <row r="516">
      <c r="A516" s="6" t="str">
        <f>IFERROR(__xludf.DUMMYFUNCTION("""COMPUTED_VALUE"""),"Diferoch")</f>
        <v>Diferoch</v>
      </c>
      <c r="B516" s="9">
        <f>IFERROR(__xludf.DUMMYFUNCTION("""COMPUTED_VALUE"""),5.61797)</f>
        <v>5.61797</v>
      </c>
      <c r="C516" s="9">
        <f>IFERROR(__xludf.DUMMYFUNCTION("""COMPUTED_VALUE"""),-77.476363)</f>
        <v>-77.476363</v>
      </c>
    </row>
    <row r="517">
      <c r="A517" s="6" t="str">
        <f>IFERROR(__xludf.DUMMYFUNCTION("""COMPUTED_VALUE"""),"Diferoch")</f>
        <v>Diferoch</v>
      </c>
      <c r="B517" s="9">
        <f>IFERROR(__xludf.DUMMYFUNCTION("""COMPUTED_VALUE"""),5.61794)</f>
        <v>5.61794</v>
      </c>
      <c r="C517" s="9">
        <f>IFERROR(__xludf.DUMMYFUNCTION("""COMPUTED_VALUE"""),-77.4766)</f>
        <v>-77.4766</v>
      </c>
    </row>
    <row r="518">
      <c r="A518" s="6" t="str">
        <f>IFERROR(__xludf.DUMMYFUNCTION("""COMPUTED_VALUE"""),"Diferoch")</f>
        <v>Diferoch</v>
      </c>
      <c r="B518" s="9">
        <f>IFERROR(__xludf.DUMMYFUNCTION("""COMPUTED_VALUE"""),5.616847)</f>
        <v>5.616847</v>
      </c>
      <c r="C518" s="9">
        <f>IFERROR(__xludf.DUMMYFUNCTION("""COMPUTED_VALUE"""),-77.488968)</f>
        <v>-77.488968</v>
      </c>
    </row>
    <row r="519">
      <c r="A519" s="6" t="str">
        <f>IFERROR(__xludf.DUMMYFUNCTION("""COMPUTED_VALUE"""),"Diferoch")</f>
        <v>Diferoch</v>
      </c>
      <c r="B519" s="9">
        <f>IFERROR(__xludf.DUMMYFUNCTION("""COMPUTED_VALUE"""),5.625715)</f>
        <v>5.625715</v>
      </c>
      <c r="C519" s="9">
        <f>IFERROR(__xludf.DUMMYFUNCTION("""COMPUTED_VALUE"""),-77.416893)</f>
        <v>-77.416893</v>
      </c>
    </row>
    <row r="520">
      <c r="A520" s="6" t="str">
        <f>IFERROR(__xludf.DUMMYFUNCTION("""COMPUTED_VALUE"""),"Diferoch")</f>
        <v>Diferoch</v>
      </c>
      <c r="B520" s="9">
        <f>IFERROR(__xludf.DUMMYFUNCTION("""COMPUTED_VALUE"""),5.625533)</f>
        <v>5.625533</v>
      </c>
      <c r="C520" s="9">
        <f>IFERROR(__xludf.DUMMYFUNCTION("""COMPUTED_VALUE"""),-77.417053)</f>
        <v>-77.417053</v>
      </c>
    </row>
    <row r="521">
      <c r="A521" s="6" t="str">
        <f>IFERROR(__xludf.DUMMYFUNCTION("""COMPUTED_VALUE"""),"Diferoch")</f>
        <v>Diferoch</v>
      </c>
      <c r="B521" s="9">
        <f>IFERROR(__xludf.DUMMYFUNCTION("""COMPUTED_VALUE"""),5.623085)</f>
        <v>5.623085</v>
      </c>
      <c r="C521" s="9">
        <f>IFERROR(__xludf.DUMMYFUNCTION("""COMPUTED_VALUE"""),-77.42392)</f>
        <v>-77.42392</v>
      </c>
    </row>
    <row r="522">
      <c r="A522" s="6" t="str">
        <f>IFERROR(__xludf.DUMMYFUNCTION("""COMPUTED_VALUE"""),"Diferoch")</f>
        <v>Diferoch</v>
      </c>
      <c r="B522" s="9">
        <f>IFERROR(__xludf.DUMMYFUNCTION("""COMPUTED_VALUE"""),5.60966)</f>
        <v>5.60966</v>
      </c>
      <c r="C522" s="9">
        <f>IFERROR(__xludf.DUMMYFUNCTION("""COMPUTED_VALUE"""),-77.438202)</f>
        <v>-77.438202</v>
      </c>
    </row>
    <row r="523">
      <c r="A523" s="6" t="str">
        <f>IFERROR(__xludf.DUMMYFUNCTION("""COMPUTED_VALUE"""),"Rodrigomacrophoto")</f>
        <v>Rodrigomacrophoto</v>
      </c>
      <c r="B523" s="9">
        <f>IFERROR(__xludf.DUMMYFUNCTION("""COMPUTED_VALUE"""),4.87337)</f>
        <v>4.87337</v>
      </c>
      <c r="C523" s="9">
        <f>IFERROR(__xludf.DUMMYFUNCTION("""COMPUTED_VALUE"""),-74.08291)</f>
        <v>-74.08291</v>
      </c>
    </row>
    <row r="524">
      <c r="A524" s="6" t="str">
        <f>IFERROR(__xludf.DUMMYFUNCTION("""COMPUTED_VALUE"""),"AmiGueko")</f>
        <v>AmiGueko</v>
      </c>
      <c r="B524" s="9">
        <f>IFERROR(__xludf.DUMMYFUNCTION("""COMPUTED_VALUE"""),4.984157)</f>
        <v>4.984157</v>
      </c>
      <c r="C524" s="9">
        <f>IFERROR(__xludf.DUMMYFUNCTION("""COMPUTED_VALUE"""),-74.278227)</f>
        <v>-74.278227</v>
      </c>
    </row>
    <row r="525">
      <c r="A525" s="6" t="str">
        <f>IFERROR(__xludf.DUMMYFUNCTION("""COMPUTED_VALUE"""),"Alexpanther")</f>
        <v>Alexpanther</v>
      </c>
      <c r="B525" s="9">
        <f>IFERROR(__xludf.DUMMYFUNCTION("""COMPUTED_VALUE"""),4.091467)</f>
        <v>4.091467</v>
      </c>
      <c r="C525" s="9">
        <f>IFERROR(__xludf.DUMMYFUNCTION("""COMPUTED_VALUE"""),-73.502273)</f>
        <v>-73.502273</v>
      </c>
    </row>
    <row r="526">
      <c r="A526" s="6" t="str">
        <f>IFERROR(__xludf.DUMMYFUNCTION("""COMPUTED_VALUE"""),"Elprofeta91")</f>
        <v>Elprofeta91</v>
      </c>
      <c r="B526" s="9">
        <f>IFERROR(__xludf.DUMMYFUNCTION("""COMPUTED_VALUE"""),8.073678)</f>
        <v>8.073678</v>
      </c>
      <c r="C526" s="9">
        <f>IFERROR(__xludf.DUMMYFUNCTION("""COMPUTED_VALUE"""),-74.784958)</f>
        <v>-74.784958</v>
      </c>
    </row>
    <row r="527">
      <c r="A527" s="6" t="str">
        <f>IFERROR(__xludf.DUMMYFUNCTION("""COMPUTED_VALUE"""),"Alexpanther")</f>
        <v>Alexpanther</v>
      </c>
      <c r="B527" s="9">
        <f>IFERROR(__xludf.DUMMYFUNCTION("""COMPUTED_VALUE"""),4.091467)</f>
        <v>4.091467</v>
      </c>
      <c r="C527" s="9">
        <f>IFERROR(__xludf.DUMMYFUNCTION("""COMPUTED_VALUE"""),-73.502273)</f>
        <v>-73.502273</v>
      </c>
    </row>
    <row r="528">
      <c r="A528" s="6" t="str">
        <f>IFERROR(__xludf.DUMMYFUNCTION("""COMPUTED_VALUE"""),"Nbareschu")</f>
        <v>Nbareschu</v>
      </c>
      <c r="B528" s="9">
        <f>IFERROR(__xludf.DUMMYFUNCTION("""COMPUTED_VALUE"""),4.877708)</f>
        <v>4.877708</v>
      </c>
      <c r="C528" s="9">
        <f>IFERROR(__xludf.DUMMYFUNCTION("""COMPUTED_VALUE"""),-74.292153)</f>
        <v>-74.292153</v>
      </c>
    </row>
    <row r="529">
      <c r="A529" s="6" t="str">
        <f>IFERROR(__xludf.DUMMYFUNCTION("""COMPUTED_VALUE"""),"Diferoch")</f>
        <v>Diferoch</v>
      </c>
      <c r="B529" s="9">
        <f>IFERROR(__xludf.DUMMYFUNCTION("""COMPUTED_VALUE"""),7.085008)</f>
        <v>7.085008</v>
      </c>
      <c r="C529" s="9">
        <f>IFERROR(__xludf.DUMMYFUNCTION("""COMPUTED_VALUE"""),-73.864028)</f>
        <v>-73.864028</v>
      </c>
    </row>
    <row r="530">
      <c r="A530" s="6" t="str">
        <f>IFERROR(__xludf.DUMMYFUNCTION("""COMPUTED_VALUE"""),"Diferoch")</f>
        <v>Diferoch</v>
      </c>
      <c r="B530" s="9">
        <f>IFERROR(__xludf.DUMMYFUNCTION("""COMPUTED_VALUE"""),7.095882)</f>
        <v>7.095882</v>
      </c>
      <c r="C530" s="9">
        <f>IFERROR(__xludf.DUMMYFUNCTION("""COMPUTED_VALUE"""),-73.756088)</f>
        <v>-73.756088</v>
      </c>
    </row>
    <row r="531">
      <c r="A531" s="6" t="str">
        <f>IFERROR(__xludf.DUMMYFUNCTION("""COMPUTED_VALUE"""),"Diferoch")</f>
        <v>Diferoch</v>
      </c>
      <c r="B531" s="9">
        <f>IFERROR(__xludf.DUMMYFUNCTION("""COMPUTED_VALUE"""),7.084857)</f>
        <v>7.084857</v>
      </c>
      <c r="C531" s="9">
        <f>IFERROR(__xludf.DUMMYFUNCTION("""COMPUTED_VALUE"""),-73.864007)</f>
        <v>-73.864007</v>
      </c>
    </row>
    <row r="532">
      <c r="A532" s="6" t="str">
        <f>IFERROR(__xludf.DUMMYFUNCTION("""COMPUTED_VALUE"""),"Diferoch")</f>
        <v>Diferoch</v>
      </c>
      <c r="B532" s="9">
        <f>IFERROR(__xludf.DUMMYFUNCTION("""COMPUTED_VALUE"""),7.084785)</f>
        <v>7.084785</v>
      </c>
      <c r="C532" s="9">
        <f>IFERROR(__xludf.DUMMYFUNCTION("""COMPUTED_VALUE"""),-73.863868)</f>
        <v>-73.863868</v>
      </c>
    </row>
    <row r="533">
      <c r="A533" s="6" t="str">
        <f>IFERROR(__xludf.DUMMYFUNCTION("""COMPUTED_VALUE"""),"Diferoch")</f>
        <v>Diferoch</v>
      </c>
      <c r="B533" s="9">
        <f>IFERROR(__xludf.DUMMYFUNCTION("""COMPUTED_VALUE"""),6.914278)</f>
        <v>6.914278</v>
      </c>
      <c r="C533" s="9">
        <f>IFERROR(__xludf.DUMMYFUNCTION("""COMPUTED_VALUE"""),-73.031532)</f>
        <v>-73.031532</v>
      </c>
    </row>
    <row r="534">
      <c r="A534" s="6" t="str">
        <f>IFERROR(__xludf.DUMMYFUNCTION("""COMPUTED_VALUE"""),"Diferoch")</f>
        <v>Diferoch</v>
      </c>
      <c r="B534" s="9">
        <f>IFERROR(__xludf.DUMMYFUNCTION("""COMPUTED_VALUE"""),6.717311)</f>
        <v>6.717311</v>
      </c>
      <c r="C534" s="9">
        <f>IFERROR(__xludf.DUMMYFUNCTION("""COMPUTED_VALUE"""),-74.134927)</f>
        <v>-74.134927</v>
      </c>
    </row>
    <row r="535">
      <c r="A535" s="6" t="str">
        <f>IFERROR(__xludf.DUMMYFUNCTION("""COMPUTED_VALUE"""),"Lamoraleja")</f>
        <v>Lamoraleja</v>
      </c>
      <c r="B535" s="9">
        <f>IFERROR(__xludf.DUMMYFUNCTION("""COMPUTED_VALUE"""),3.959697)</f>
        <v>3.959697</v>
      </c>
      <c r="C535" s="9">
        <f>IFERROR(__xludf.DUMMYFUNCTION("""COMPUTED_VALUE"""),-77.377861)</f>
        <v>-77.377861</v>
      </c>
    </row>
    <row r="536">
      <c r="A536" s="6" t="str">
        <f>IFERROR(__xludf.DUMMYFUNCTION("""COMPUTED_VALUE"""),"Nbareschu")</f>
        <v>Nbareschu</v>
      </c>
      <c r="B536" s="9">
        <f>IFERROR(__xludf.DUMMYFUNCTION("""COMPUTED_VALUE"""),4.867725)</f>
        <v>4.867725</v>
      </c>
      <c r="C536" s="9">
        <f>IFERROR(__xludf.DUMMYFUNCTION("""COMPUTED_VALUE"""),-74.375931)</f>
        <v>-74.375931</v>
      </c>
    </row>
    <row r="537">
      <c r="A537" s="6" t="str">
        <f>IFERROR(__xludf.DUMMYFUNCTION("""COMPUTED_VALUE"""),"Nbareschu")</f>
        <v>Nbareschu</v>
      </c>
      <c r="B537" s="9">
        <f>IFERROR(__xludf.DUMMYFUNCTION("""COMPUTED_VALUE"""),4.868142)</f>
        <v>4.868142</v>
      </c>
      <c r="C537" s="9">
        <f>IFERROR(__xludf.DUMMYFUNCTION("""COMPUTED_VALUE"""),-74.34465)</f>
        <v>-74.34465</v>
      </c>
    </row>
    <row r="538">
      <c r="A538" s="6" t="str">
        <f>IFERROR(__xludf.DUMMYFUNCTION("""COMPUTED_VALUE"""),"Nbareschu")</f>
        <v>Nbareschu</v>
      </c>
      <c r="B538" s="9">
        <f>IFERROR(__xludf.DUMMYFUNCTION("""COMPUTED_VALUE"""),4.868622)</f>
        <v>4.868622</v>
      </c>
      <c r="C538" s="9">
        <f>IFERROR(__xludf.DUMMYFUNCTION("""COMPUTED_VALUE"""),-74.345467)</f>
        <v>-74.345467</v>
      </c>
    </row>
    <row r="539">
      <c r="A539" s="6" t="str">
        <f>IFERROR(__xludf.DUMMYFUNCTION("""COMPUTED_VALUE"""),"Estudiante0001")</f>
        <v>Estudiante0001</v>
      </c>
      <c r="B539" s="9">
        <f>IFERROR(__xludf.DUMMYFUNCTION("""COMPUTED_VALUE"""),4.842005)</f>
        <v>4.842005</v>
      </c>
      <c r="C539" s="9">
        <f>IFERROR(__xludf.DUMMYFUNCTION("""COMPUTED_VALUE"""),-73.834176)</f>
        <v>-73.834176</v>
      </c>
    </row>
    <row r="540">
      <c r="A540" s="6" t="str">
        <f>IFERROR(__xludf.DUMMYFUNCTION("""COMPUTED_VALUE"""),"Nbareschu")</f>
        <v>Nbareschu</v>
      </c>
      <c r="B540" s="9">
        <f>IFERROR(__xludf.DUMMYFUNCTION("""COMPUTED_VALUE"""),4.885303)</f>
        <v>4.885303</v>
      </c>
      <c r="C540" s="9">
        <f>IFERROR(__xludf.DUMMYFUNCTION("""COMPUTED_VALUE"""),-74.421989)</f>
        <v>-74.421989</v>
      </c>
    </row>
    <row r="541">
      <c r="A541" s="6" t="str">
        <f>IFERROR(__xludf.DUMMYFUNCTION("""COMPUTED_VALUE"""),"Zolsemiya")</f>
        <v>Zolsemiya</v>
      </c>
      <c r="B541" s="9">
        <f>IFERROR(__xludf.DUMMYFUNCTION("""COMPUTED_VALUE"""),4.172187)</f>
        <v>4.172187</v>
      </c>
      <c r="C541" s="9">
        <f>IFERROR(__xludf.DUMMYFUNCTION("""COMPUTED_VALUE"""),-74.146794)</f>
        <v>-74.146794</v>
      </c>
    </row>
    <row r="542">
      <c r="A542" s="6" t="str">
        <f>IFERROR(__xludf.DUMMYFUNCTION("""COMPUTED_VALUE"""),"Guiverfer")</f>
        <v>Guiverfer</v>
      </c>
      <c r="B542" s="9">
        <f>IFERROR(__xludf.DUMMYFUNCTION("""COMPUTED_VALUE"""),6.242735)</f>
        <v>6.242735</v>
      </c>
      <c r="C542" s="9">
        <f>IFERROR(__xludf.DUMMYFUNCTION("""COMPUTED_VALUE"""),-75.550751)</f>
        <v>-75.550751</v>
      </c>
    </row>
    <row r="543">
      <c r="A543" s="6" t="str">
        <f>IFERROR(__xludf.DUMMYFUNCTION("""COMPUTED_VALUE"""),"Antoniacorralosorio")</f>
        <v>Antoniacorralosorio</v>
      </c>
      <c r="B543" s="9">
        <f>IFERROR(__xludf.DUMMYFUNCTION("""COMPUTED_VALUE"""),10.396081)</f>
        <v>10.396081</v>
      </c>
      <c r="C543" s="9">
        <f>IFERROR(__xludf.DUMMYFUNCTION("""COMPUTED_VALUE"""),-75.559639)</f>
        <v>-75.559639</v>
      </c>
    </row>
    <row r="544">
      <c r="A544" s="6" t="str">
        <f>IFERROR(__xludf.DUMMYFUNCTION("""COMPUTED_VALUE"""),"Charlesjsharp")</f>
        <v>Charlesjsharp</v>
      </c>
      <c r="B544" s="9">
        <f>IFERROR(__xludf.DUMMYFUNCTION("""COMPUTED_VALUE"""),5.07)</f>
        <v>5.07</v>
      </c>
      <c r="C544" s="9">
        <f>IFERROR(__xludf.DUMMYFUNCTION("""COMPUTED_VALUE"""),-75.44)</f>
        <v>-75.44</v>
      </c>
    </row>
    <row r="545">
      <c r="A545" s="6" t="str">
        <f>IFERROR(__xludf.DUMMYFUNCTION("""COMPUTED_VALUE"""),"LentedeBerilo")</f>
        <v>LentedeBerilo</v>
      </c>
      <c r="B545" s="9">
        <f>IFERROR(__xludf.DUMMYFUNCTION("""COMPUTED_VALUE"""),2.938807)</f>
        <v>2.938807</v>
      </c>
      <c r="C545" s="9">
        <f>IFERROR(__xludf.DUMMYFUNCTION("""COMPUTED_VALUE"""),-78.207212)</f>
        <v>-78.207212</v>
      </c>
    </row>
    <row r="546">
      <c r="A546" s="6" t="str">
        <f>IFERROR(__xludf.DUMMYFUNCTION("""COMPUTED_VALUE"""),"Zolsemiya")</f>
        <v>Zolsemiya</v>
      </c>
      <c r="B546" s="9">
        <f>IFERROR(__xludf.DUMMYFUNCTION("""COMPUTED_VALUE"""),4.172187)</f>
        <v>4.172187</v>
      </c>
      <c r="C546" s="9">
        <f>IFERROR(__xludf.DUMMYFUNCTION("""COMPUTED_VALUE"""),-74.146794)</f>
        <v>-74.146794</v>
      </c>
    </row>
    <row r="547">
      <c r="A547" s="6" t="str">
        <f>IFERROR(__xludf.DUMMYFUNCTION("""COMPUTED_VALUE"""),"Diferoch")</f>
        <v>Diferoch</v>
      </c>
      <c r="B547" s="9">
        <f>IFERROR(__xludf.DUMMYFUNCTION("""COMPUTED_VALUE"""),7.083168)</f>
        <v>7.083168</v>
      </c>
      <c r="C547" s="9">
        <f>IFERROR(__xludf.DUMMYFUNCTION("""COMPUTED_VALUE"""),-73.866101)</f>
        <v>-73.866101</v>
      </c>
    </row>
    <row r="548">
      <c r="A548" s="6" t="str">
        <f>IFERROR(__xludf.DUMMYFUNCTION("""COMPUTED_VALUE"""),"Diferoch")</f>
        <v>Diferoch</v>
      </c>
      <c r="B548" s="9">
        <f>IFERROR(__xludf.DUMMYFUNCTION("""COMPUTED_VALUE"""),7.083168)</f>
        <v>7.083168</v>
      </c>
      <c r="C548" s="9">
        <f>IFERROR(__xludf.DUMMYFUNCTION("""COMPUTED_VALUE"""),-73.866101)</f>
        <v>-73.866101</v>
      </c>
    </row>
    <row r="549">
      <c r="A549" s="6" t="str">
        <f>IFERROR(__xludf.DUMMYFUNCTION("""COMPUTED_VALUE"""),"AmiGueko")</f>
        <v>AmiGueko</v>
      </c>
      <c r="B549" s="9">
        <f>IFERROR(__xludf.DUMMYFUNCTION("""COMPUTED_VALUE"""),4.66775)</f>
        <v>4.66775</v>
      </c>
      <c r="C549" s="9">
        <f>IFERROR(__xludf.DUMMYFUNCTION("""COMPUTED_VALUE"""),-74.09994)</f>
        <v>-74.09994</v>
      </c>
    </row>
    <row r="550">
      <c r="A550" s="6" t="str">
        <f>IFERROR(__xludf.DUMMYFUNCTION("""COMPUTED_VALUE"""),"Zolsemiya")</f>
        <v>Zolsemiya</v>
      </c>
      <c r="B550" s="9">
        <f>IFERROR(__xludf.DUMMYFUNCTION("""COMPUTED_VALUE"""),4.172187)</f>
        <v>4.172187</v>
      </c>
      <c r="C550" s="9">
        <f>IFERROR(__xludf.DUMMYFUNCTION("""COMPUTED_VALUE"""),-74.146794)</f>
        <v>-74.146794</v>
      </c>
    </row>
    <row r="551">
      <c r="A551" s="6" t="str">
        <f>IFERROR(__xludf.DUMMYFUNCTION("""COMPUTED_VALUE"""),"JJCL09")</f>
        <v>JJCL09</v>
      </c>
      <c r="B551" s="9">
        <f>IFERROR(__xludf.DUMMYFUNCTION("""COMPUTED_VALUE"""),5.566908)</f>
        <v>5.566908</v>
      </c>
      <c r="C551" s="9">
        <f>IFERROR(__xludf.DUMMYFUNCTION("""COMPUTED_VALUE"""),-74.906831)</f>
        <v>-74.906831</v>
      </c>
    </row>
    <row r="552">
      <c r="A552" s="6" t="str">
        <f>IFERROR(__xludf.DUMMYFUNCTION("""COMPUTED_VALUE"""),"AmiGueko")</f>
        <v>AmiGueko</v>
      </c>
      <c r="B552" s="9">
        <f>IFERROR(__xludf.DUMMYFUNCTION("""COMPUTED_VALUE"""),4.983835)</f>
        <v>4.983835</v>
      </c>
      <c r="C552" s="9">
        <f>IFERROR(__xludf.DUMMYFUNCTION("""COMPUTED_VALUE"""),-75.02836)</f>
        <v>-75.02836</v>
      </c>
    </row>
    <row r="553">
      <c r="A553" s="6" t="str">
        <f>IFERROR(__xludf.DUMMYFUNCTION("""COMPUTED_VALUE"""),"Supertita")</f>
        <v>Supertita</v>
      </c>
      <c r="B553" s="9">
        <f>IFERROR(__xludf.DUMMYFUNCTION("""COMPUTED_VALUE"""),4.5816)</f>
        <v>4.5816</v>
      </c>
      <c r="C553" s="9">
        <f>IFERROR(__xludf.DUMMYFUNCTION("""COMPUTED_VALUE"""),-7.41721)</f>
        <v>-7.41721</v>
      </c>
    </row>
    <row r="554">
      <c r="A554" s="6" t="str">
        <f>IFERROR(__xludf.DUMMYFUNCTION("""COMPUTED_VALUE"""),"JJCL09")</f>
        <v>JJCL09</v>
      </c>
      <c r="B554" s="9">
        <f>IFERROR(__xludf.DUMMYFUNCTION("""COMPUTED_VALUE"""),5.071303)</f>
        <v>5.071303</v>
      </c>
      <c r="C554" s="9">
        <f>IFERROR(__xludf.DUMMYFUNCTION("""COMPUTED_VALUE"""),-75.287767)</f>
        <v>-75.287767</v>
      </c>
    </row>
    <row r="555">
      <c r="A555" s="6" t="str">
        <f>IFERROR(__xludf.DUMMYFUNCTION("""COMPUTED_VALUE"""),"AmiGueko")</f>
        <v>AmiGueko</v>
      </c>
      <c r="B555" s="9">
        <f>IFERROR(__xludf.DUMMYFUNCTION("""COMPUTED_VALUE"""),11.103655)</f>
        <v>11.103655</v>
      </c>
      <c r="C555" s="9">
        <f>IFERROR(__xludf.DUMMYFUNCTION("""COMPUTED_VALUE"""),-73.448769)</f>
        <v>-73.448769</v>
      </c>
    </row>
    <row r="556">
      <c r="A556" s="6" t="str">
        <f>IFERROR(__xludf.DUMMYFUNCTION("""COMPUTED_VALUE"""),"AmiGueko")</f>
        <v>AmiGueko</v>
      </c>
      <c r="B556" s="9">
        <f>IFERROR(__xludf.DUMMYFUNCTION("""COMPUTED_VALUE"""),11.075204)</f>
        <v>11.075204</v>
      </c>
      <c r="C556" s="9">
        <f>IFERROR(__xludf.DUMMYFUNCTION("""COMPUTED_VALUE"""),-73.484968)</f>
        <v>-73.484968</v>
      </c>
    </row>
    <row r="557">
      <c r="A557" s="6" t="str">
        <f>IFERROR(__xludf.DUMMYFUNCTION("""COMPUTED_VALUE"""),"AmiGueko")</f>
        <v>AmiGueko</v>
      </c>
      <c r="B557" s="9">
        <f>IFERROR(__xludf.DUMMYFUNCTION("""COMPUTED_VALUE"""),11.076104)</f>
        <v>11.076104</v>
      </c>
      <c r="C557" s="9">
        <f>IFERROR(__xludf.DUMMYFUNCTION("""COMPUTED_VALUE"""),-73.804088)</f>
        <v>-73.804088</v>
      </c>
    </row>
    <row r="558">
      <c r="A558" s="6" t="str">
        <f>IFERROR(__xludf.DUMMYFUNCTION("""COMPUTED_VALUE"""),"Nbareschu")</f>
        <v>Nbareschu</v>
      </c>
      <c r="B558" s="9">
        <f>IFERROR(__xludf.DUMMYFUNCTION("""COMPUTED_VALUE"""),4.990981)</f>
        <v>4.990981</v>
      </c>
      <c r="C558" s="9">
        <f>IFERROR(__xludf.DUMMYFUNCTION("""COMPUTED_VALUE"""),-74.237044)</f>
        <v>-74.237044</v>
      </c>
    </row>
    <row r="559">
      <c r="A559" s="6" t="str">
        <f>IFERROR(__xludf.DUMMYFUNCTION("""COMPUTED_VALUE"""),"Juanrapave")</f>
        <v>Juanrapave</v>
      </c>
      <c r="B559" s="9">
        <f>IFERROR(__xludf.DUMMYFUNCTION("""COMPUTED_VALUE"""),10.42252)</f>
        <v>10.42252</v>
      </c>
      <c r="C559" s="9">
        <f>IFERROR(__xludf.DUMMYFUNCTION("""COMPUTED_VALUE"""),-75.552986)</f>
        <v>-75.552986</v>
      </c>
    </row>
    <row r="560">
      <c r="A560" s="6" t="str">
        <f>IFERROR(__xludf.DUMMYFUNCTION("""COMPUTED_VALUE"""),"Natlycu")</f>
        <v>Natlycu</v>
      </c>
      <c r="B560" s="9">
        <f>IFERROR(__xludf.DUMMYFUNCTION("""COMPUTED_VALUE"""),4.360644)</f>
        <v>4.360644</v>
      </c>
      <c r="C560" s="9">
        <f>IFERROR(__xludf.DUMMYFUNCTION("""COMPUTED_VALUE"""),-74.335404)</f>
        <v>-74.335404</v>
      </c>
    </row>
    <row r="561">
      <c r="A561" s="6" t="str">
        <f>IFERROR(__xludf.DUMMYFUNCTION("""COMPUTED_VALUE"""),"AmiGueko")</f>
        <v>AmiGueko</v>
      </c>
      <c r="B561" s="9">
        <f>IFERROR(__xludf.DUMMYFUNCTION("""COMPUTED_VALUE"""),6.25232)</f>
        <v>6.25232</v>
      </c>
      <c r="C561" s="9">
        <f>IFERROR(__xludf.DUMMYFUNCTION("""COMPUTED_VALUE"""),-75.528099)</f>
        <v>-75.528099</v>
      </c>
    </row>
    <row r="562">
      <c r="A562" s="6" t="str">
        <f>IFERROR(__xludf.DUMMYFUNCTION("""COMPUTED_VALUE"""),"AmiGueko")</f>
        <v>AmiGueko</v>
      </c>
      <c r="B562" s="9">
        <f>IFERROR(__xludf.DUMMYFUNCTION("""COMPUTED_VALUE"""),4.66775)</f>
        <v>4.66775</v>
      </c>
      <c r="C562" s="9">
        <f>IFERROR(__xludf.DUMMYFUNCTION("""COMPUTED_VALUE"""),-74.099944)</f>
        <v>-74.099944</v>
      </c>
    </row>
    <row r="563">
      <c r="A563" s="6" t="str">
        <f>IFERROR(__xludf.DUMMYFUNCTION("""COMPUTED_VALUE"""),"Nbareschu")</f>
        <v>Nbareschu</v>
      </c>
      <c r="B563" s="9">
        <f>IFERROR(__xludf.DUMMYFUNCTION("""COMPUTED_VALUE"""),9.123886)</f>
        <v>9.123886</v>
      </c>
      <c r="C563" s="9">
        <f>IFERROR(__xludf.DUMMYFUNCTION("""COMPUTED_VALUE"""),-76.185647)</f>
        <v>-76.185647</v>
      </c>
    </row>
    <row r="564">
      <c r="A564" s="6" t="str">
        <f>IFERROR(__xludf.DUMMYFUNCTION("""COMPUTED_VALUE"""),"Nbareschu")</f>
        <v>Nbareschu</v>
      </c>
      <c r="B564" s="9">
        <f>IFERROR(__xludf.DUMMYFUNCTION("""COMPUTED_VALUE"""),6.481908)</f>
        <v>6.481908</v>
      </c>
      <c r="C564" s="9">
        <f>IFERROR(__xludf.DUMMYFUNCTION("""COMPUTED_VALUE"""),-72.335053)</f>
        <v>-72.335053</v>
      </c>
    </row>
    <row r="565">
      <c r="A565" s="6" t="str">
        <f>IFERROR(__xludf.DUMMYFUNCTION("""COMPUTED_VALUE"""),"Nbareschu")</f>
        <v>Nbareschu</v>
      </c>
      <c r="B565" s="9">
        <f>IFERROR(__xludf.DUMMYFUNCTION("""COMPUTED_VALUE"""),4.870131)</f>
        <v>4.870131</v>
      </c>
      <c r="C565" s="9">
        <f>IFERROR(__xludf.DUMMYFUNCTION("""COMPUTED_VALUE"""),-74.367431)</f>
        <v>-74.367431</v>
      </c>
    </row>
    <row r="566">
      <c r="A566" s="6" t="str">
        <f>IFERROR(__xludf.DUMMYFUNCTION("""COMPUTED_VALUE"""),"XimmoY")</f>
        <v>XimmoY</v>
      </c>
      <c r="B566" s="9">
        <f>IFERROR(__xludf.DUMMYFUNCTION("""COMPUTED_VALUE"""),5.86224)</f>
        <v>5.86224</v>
      </c>
      <c r="C566" s="9">
        <f>IFERROR(__xludf.DUMMYFUNCTION("""COMPUTED_VALUE"""),-74.87047)</f>
        <v>-74.87047</v>
      </c>
    </row>
    <row r="567">
      <c r="A567" s="6" t="str">
        <f>IFERROR(__xludf.DUMMYFUNCTION("""COMPUTED_VALUE"""),"XimmoY")</f>
        <v>XimmoY</v>
      </c>
      <c r="B567" s="9">
        <f>IFERROR(__xludf.DUMMYFUNCTION("""COMPUTED_VALUE"""),5.86224)</f>
        <v>5.86224</v>
      </c>
      <c r="C567" s="9">
        <f>IFERROR(__xludf.DUMMYFUNCTION("""COMPUTED_VALUE"""),-74.87047)</f>
        <v>-74.87047</v>
      </c>
    </row>
    <row r="568">
      <c r="A568" s="6" t="str">
        <f>IFERROR(__xludf.DUMMYFUNCTION("""COMPUTED_VALUE"""),"AmiGueko")</f>
        <v>AmiGueko</v>
      </c>
      <c r="B568" s="9">
        <f>IFERROR(__xludf.DUMMYFUNCTION("""COMPUTED_VALUE"""),5.959975)</f>
        <v>5.959975</v>
      </c>
      <c r="C568" s="9">
        <f>IFERROR(__xludf.DUMMYFUNCTION("""COMPUTED_VALUE"""),-75.098773)</f>
        <v>-75.098773</v>
      </c>
    </row>
    <row r="569">
      <c r="A569" s="6" t="str">
        <f>IFERROR(__xludf.DUMMYFUNCTION("""COMPUTED_VALUE"""),"Diferoch")</f>
        <v>Diferoch</v>
      </c>
      <c r="B569" s="9">
        <f>IFERROR(__xludf.DUMMYFUNCTION("""COMPUTED_VALUE"""),7.085098)</f>
        <v>7.085098</v>
      </c>
      <c r="C569" s="9">
        <f>IFERROR(__xludf.DUMMYFUNCTION("""COMPUTED_VALUE"""),-73.86396)</f>
        <v>-73.86396</v>
      </c>
    </row>
    <row r="570">
      <c r="A570" s="6" t="str">
        <f>IFERROR(__xludf.DUMMYFUNCTION("""COMPUTED_VALUE"""),"Diferoch")</f>
        <v>Diferoch</v>
      </c>
      <c r="B570" s="9">
        <f>IFERROR(__xludf.DUMMYFUNCTION("""COMPUTED_VALUE"""),5.616402)</f>
        <v>5.616402</v>
      </c>
      <c r="C570" s="9">
        <f>IFERROR(__xludf.DUMMYFUNCTION("""COMPUTED_VALUE"""),-77.490096)</f>
        <v>-77.490096</v>
      </c>
    </row>
    <row r="571">
      <c r="A571" s="6" t="str">
        <f>IFERROR(__xludf.DUMMYFUNCTION("""COMPUTED_VALUE"""),"Diferoch")</f>
        <v>Diferoch</v>
      </c>
      <c r="B571" s="9">
        <f>IFERROR(__xludf.DUMMYFUNCTION("""COMPUTED_VALUE"""),5.61308)</f>
        <v>5.61308</v>
      </c>
      <c r="C571" s="9">
        <f>IFERROR(__xludf.DUMMYFUNCTION("""COMPUTED_VALUE"""),-77.496253)</f>
        <v>-77.496253</v>
      </c>
    </row>
    <row r="572">
      <c r="A572" s="6" t="str">
        <f>IFERROR(__xludf.DUMMYFUNCTION("""COMPUTED_VALUE"""),"Diferoch")</f>
        <v>Diferoch</v>
      </c>
      <c r="B572" s="9">
        <f>IFERROR(__xludf.DUMMYFUNCTION("""COMPUTED_VALUE"""),5.608528)</f>
        <v>5.608528</v>
      </c>
      <c r="C572" s="9">
        <f>IFERROR(__xludf.DUMMYFUNCTION("""COMPUTED_VALUE"""),-77.502007)</f>
        <v>-77.502007</v>
      </c>
    </row>
    <row r="573">
      <c r="A573" s="6" t="str">
        <f>IFERROR(__xludf.DUMMYFUNCTION("""COMPUTED_VALUE"""),"Alexpanther")</f>
        <v>Alexpanther</v>
      </c>
      <c r="B573" s="9">
        <f>IFERROR(__xludf.DUMMYFUNCTION("""COMPUTED_VALUE"""),4.091467)</f>
        <v>4.091467</v>
      </c>
      <c r="C573" s="9">
        <f>IFERROR(__xludf.DUMMYFUNCTION("""COMPUTED_VALUE"""),-73.502273)</f>
        <v>-73.502273</v>
      </c>
    </row>
    <row r="574">
      <c r="A574" s="6" t="str">
        <f>IFERROR(__xludf.DUMMYFUNCTION("""COMPUTED_VALUE"""),"NicolleTorresG")</f>
        <v>NicolleTorresG</v>
      </c>
      <c r="B574" s="9">
        <f>IFERROR(__xludf.DUMMYFUNCTION("""COMPUTED_VALUE"""),3.5611)</f>
        <v>3.5611</v>
      </c>
      <c r="C574" s="9">
        <f>IFERROR(__xludf.DUMMYFUNCTION("""COMPUTED_VALUE"""),-76.5569)</f>
        <v>-76.5569</v>
      </c>
    </row>
    <row r="575">
      <c r="A575" s="6" t="str">
        <f>IFERROR(__xludf.DUMMYFUNCTION("""COMPUTED_VALUE"""),"NicolleTorresG")</f>
        <v>NicolleTorresG</v>
      </c>
      <c r="B575" s="9">
        <f>IFERROR(__xludf.DUMMYFUNCTION("""COMPUTED_VALUE"""),3.5611)</f>
        <v>3.5611</v>
      </c>
      <c r="C575" s="9">
        <f>IFERROR(__xludf.DUMMYFUNCTION("""COMPUTED_VALUE"""),-76.5569)</f>
        <v>-76.5569</v>
      </c>
    </row>
    <row r="576">
      <c r="A576" s="6" t="str">
        <f>IFERROR(__xludf.DUMMYFUNCTION("""COMPUTED_VALUE"""),"AmiGueko")</f>
        <v>AmiGueko</v>
      </c>
      <c r="B576" s="9">
        <f>IFERROR(__xludf.DUMMYFUNCTION("""COMPUTED_VALUE"""),4.66775)</f>
        <v>4.66775</v>
      </c>
      <c r="C576" s="9">
        <f>IFERROR(__xludf.DUMMYFUNCTION("""COMPUTED_VALUE"""),-74.09994)</f>
        <v>-74.09994</v>
      </c>
    </row>
    <row r="577">
      <c r="A577" s="6" t="str">
        <f>IFERROR(__xludf.DUMMYFUNCTION("""COMPUTED_VALUE"""),"Rodrigomacrophoto")</f>
        <v>Rodrigomacrophoto</v>
      </c>
      <c r="B577" s="9">
        <f>IFERROR(__xludf.DUMMYFUNCTION("""COMPUTED_VALUE"""),2.515034)</f>
        <v>2.515034</v>
      </c>
      <c r="C577" s="9">
        <f>IFERROR(__xludf.DUMMYFUNCTION("""COMPUTED_VALUE"""),-72.70398)</f>
        <v>-72.70398</v>
      </c>
    </row>
    <row r="578">
      <c r="A578" s="6" t="str">
        <f>IFERROR(__xludf.DUMMYFUNCTION("""COMPUTED_VALUE"""),"Alexpanther")</f>
        <v>Alexpanther</v>
      </c>
      <c r="B578" s="9">
        <f>IFERROR(__xludf.DUMMYFUNCTION("""COMPUTED_VALUE"""),4.091467)</f>
        <v>4.091467</v>
      </c>
      <c r="C578" s="9">
        <f>IFERROR(__xludf.DUMMYFUNCTION("""COMPUTED_VALUE"""),-73.502273)</f>
        <v>-73.502273</v>
      </c>
    </row>
    <row r="579">
      <c r="A579" s="6" t="str">
        <f>IFERROR(__xludf.DUMMYFUNCTION("""COMPUTED_VALUE"""),"Dalacuel")</f>
        <v>Dalacuel</v>
      </c>
      <c r="B579" s="9">
        <f>IFERROR(__xludf.DUMMYFUNCTION("""COMPUTED_VALUE"""),4.73263)</f>
        <v>4.73263</v>
      </c>
      <c r="C579" s="9">
        <f>IFERROR(__xludf.DUMMYFUNCTION("""COMPUTED_VALUE"""),-74.049042)</f>
        <v>-74.049042</v>
      </c>
    </row>
    <row r="580">
      <c r="A580" s="6" t="str">
        <f>IFERROR(__xludf.DUMMYFUNCTION("""COMPUTED_VALUE"""),"Natlycu")</f>
        <v>Natlycu</v>
      </c>
      <c r="B580" s="9">
        <f>IFERROR(__xludf.DUMMYFUNCTION("""COMPUTED_VALUE"""),4.668296)</f>
        <v>4.668296</v>
      </c>
      <c r="C580" s="9">
        <f>IFERROR(__xludf.DUMMYFUNCTION("""COMPUTED_VALUE"""),-74.097728)</f>
        <v>-74.097728</v>
      </c>
    </row>
    <row r="581">
      <c r="A581" s="6" t="str">
        <f>IFERROR(__xludf.DUMMYFUNCTION("""COMPUTED_VALUE"""),"Natlycu")</f>
        <v>Natlycu</v>
      </c>
      <c r="B581" s="9">
        <f>IFERROR(__xludf.DUMMYFUNCTION("""COMPUTED_VALUE"""),4.668296)</f>
        <v>4.668296</v>
      </c>
      <c r="C581" s="9">
        <f>IFERROR(__xludf.DUMMYFUNCTION("""COMPUTED_VALUE"""),-74.097728)</f>
        <v>-74.097728</v>
      </c>
    </row>
    <row r="582">
      <c r="A582" s="6" t="str">
        <f>IFERROR(__xludf.DUMMYFUNCTION("""COMPUTED_VALUE"""),"VirginiaClavijo")</f>
        <v>VirginiaClavijo</v>
      </c>
      <c r="B582" s="9">
        <f>IFERROR(__xludf.DUMMYFUNCTION("""COMPUTED_VALUE"""),4.610147)</f>
        <v>4.610147</v>
      </c>
      <c r="C582" s="9">
        <f>IFERROR(__xludf.DUMMYFUNCTION("""COMPUTED_VALUE"""),-74.075608)</f>
        <v>-74.075608</v>
      </c>
    </row>
    <row r="583">
      <c r="A583" s="6" t="str">
        <f>IFERROR(__xludf.DUMMYFUNCTION("""COMPUTED_VALUE"""),"Elprofeta91")</f>
        <v>Elprofeta91</v>
      </c>
      <c r="B583" s="9">
        <f>IFERROR(__xludf.DUMMYFUNCTION("""COMPUTED_VALUE"""),8.070706)</f>
        <v>8.070706</v>
      </c>
      <c r="C583" s="9">
        <f>IFERROR(__xludf.DUMMYFUNCTION("""COMPUTED_VALUE"""),-74.789261)</f>
        <v>-74.789261</v>
      </c>
    </row>
    <row r="584">
      <c r="A584" s="6" t="str">
        <f>IFERROR(__xludf.DUMMYFUNCTION("""COMPUTED_VALUE"""),"AmiGueko")</f>
        <v>AmiGueko</v>
      </c>
      <c r="B584" s="9">
        <f>IFERROR(__xludf.DUMMYFUNCTION("""COMPUTED_VALUE"""),4.66775)</f>
        <v>4.66775</v>
      </c>
      <c r="C584" s="9">
        <f>IFERROR(__xludf.DUMMYFUNCTION("""COMPUTED_VALUE"""),-74.09994)</f>
        <v>-74.09994</v>
      </c>
    </row>
    <row r="585">
      <c r="A585" s="6" t="str">
        <f>IFERROR(__xludf.DUMMYFUNCTION("""COMPUTED_VALUE"""),"AmiGueko")</f>
        <v>AmiGueko</v>
      </c>
      <c r="B585" s="9">
        <f>IFERROR(__xludf.DUMMYFUNCTION("""COMPUTED_VALUE"""),4.66775)</f>
        <v>4.66775</v>
      </c>
      <c r="C585" s="9">
        <f>IFERROR(__xludf.DUMMYFUNCTION("""COMPUTED_VALUE"""),-74.09994)</f>
        <v>-74.09994</v>
      </c>
    </row>
    <row r="586">
      <c r="A586" s="6" t="str">
        <f>IFERROR(__xludf.DUMMYFUNCTION("""COMPUTED_VALUE"""),"JuanitoCISF")</f>
        <v>JuanitoCISF</v>
      </c>
      <c r="B586" s="9">
        <f>IFERROR(__xludf.DUMMYFUNCTION("""COMPUTED_VALUE"""),5.714889)</f>
        <v>5.714889</v>
      </c>
      <c r="C586" s="9">
        <f>IFERROR(__xludf.DUMMYFUNCTION("""COMPUTED_VALUE"""),-75.30635)</f>
        <v>-75.30635</v>
      </c>
    </row>
    <row r="587">
      <c r="A587" s="6" t="str">
        <f>IFERROR(__xludf.DUMMYFUNCTION("""COMPUTED_VALUE"""),"NicolleTorresG")</f>
        <v>NicolleTorresG</v>
      </c>
      <c r="B587" s="9">
        <f>IFERROR(__xludf.DUMMYFUNCTION("""COMPUTED_VALUE"""),4.5994)</f>
        <v>4.5994</v>
      </c>
      <c r="C587" s="9">
        <f>IFERROR(__xludf.DUMMYFUNCTION("""COMPUTED_VALUE"""),-75.6854)</f>
        <v>-75.6854</v>
      </c>
    </row>
    <row r="588">
      <c r="A588" s="6" t="str">
        <f>IFERROR(__xludf.DUMMYFUNCTION("""COMPUTED_VALUE"""),"Nbareschu")</f>
        <v>Nbareschu</v>
      </c>
      <c r="B588" s="9">
        <f>IFERROR(__xludf.DUMMYFUNCTION("""COMPUTED_VALUE"""),4.561828)</f>
        <v>4.561828</v>
      </c>
      <c r="C588" s="9">
        <f>IFERROR(__xludf.DUMMYFUNCTION("""COMPUTED_VALUE"""),-73.989778)</f>
        <v>-73.989778</v>
      </c>
    </row>
    <row r="589">
      <c r="A589" s="6" t="str">
        <f>IFERROR(__xludf.DUMMYFUNCTION("""COMPUTED_VALUE"""),"Nbareschu")</f>
        <v>Nbareschu</v>
      </c>
      <c r="B589" s="9">
        <f>IFERROR(__xludf.DUMMYFUNCTION("""COMPUTED_VALUE"""),4.873)</f>
        <v>4.873</v>
      </c>
      <c r="C589" s="9">
        <f>IFERROR(__xludf.DUMMYFUNCTION("""COMPUTED_VALUE"""),-74.349586)</f>
        <v>-74.349586</v>
      </c>
    </row>
    <row r="590">
      <c r="A590" s="6" t="str">
        <f>IFERROR(__xludf.DUMMYFUNCTION("""COMPUTED_VALUE"""),"Nbareschu")</f>
        <v>Nbareschu</v>
      </c>
      <c r="B590" s="9">
        <f>IFERROR(__xludf.DUMMYFUNCTION("""COMPUTED_VALUE"""),4.8681)</f>
        <v>4.8681</v>
      </c>
      <c r="C590" s="9">
        <f>IFERROR(__xludf.DUMMYFUNCTION("""COMPUTED_VALUE"""),-74.344575)</f>
        <v>-74.344575</v>
      </c>
    </row>
    <row r="591">
      <c r="A591" s="6" t="str">
        <f>IFERROR(__xludf.DUMMYFUNCTION("""COMPUTED_VALUE"""),"Diferoch")</f>
        <v>Diferoch</v>
      </c>
      <c r="B591" s="9">
        <f>IFERROR(__xludf.DUMMYFUNCTION("""COMPUTED_VALUE"""),7.085062)</f>
        <v>7.085062</v>
      </c>
      <c r="C591" s="9">
        <f>IFERROR(__xludf.DUMMYFUNCTION("""COMPUTED_VALUE"""),-73.864098)</f>
        <v>-73.864098</v>
      </c>
    </row>
    <row r="592">
      <c r="A592" s="6" t="str">
        <f>IFERROR(__xludf.DUMMYFUNCTION("""COMPUTED_VALUE"""),"Diferoch")</f>
        <v>Diferoch</v>
      </c>
      <c r="B592" s="9">
        <f>IFERROR(__xludf.DUMMYFUNCTION("""COMPUTED_VALUE"""),7.085007)</f>
        <v>7.085007</v>
      </c>
      <c r="C592" s="9">
        <f>IFERROR(__xludf.DUMMYFUNCTION("""COMPUTED_VALUE"""),-73.864173)</f>
        <v>-73.864173</v>
      </c>
    </row>
    <row r="593">
      <c r="A593" s="6" t="str">
        <f>IFERROR(__xludf.DUMMYFUNCTION("""COMPUTED_VALUE"""),"Diferoch")</f>
        <v>Diferoch</v>
      </c>
      <c r="B593" s="9">
        <f>IFERROR(__xludf.DUMMYFUNCTION("""COMPUTED_VALUE"""),7.085063)</f>
        <v>7.085063</v>
      </c>
      <c r="C593" s="9">
        <f>IFERROR(__xludf.DUMMYFUNCTION("""COMPUTED_VALUE"""),-73.864098)</f>
        <v>-73.864098</v>
      </c>
    </row>
    <row r="594">
      <c r="A594" s="6" t="str">
        <f>IFERROR(__xludf.DUMMYFUNCTION("""COMPUTED_VALUE"""),"Elprofeta91")</f>
        <v>Elprofeta91</v>
      </c>
      <c r="B594" s="9">
        <f>IFERROR(__xludf.DUMMYFUNCTION("""COMPUTED_VALUE"""),8.070789)</f>
        <v>8.070789</v>
      </c>
      <c r="C594" s="9">
        <f>IFERROR(__xludf.DUMMYFUNCTION("""COMPUTED_VALUE"""),-74.788883)</f>
        <v>-74.788883</v>
      </c>
    </row>
    <row r="595">
      <c r="A595" s="6" t="str">
        <f>IFERROR(__xludf.DUMMYFUNCTION("""COMPUTED_VALUE"""),"AmiGueko")</f>
        <v>AmiGueko</v>
      </c>
      <c r="B595" s="9">
        <f>IFERROR(__xludf.DUMMYFUNCTION("""COMPUTED_VALUE"""),4.66775)</f>
        <v>4.66775</v>
      </c>
      <c r="C595" s="9">
        <f>IFERROR(__xludf.DUMMYFUNCTION("""COMPUTED_VALUE"""),-74.09994)</f>
        <v>-74.09994</v>
      </c>
    </row>
    <row r="596">
      <c r="A596" s="6" t="str">
        <f>IFERROR(__xludf.DUMMYFUNCTION("""COMPUTED_VALUE"""),"AmiGueko")</f>
        <v>AmiGueko</v>
      </c>
      <c r="B596" s="9">
        <f>IFERROR(__xludf.DUMMYFUNCTION("""COMPUTED_VALUE"""),4.66775)</f>
        <v>4.66775</v>
      </c>
      <c r="C596" s="9">
        <f>IFERROR(__xludf.DUMMYFUNCTION("""COMPUTED_VALUE"""),-74.099944)</f>
        <v>-74.099944</v>
      </c>
    </row>
    <row r="597">
      <c r="A597" s="6" t="str">
        <f>IFERROR(__xludf.DUMMYFUNCTION("""COMPUTED_VALUE"""),"JuanitoCISF")</f>
        <v>JuanitoCISF</v>
      </c>
      <c r="B597" s="9">
        <f>IFERROR(__xludf.DUMMYFUNCTION("""COMPUTED_VALUE"""),5.13175)</f>
        <v>5.13175</v>
      </c>
      <c r="C597" s="9">
        <f>IFERROR(__xludf.DUMMYFUNCTION("""COMPUTED_VALUE"""),-73.996147)</f>
        <v>-73.996147</v>
      </c>
    </row>
    <row r="598">
      <c r="A598" s="6" t="str">
        <f>IFERROR(__xludf.DUMMYFUNCTION("""COMPUTED_VALUE"""),"AmiGueko")</f>
        <v>AmiGueko</v>
      </c>
      <c r="B598" s="9">
        <f>IFERROR(__xludf.DUMMYFUNCTION("""COMPUTED_VALUE"""),5.065406)</f>
        <v>5.065406</v>
      </c>
      <c r="C598" s="9">
        <f>IFERROR(__xludf.DUMMYFUNCTION("""COMPUTED_VALUE"""),-75.502313)</f>
        <v>-75.502313</v>
      </c>
    </row>
    <row r="599">
      <c r="A599" s="6" t="str">
        <f>IFERROR(__xludf.DUMMYFUNCTION("""COMPUTED_VALUE"""),"AntonioEliseo")</f>
        <v>AntonioEliseo</v>
      </c>
      <c r="B599" s="9">
        <f>IFERROR(__xludf.DUMMYFUNCTION("""COMPUTED_VALUE"""),4.637934)</f>
        <v>4.637934</v>
      </c>
      <c r="C599" s="9">
        <f>IFERROR(__xludf.DUMMYFUNCTION("""COMPUTED_VALUE"""),-74.452158)</f>
        <v>-74.452158</v>
      </c>
    </row>
    <row r="600">
      <c r="A600" s="6" t="str">
        <f>IFERROR(__xludf.DUMMYFUNCTION("""COMPUTED_VALUE"""),"Natlycu")</f>
        <v>Natlycu</v>
      </c>
      <c r="B600" s="9">
        <f>IFERROR(__xludf.DUMMYFUNCTION("""COMPUTED_VALUE"""),4.360644)</f>
        <v>4.360644</v>
      </c>
      <c r="C600" s="9">
        <f>IFERROR(__xludf.DUMMYFUNCTION("""COMPUTED_VALUE"""),-74.335404)</f>
        <v>-74.335404</v>
      </c>
    </row>
    <row r="601">
      <c r="A601" s="6" t="str">
        <f>IFERROR(__xludf.DUMMYFUNCTION("""COMPUTED_VALUE"""),"Johannelob")</f>
        <v>Johannelob</v>
      </c>
      <c r="B601" s="9">
        <f>IFERROR(__xludf.DUMMYFUNCTION("""COMPUTED_VALUE"""),10.425)</f>
        <v>10.425</v>
      </c>
      <c r="C601" s="9">
        <f>IFERROR(__xludf.DUMMYFUNCTION("""COMPUTED_VALUE"""),-75.540278)</f>
        <v>-75.540278</v>
      </c>
    </row>
    <row r="602">
      <c r="A602" s="6" t="str">
        <f>IFERROR(__xludf.DUMMYFUNCTION("""COMPUTED_VALUE"""),"Luifereduardoo")</f>
        <v>Luifereduardoo</v>
      </c>
      <c r="B602" s="9">
        <f>IFERROR(__xludf.DUMMYFUNCTION("""COMPUTED_VALUE"""),6.449751)</f>
        <v>6.449751</v>
      </c>
      <c r="C602" s="9">
        <f>IFERROR(__xludf.DUMMYFUNCTION("""COMPUTED_VALUE"""),-72.354976)</f>
        <v>-72.354976</v>
      </c>
    </row>
    <row r="603">
      <c r="A603" s="6" t="str">
        <f>IFERROR(__xludf.DUMMYFUNCTION("""COMPUTED_VALUE"""),"Luifereduardoo")</f>
        <v>Luifereduardoo</v>
      </c>
      <c r="B603" s="9">
        <f>IFERROR(__xludf.DUMMYFUNCTION("""COMPUTED_VALUE"""),6.449751)</f>
        <v>6.449751</v>
      </c>
      <c r="C603" s="9">
        <f>IFERROR(__xludf.DUMMYFUNCTION("""COMPUTED_VALUE"""),-72.354976)</f>
        <v>-72.354976</v>
      </c>
    </row>
    <row r="604">
      <c r="A604" s="6" t="str">
        <f>IFERROR(__xludf.DUMMYFUNCTION("""COMPUTED_VALUE"""),"Jaiber.Guzman")</f>
        <v>Jaiber.Guzman</v>
      </c>
      <c r="B604" s="9">
        <f>IFERROR(__xludf.DUMMYFUNCTION("""COMPUTED_VALUE"""),5.384834)</f>
        <v>5.384834</v>
      </c>
      <c r="C604" s="9">
        <f>IFERROR(__xludf.DUMMYFUNCTION("""COMPUTED_VALUE"""),-73.859492)</f>
        <v>-73.859492</v>
      </c>
    </row>
    <row r="605">
      <c r="A605" s="6" t="str">
        <f>IFERROR(__xludf.DUMMYFUNCTION("""COMPUTED_VALUE"""),"NicolleTorresG")</f>
        <v>NicolleTorresG</v>
      </c>
      <c r="B605" s="9">
        <f>IFERROR(__xludf.DUMMYFUNCTION("""COMPUTED_VALUE"""),3.5611)</f>
        <v>3.5611</v>
      </c>
      <c r="C605" s="9">
        <f>IFERROR(__xludf.DUMMYFUNCTION("""COMPUTED_VALUE"""),-76.5569)</f>
        <v>-76.5569</v>
      </c>
    </row>
    <row r="606">
      <c r="A606" s="6" t="str">
        <f>IFERROR(__xludf.DUMMYFUNCTION("""COMPUTED_VALUE"""),"Rodrigomacrophoto")</f>
        <v>Rodrigomacrophoto</v>
      </c>
      <c r="B606" s="9">
        <f>IFERROR(__xludf.DUMMYFUNCTION("""COMPUTED_VALUE"""),4.87102)</f>
        <v>4.87102</v>
      </c>
      <c r="C606" s="9">
        <f>IFERROR(__xludf.DUMMYFUNCTION("""COMPUTED_VALUE"""),-74.085761)</f>
        <v>-74.085761</v>
      </c>
    </row>
    <row r="607">
      <c r="A607" s="6" t="str">
        <f>IFERROR(__xludf.DUMMYFUNCTION("""COMPUTED_VALUE"""),"TeaBonsai")</f>
        <v>TeaBonsai</v>
      </c>
      <c r="B607" s="9">
        <f>IFERROR(__xludf.DUMMYFUNCTION("""COMPUTED_VALUE"""),11.554478)</f>
        <v>11.554478</v>
      </c>
      <c r="C607" s="9">
        <f>IFERROR(__xludf.DUMMYFUNCTION("""COMPUTED_VALUE"""),-72.909094)</f>
        <v>-72.909094</v>
      </c>
    </row>
    <row r="608">
      <c r="A608" s="6" t="str">
        <f>IFERROR(__xludf.DUMMYFUNCTION("""COMPUTED_VALUE"""),"Guiverfer")</f>
        <v>Guiverfer</v>
      </c>
      <c r="B608" s="9">
        <f>IFERROR(__xludf.DUMMYFUNCTION("""COMPUTED_VALUE"""),6.243493)</f>
        <v>6.243493</v>
      </c>
      <c r="C608" s="9">
        <f>IFERROR(__xludf.DUMMYFUNCTION("""COMPUTED_VALUE"""),-75.554199)</f>
        <v>-75.554199</v>
      </c>
    </row>
    <row r="609">
      <c r="A609" s="6" t="str">
        <f>IFERROR(__xludf.DUMMYFUNCTION("""COMPUTED_VALUE"""),"JJCL09")</f>
        <v>JJCL09</v>
      </c>
      <c r="B609" s="9">
        <f>IFERROR(__xludf.DUMMYFUNCTION("""COMPUTED_VALUE"""),5.571986)</f>
        <v>5.571986</v>
      </c>
      <c r="C609" s="9">
        <f>IFERROR(__xludf.DUMMYFUNCTION("""COMPUTED_VALUE"""),-74.896942)</f>
        <v>-74.896942</v>
      </c>
    </row>
    <row r="610">
      <c r="A610" s="6" t="str">
        <f>IFERROR(__xludf.DUMMYFUNCTION("""COMPUTED_VALUE"""),"JJCL09")</f>
        <v>JJCL09</v>
      </c>
      <c r="B610" s="9">
        <f>IFERROR(__xludf.DUMMYFUNCTION("""COMPUTED_VALUE"""),5.566422)</f>
        <v>5.566422</v>
      </c>
      <c r="C610" s="9">
        <f>IFERROR(__xludf.DUMMYFUNCTION("""COMPUTED_VALUE"""),-74.907219)</f>
        <v>-74.907219</v>
      </c>
    </row>
    <row r="611">
      <c r="A611" s="6" t="str">
        <f>IFERROR(__xludf.DUMMYFUNCTION("""COMPUTED_VALUE"""),"Diferoch")</f>
        <v>Diferoch</v>
      </c>
      <c r="B611" s="9">
        <f>IFERROR(__xludf.DUMMYFUNCTION("""COMPUTED_VALUE"""),5.609268)</f>
        <v>5.609268</v>
      </c>
      <c r="C611" s="9">
        <f>IFERROR(__xludf.DUMMYFUNCTION("""COMPUTED_VALUE"""),-77.438568)</f>
        <v>-77.438568</v>
      </c>
    </row>
    <row r="612">
      <c r="A612" s="6" t="str">
        <f>IFERROR(__xludf.DUMMYFUNCTION("""COMPUTED_VALUE"""),"Diferoch")</f>
        <v>Diferoch</v>
      </c>
      <c r="B612" s="9">
        <f>IFERROR(__xludf.DUMMYFUNCTION("""COMPUTED_VALUE"""),7.096358)</f>
        <v>7.096358</v>
      </c>
      <c r="C612" s="9">
        <f>IFERROR(__xludf.DUMMYFUNCTION("""COMPUTED_VALUE"""),-73.756257)</f>
        <v>-73.756257</v>
      </c>
    </row>
    <row r="613">
      <c r="A613" s="6" t="str">
        <f>IFERROR(__xludf.DUMMYFUNCTION("""COMPUTED_VALUE"""),"Supertita")</f>
        <v>Supertita</v>
      </c>
      <c r="B613" s="9">
        <f>IFERROR(__xludf.DUMMYFUNCTION("""COMPUTED_VALUE"""),4.51316)</f>
        <v>4.51316</v>
      </c>
      <c r="C613" s="9">
        <f>IFERROR(__xludf.DUMMYFUNCTION("""COMPUTED_VALUE"""),-74.53792)</f>
        <v>-74.53792</v>
      </c>
    </row>
    <row r="614">
      <c r="A614" s="6" t="str">
        <f>IFERROR(__xludf.DUMMYFUNCTION("""COMPUTED_VALUE"""),"Supertita")</f>
        <v>Supertita</v>
      </c>
      <c r="B614" s="9">
        <f>IFERROR(__xludf.DUMMYFUNCTION("""COMPUTED_VALUE"""),5.3759)</f>
        <v>5.3759</v>
      </c>
      <c r="C614" s="9">
        <f>IFERROR(__xludf.DUMMYFUNCTION("""COMPUTED_VALUE"""),-7.33132)</f>
        <v>-7.33132</v>
      </c>
    </row>
    <row r="615">
      <c r="A615" s="6" t="str">
        <f>IFERROR(__xludf.DUMMYFUNCTION("""COMPUTED_VALUE"""),"Diferoch")</f>
        <v>Diferoch</v>
      </c>
      <c r="B615" s="9">
        <f>IFERROR(__xludf.DUMMYFUNCTION("""COMPUTED_VALUE"""),5.624793)</f>
        <v>5.624793</v>
      </c>
      <c r="C615" s="9">
        <f>IFERROR(__xludf.DUMMYFUNCTION("""COMPUTED_VALUE"""),-77.41819)</f>
        <v>-77.41819</v>
      </c>
    </row>
    <row r="616">
      <c r="A616" s="6" t="str">
        <f>IFERROR(__xludf.DUMMYFUNCTION("""COMPUTED_VALUE"""),"Supertita")</f>
        <v>Supertita</v>
      </c>
      <c r="B616" s="9">
        <f>IFERROR(__xludf.DUMMYFUNCTION("""COMPUTED_VALUE"""),4.52799)</f>
        <v>4.52799</v>
      </c>
      <c r="C616" s="9">
        <f>IFERROR(__xludf.DUMMYFUNCTION("""COMPUTED_VALUE"""),-73.75284)</f>
        <v>-73.75284</v>
      </c>
    </row>
    <row r="617">
      <c r="A617" s="6" t="str">
        <f>IFERROR(__xludf.DUMMYFUNCTION("""COMPUTED_VALUE"""),"Supertita")</f>
        <v>Supertita</v>
      </c>
      <c r="B617" s="9">
        <f>IFERROR(__xludf.DUMMYFUNCTION("""COMPUTED_VALUE"""),4.52799)</f>
        <v>4.52799</v>
      </c>
      <c r="C617" s="9">
        <f>IFERROR(__xludf.DUMMYFUNCTION("""COMPUTED_VALUE"""),-73.75284)</f>
        <v>-73.75284</v>
      </c>
    </row>
    <row r="618">
      <c r="A618" s="6" t="str">
        <f>IFERROR(__xludf.DUMMYFUNCTION("""COMPUTED_VALUE"""),"Luisalberto p")</f>
        <v>Luisalberto p</v>
      </c>
      <c r="B618" s="9">
        <f>IFERROR(__xludf.DUMMYFUNCTION("""COMPUTED_VALUE"""),4.316257)</f>
        <v>4.316257</v>
      </c>
      <c r="C618" s="9">
        <f>IFERROR(__xludf.DUMMYFUNCTION("""COMPUTED_VALUE"""),-75.538006)</f>
        <v>-75.538006</v>
      </c>
    </row>
    <row r="619">
      <c r="A619" s="6" t="str">
        <f>IFERROR(__xludf.DUMMYFUNCTION("""COMPUTED_VALUE"""),"Luisalberto p")</f>
        <v>Luisalberto p</v>
      </c>
      <c r="B619" s="9">
        <f>IFERROR(__xludf.DUMMYFUNCTION("""COMPUTED_VALUE"""),4.316257)</f>
        <v>4.316257</v>
      </c>
      <c r="C619" s="9">
        <f>IFERROR(__xludf.DUMMYFUNCTION("""COMPUTED_VALUE"""),-75.538006)</f>
        <v>-75.538006</v>
      </c>
    </row>
    <row r="620">
      <c r="A620" s="6" t="str">
        <f>IFERROR(__xludf.DUMMYFUNCTION("""COMPUTED_VALUE"""),"Luisalberto p")</f>
        <v>Luisalberto p</v>
      </c>
      <c r="B620" s="9">
        <f>IFERROR(__xludf.DUMMYFUNCTION("""COMPUTED_VALUE"""),4.316257)</f>
        <v>4.316257</v>
      </c>
      <c r="C620" s="9">
        <f>IFERROR(__xludf.DUMMYFUNCTION("""COMPUTED_VALUE"""),-75.538006)</f>
        <v>-75.538006</v>
      </c>
    </row>
    <row r="621">
      <c r="A621" s="6" t="str">
        <f>IFERROR(__xludf.DUMMYFUNCTION("""COMPUTED_VALUE"""),"JuanitoCISF")</f>
        <v>JuanitoCISF</v>
      </c>
      <c r="B621" s="9">
        <f>IFERROR(__xludf.DUMMYFUNCTION("""COMPUTED_VALUE"""),5.715806)</f>
        <v>5.715806</v>
      </c>
      <c r="C621" s="9">
        <f>IFERROR(__xludf.DUMMYFUNCTION("""COMPUTED_VALUE"""),-75.306769)</f>
        <v>-75.306769</v>
      </c>
    </row>
    <row r="622">
      <c r="A622" s="6" t="str">
        <f>IFERROR(__xludf.DUMMYFUNCTION("""COMPUTED_VALUE"""),"Halleyuncometafotografo")</f>
        <v>Halleyuncometafotografo</v>
      </c>
      <c r="B622" s="9">
        <f>IFERROR(__xludf.DUMMYFUNCTION("""COMPUTED_VALUE"""),5.513748)</f>
        <v>5.513748</v>
      </c>
      <c r="C622" s="9">
        <f>IFERROR(__xludf.DUMMYFUNCTION("""COMPUTED_VALUE"""),-74.197827)</f>
        <v>-74.197827</v>
      </c>
    </row>
    <row r="623">
      <c r="A623" s="6" t="str">
        <f>IFERROR(__xludf.DUMMYFUNCTION("""COMPUTED_VALUE"""),"Dewinjj")</f>
        <v>Dewinjj</v>
      </c>
      <c r="B623" s="9">
        <f>IFERROR(__xludf.DUMMYFUNCTION("""COMPUTED_VALUE"""),7.120676)</f>
        <v>7.120676</v>
      </c>
      <c r="C623" s="9">
        <f>IFERROR(__xludf.DUMMYFUNCTION("""COMPUTED_VALUE"""),-73.109657)</f>
        <v>-73.109657</v>
      </c>
    </row>
    <row r="624">
      <c r="A624" s="6" t="str">
        <f>IFERROR(__xludf.DUMMYFUNCTION("""COMPUTED_VALUE"""),"AmiGueko")</f>
        <v>AmiGueko</v>
      </c>
      <c r="B624" s="9">
        <f>IFERROR(__xludf.DUMMYFUNCTION("""COMPUTED_VALUE"""),4.66775)</f>
        <v>4.66775</v>
      </c>
      <c r="C624" s="9">
        <f>IFERROR(__xludf.DUMMYFUNCTION("""COMPUTED_VALUE"""),-74.099944)</f>
        <v>-74.099944</v>
      </c>
    </row>
    <row r="625">
      <c r="A625" s="6" t="str">
        <f>IFERROR(__xludf.DUMMYFUNCTION("""COMPUTED_VALUE"""),"AmiGueko")</f>
        <v>AmiGueko</v>
      </c>
      <c r="B625" s="9">
        <f>IFERROR(__xludf.DUMMYFUNCTION("""COMPUTED_VALUE"""),4.66775)</f>
        <v>4.66775</v>
      </c>
      <c r="C625" s="9">
        <f>IFERROR(__xludf.DUMMYFUNCTION("""COMPUTED_VALUE"""),-74.09994)</f>
        <v>-74.09994</v>
      </c>
    </row>
    <row r="626">
      <c r="A626" s="6" t="str">
        <f>IFERROR(__xludf.DUMMYFUNCTION("""COMPUTED_VALUE"""),"Dalacuel")</f>
        <v>Dalacuel</v>
      </c>
      <c r="B626" s="9">
        <f>IFERROR(__xludf.DUMMYFUNCTION("""COMPUTED_VALUE"""),4.864605)</f>
        <v>4.864605</v>
      </c>
      <c r="C626" s="9">
        <f>IFERROR(__xludf.DUMMYFUNCTION("""COMPUTED_VALUE"""),-74.048827)</f>
        <v>-74.048827</v>
      </c>
    </row>
    <row r="627">
      <c r="A627" s="6" t="str">
        <f>IFERROR(__xludf.DUMMYFUNCTION("""COMPUTED_VALUE"""),"Mpmarula1")</f>
        <v>Mpmarula1</v>
      </c>
      <c r="B627" s="9">
        <f>IFERROR(__xludf.DUMMYFUNCTION("""COMPUTED_VALUE"""),6.202494)</f>
        <v>6.202494</v>
      </c>
      <c r="C627" s="9">
        <f>IFERROR(__xludf.DUMMYFUNCTION("""COMPUTED_VALUE"""),-75.603242)</f>
        <v>-75.603242</v>
      </c>
    </row>
    <row r="628">
      <c r="A628" s="6" t="str">
        <f>IFERROR(__xludf.DUMMYFUNCTION("""COMPUTED_VALUE"""),"Nbareschu")</f>
        <v>Nbareschu</v>
      </c>
      <c r="B628" s="9">
        <f>IFERROR(__xludf.DUMMYFUNCTION("""COMPUTED_VALUE"""),4.562114)</f>
        <v>4.562114</v>
      </c>
      <c r="C628" s="9">
        <f>IFERROR(__xludf.DUMMYFUNCTION("""COMPUTED_VALUE"""),-73.989136)</f>
        <v>-73.989136</v>
      </c>
    </row>
    <row r="629">
      <c r="A629" s="6" t="str">
        <f>IFERROR(__xludf.DUMMYFUNCTION("""COMPUTED_VALUE"""),"Nbareschu")</f>
        <v>Nbareschu</v>
      </c>
      <c r="B629" s="9">
        <f>IFERROR(__xludf.DUMMYFUNCTION("""COMPUTED_VALUE"""),4.56205)</f>
        <v>4.56205</v>
      </c>
      <c r="C629" s="9">
        <f>IFERROR(__xludf.DUMMYFUNCTION("""COMPUTED_VALUE"""),-73.989211)</f>
        <v>-73.989211</v>
      </c>
    </row>
    <row r="630">
      <c r="A630" s="6" t="str">
        <f>IFERROR(__xludf.DUMMYFUNCTION("""COMPUTED_VALUE"""),"NMontoya (WMCO)")</f>
        <v>NMontoya (WMCO)</v>
      </c>
      <c r="B630" s="9">
        <f>IFERROR(__xludf.DUMMYFUNCTION("""COMPUTED_VALUE"""),4.669437)</f>
        <v>4.669437</v>
      </c>
      <c r="C630" s="9">
        <f>IFERROR(__xludf.DUMMYFUNCTION("""COMPUTED_VALUE"""),-74.097702)</f>
        <v>-74.097702</v>
      </c>
    </row>
    <row r="631">
      <c r="A631" s="6" t="str">
        <f>IFERROR(__xludf.DUMMYFUNCTION("""COMPUTED_VALUE"""),"AmiGueko")</f>
        <v>AmiGueko</v>
      </c>
      <c r="B631" s="9">
        <f>IFERROR(__xludf.DUMMYFUNCTION("""COMPUTED_VALUE"""),4.941262)</f>
        <v>4.941262</v>
      </c>
      <c r="C631" s="9">
        <f>IFERROR(__xludf.DUMMYFUNCTION("""COMPUTED_VALUE"""),-75.09543)</f>
        <v>-75.09543</v>
      </c>
    </row>
    <row r="632">
      <c r="A632" s="6" t="str">
        <f>IFERROR(__xludf.DUMMYFUNCTION("""COMPUTED_VALUE"""),"AmiGueko")</f>
        <v>AmiGueko</v>
      </c>
      <c r="B632" s="9">
        <f>IFERROR(__xludf.DUMMYFUNCTION("""COMPUTED_VALUE"""),4.949794)</f>
        <v>4.949794</v>
      </c>
      <c r="C632" s="9">
        <f>IFERROR(__xludf.DUMMYFUNCTION("""COMPUTED_VALUE"""),-74.884624)</f>
        <v>-74.884624</v>
      </c>
    </row>
    <row r="633">
      <c r="A633" s="6" t="str">
        <f>IFERROR(__xludf.DUMMYFUNCTION("""COMPUTED_VALUE"""),"AmiGueko")</f>
        <v>AmiGueko</v>
      </c>
      <c r="B633" s="9">
        <f>IFERROR(__xludf.DUMMYFUNCTION("""COMPUTED_VALUE"""),4.974434)</f>
        <v>4.974434</v>
      </c>
      <c r="C633" s="9">
        <f>IFERROR(__xludf.DUMMYFUNCTION("""COMPUTED_VALUE"""),-74.854865)</f>
        <v>-74.854865</v>
      </c>
    </row>
    <row r="634">
      <c r="A634" s="6" t="str">
        <f>IFERROR(__xludf.DUMMYFUNCTION("""COMPUTED_VALUE"""),"AmiGueko")</f>
        <v>AmiGueko</v>
      </c>
      <c r="B634" s="9">
        <f>IFERROR(__xludf.DUMMYFUNCTION("""COMPUTED_VALUE"""),4.926758)</f>
        <v>4.926758</v>
      </c>
      <c r="C634" s="9">
        <f>IFERROR(__xludf.DUMMYFUNCTION("""COMPUTED_VALUE"""),-74.821796)</f>
        <v>-74.821796</v>
      </c>
    </row>
    <row r="635">
      <c r="A635" s="6" t="str">
        <f>IFERROR(__xludf.DUMMYFUNCTION("""COMPUTED_VALUE"""),"AmiGueko")</f>
        <v>AmiGueko</v>
      </c>
      <c r="B635" s="9">
        <f>IFERROR(__xludf.DUMMYFUNCTION("""COMPUTED_VALUE"""),5.055419)</f>
        <v>5.055419</v>
      </c>
      <c r="C635" s="9">
        <f>IFERROR(__xludf.DUMMYFUNCTION("""COMPUTED_VALUE"""),-74.894363)</f>
        <v>-74.894363</v>
      </c>
    </row>
    <row r="636">
      <c r="A636" s="6" t="str">
        <f>IFERROR(__xludf.DUMMYFUNCTION("""COMPUTED_VALUE"""),"AmiGueko")</f>
        <v>AmiGueko</v>
      </c>
      <c r="B636" s="9">
        <f>IFERROR(__xludf.DUMMYFUNCTION("""COMPUTED_VALUE"""),4.880582)</f>
        <v>4.880582</v>
      </c>
      <c r="C636" s="9">
        <f>IFERROR(__xludf.DUMMYFUNCTION("""COMPUTED_VALUE"""),-74.862736)</f>
        <v>-74.862736</v>
      </c>
    </row>
    <row r="637">
      <c r="A637" s="6" t="str">
        <f>IFERROR(__xludf.DUMMYFUNCTION("""COMPUTED_VALUE"""),"AmiGueko")</f>
        <v>AmiGueko</v>
      </c>
      <c r="B637" s="9">
        <f>IFERROR(__xludf.DUMMYFUNCTION("""COMPUTED_VALUE"""),4.925383)</f>
        <v>4.925383</v>
      </c>
      <c r="C637" s="9">
        <f>IFERROR(__xludf.DUMMYFUNCTION("""COMPUTED_VALUE"""),-74.850895)</f>
        <v>-74.850895</v>
      </c>
    </row>
    <row r="638">
      <c r="A638" s="6" t="str">
        <f>IFERROR(__xludf.DUMMYFUNCTION("""COMPUTED_VALUE"""),"AmiGueko")</f>
        <v>AmiGueko</v>
      </c>
      <c r="B638" s="9">
        <f>IFERROR(__xludf.DUMMYFUNCTION("""COMPUTED_VALUE"""),4.943229)</f>
        <v>4.943229</v>
      </c>
      <c r="C638" s="9">
        <f>IFERROR(__xludf.DUMMYFUNCTION("""COMPUTED_VALUE"""),-74.845714)</f>
        <v>-74.845714</v>
      </c>
    </row>
    <row r="639">
      <c r="A639" s="6" t="str">
        <f>IFERROR(__xludf.DUMMYFUNCTION("""COMPUTED_VALUE"""),"Diferoch")</f>
        <v>Diferoch</v>
      </c>
      <c r="B639" s="9">
        <f>IFERROR(__xludf.DUMMYFUNCTION("""COMPUTED_VALUE"""),6.711032)</f>
        <v>6.711032</v>
      </c>
      <c r="C639" s="9">
        <f>IFERROR(__xludf.DUMMYFUNCTION("""COMPUTED_VALUE"""),-74.14618)</f>
        <v>-74.14618</v>
      </c>
    </row>
    <row r="640">
      <c r="A640" s="6" t="str">
        <f>IFERROR(__xludf.DUMMYFUNCTION("""COMPUTED_VALUE"""),"Pilarrb9286")</f>
        <v>Pilarrb9286</v>
      </c>
      <c r="B640" s="9">
        <f>IFERROR(__xludf.DUMMYFUNCTION("""COMPUTED_VALUE"""),5.78)</f>
        <v>5.78</v>
      </c>
      <c r="C640" s="9">
        <f>IFERROR(__xludf.DUMMYFUNCTION("""COMPUTED_VALUE"""),-73.1175)</f>
        <v>-73.1175</v>
      </c>
    </row>
    <row r="641">
      <c r="A641" s="6" t="str">
        <f>IFERROR(__xludf.DUMMYFUNCTION("""COMPUTED_VALUE"""),"Rodrigomacrophoto")</f>
        <v>Rodrigomacrophoto</v>
      </c>
      <c r="B641" s="9">
        <f>IFERROR(__xludf.DUMMYFUNCTION("""COMPUTED_VALUE"""),2.494485)</f>
        <v>2.494485</v>
      </c>
      <c r="C641" s="9">
        <f>IFERROR(__xludf.DUMMYFUNCTION("""COMPUTED_VALUE"""),-72.636197)</f>
        <v>-72.636197</v>
      </c>
    </row>
    <row r="642">
      <c r="A642" s="6" t="str">
        <f>IFERROR(__xludf.DUMMYFUNCTION("""COMPUTED_VALUE"""),"AmiGueko")</f>
        <v>AmiGueko</v>
      </c>
      <c r="B642" s="9">
        <f>IFERROR(__xludf.DUMMYFUNCTION("""COMPUTED_VALUE"""),4.972394)</f>
        <v>4.972394</v>
      </c>
      <c r="C642" s="9">
        <f>IFERROR(__xludf.DUMMYFUNCTION("""COMPUTED_VALUE"""),-74.290662)</f>
        <v>-74.290662</v>
      </c>
    </row>
    <row r="643">
      <c r="A643" s="6" t="str">
        <f>IFERROR(__xludf.DUMMYFUNCTION("""COMPUTED_VALUE"""),"AmiGueko")</f>
        <v>AmiGueko</v>
      </c>
      <c r="B643" s="9">
        <f>IFERROR(__xludf.DUMMYFUNCTION("""COMPUTED_VALUE"""),4.976074)</f>
        <v>4.976074</v>
      </c>
      <c r="C643" s="9">
        <f>IFERROR(__xludf.DUMMYFUNCTION("""COMPUTED_VALUE"""),-74.295378)</f>
        <v>-74.295378</v>
      </c>
    </row>
    <row r="644">
      <c r="A644" s="6" t="str">
        <f>IFERROR(__xludf.DUMMYFUNCTION("""COMPUTED_VALUE"""),"Elprofeta91")</f>
        <v>Elprofeta91</v>
      </c>
      <c r="B644" s="9">
        <f>IFERROR(__xludf.DUMMYFUNCTION("""COMPUTED_VALUE"""),8.072294)</f>
        <v>8.072294</v>
      </c>
      <c r="C644" s="9">
        <f>IFERROR(__xludf.DUMMYFUNCTION("""COMPUTED_VALUE"""),-74.786069)</f>
        <v>-74.786069</v>
      </c>
    </row>
    <row r="645">
      <c r="A645" s="6" t="str">
        <f>IFERROR(__xludf.DUMMYFUNCTION("""COMPUTED_VALUE"""),"Elprofeta91")</f>
        <v>Elprofeta91</v>
      </c>
      <c r="B645" s="9">
        <f>IFERROR(__xludf.DUMMYFUNCTION("""COMPUTED_VALUE"""),8.071933)</f>
        <v>8.071933</v>
      </c>
      <c r="C645" s="9">
        <f>IFERROR(__xludf.DUMMYFUNCTION("""COMPUTED_VALUE"""),-74.786572)</f>
        <v>-74.786572</v>
      </c>
    </row>
    <row r="646">
      <c r="A646" s="6" t="str">
        <f>IFERROR(__xludf.DUMMYFUNCTION("""COMPUTED_VALUE"""),"Diferoch")</f>
        <v>Diferoch</v>
      </c>
      <c r="B646" s="9">
        <f>IFERROR(__xludf.DUMMYFUNCTION("""COMPUTED_VALUE"""),5.625032)</f>
        <v>5.625032</v>
      </c>
      <c r="C646" s="9">
        <f>IFERROR(__xludf.DUMMYFUNCTION("""COMPUTED_VALUE"""),-77.420753)</f>
        <v>-77.420753</v>
      </c>
    </row>
    <row r="647">
      <c r="A647" s="6" t="str">
        <f>IFERROR(__xludf.DUMMYFUNCTION("""COMPUTED_VALUE"""),"Diferoch")</f>
        <v>Diferoch</v>
      </c>
      <c r="B647" s="9">
        <f>IFERROR(__xludf.DUMMYFUNCTION("""COMPUTED_VALUE"""),5.633037)</f>
        <v>5.633037</v>
      </c>
      <c r="C647" s="9">
        <f>IFERROR(__xludf.DUMMYFUNCTION("""COMPUTED_VALUE"""),-77.44574)</f>
        <v>-77.44574</v>
      </c>
    </row>
    <row r="648">
      <c r="A648" s="6" t="str">
        <f>IFERROR(__xludf.DUMMYFUNCTION("""COMPUTED_VALUE"""),"Project5443")</f>
        <v>Project5443</v>
      </c>
      <c r="B648" s="9">
        <f>IFERROR(__xludf.DUMMYFUNCTION("""COMPUTED_VALUE"""),11.0467)</f>
        <v>11.0467</v>
      </c>
      <c r="C648" s="9">
        <f>IFERROR(__xludf.DUMMYFUNCTION("""COMPUTED_VALUE"""),-74.8442)</f>
        <v>-74.8442</v>
      </c>
    </row>
    <row r="649">
      <c r="A649" s="6" t="str">
        <f>IFERROR(__xludf.DUMMYFUNCTION("""COMPUTED_VALUE"""),"SergioM01")</f>
        <v>SergioM01</v>
      </c>
      <c r="B649" s="9">
        <f>IFERROR(__xludf.DUMMYFUNCTION("""COMPUTED_VALUE"""),4.934704)</f>
        <v>4.934704</v>
      </c>
      <c r="C649" s="9">
        <f>IFERROR(__xludf.DUMMYFUNCTION("""COMPUTED_VALUE"""),-75.34723)</f>
        <v>-75.34723</v>
      </c>
    </row>
    <row r="650">
      <c r="A650" s="6" t="str">
        <f>IFERROR(__xludf.DUMMYFUNCTION("""COMPUTED_VALUE"""),"Estudiante0001")</f>
        <v>Estudiante0001</v>
      </c>
      <c r="B650" s="9">
        <f>IFERROR(__xludf.DUMMYFUNCTION("""COMPUTED_VALUE"""),4.842005)</f>
        <v>4.842005</v>
      </c>
      <c r="C650" s="9">
        <f>IFERROR(__xludf.DUMMYFUNCTION("""COMPUTED_VALUE"""),-73.834041)</f>
        <v>-73.834041</v>
      </c>
    </row>
    <row r="651">
      <c r="A651" s="6" t="str">
        <f>IFERROR(__xludf.DUMMYFUNCTION("""COMPUTED_VALUE"""),"Estudiante0001")</f>
        <v>Estudiante0001</v>
      </c>
      <c r="B651" s="9">
        <f>IFERROR(__xludf.DUMMYFUNCTION("""COMPUTED_VALUE"""),4.84197)</f>
        <v>4.84197</v>
      </c>
      <c r="C651" s="9">
        <f>IFERROR(__xludf.DUMMYFUNCTION("""COMPUTED_VALUE"""),-73.834124)</f>
        <v>-73.834124</v>
      </c>
    </row>
    <row r="652">
      <c r="A652" s="6" t="str">
        <f>IFERROR(__xludf.DUMMYFUNCTION("""COMPUTED_VALUE"""),"AmiGueko")</f>
        <v>AmiGueko</v>
      </c>
      <c r="B652" s="9">
        <f>IFERROR(__xludf.DUMMYFUNCTION("""COMPUTED_VALUE"""),4.978491)</f>
        <v>4.978491</v>
      </c>
      <c r="C652" s="9">
        <f>IFERROR(__xludf.DUMMYFUNCTION("""COMPUTED_VALUE"""),-74.288956)</f>
        <v>-74.288956</v>
      </c>
    </row>
    <row r="653">
      <c r="A653" s="6" t="str">
        <f>IFERROR(__xludf.DUMMYFUNCTION("""COMPUTED_VALUE"""),"Supertita")</f>
        <v>Supertita</v>
      </c>
      <c r="B653" s="9">
        <f>IFERROR(__xludf.DUMMYFUNCTION("""COMPUTED_VALUE"""),4.5816)</f>
        <v>4.5816</v>
      </c>
      <c r="C653" s="9">
        <f>IFERROR(__xludf.DUMMYFUNCTION("""COMPUTED_VALUE"""),-7.41721)</f>
        <v>-7.41721</v>
      </c>
    </row>
    <row r="654">
      <c r="A654" s="6" t="str">
        <f>IFERROR(__xludf.DUMMYFUNCTION("""COMPUTED_VALUE"""),"AmiGueko")</f>
        <v>AmiGueko</v>
      </c>
      <c r="B654" s="9">
        <f>IFERROR(__xludf.DUMMYFUNCTION("""COMPUTED_VALUE"""),5.06889)</f>
        <v>5.06889</v>
      </c>
      <c r="C654" s="9">
        <f>IFERROR(__xludf.DUMMYFUNCTION("""COMPUTED_VALUE"""),-75.531478)</f>
        <v>-75.531478</v>
      </c>
    </row>
    <row r="655">
      <c r="A655" s="6" t="str">
        <f>IFERROR(__xludf.DUMMYFUNCTION("""COMPUTED_VALUE"""),"AmiGueko")</f>
        <v>AmiGueko</v>
      </c>
      <c r="B655" s="9">
        <f>IFERROR(__xludf.DUMMYFUNCTION("""COMPUTED_VALUE"""),6.052822)</f>
        <v>6.052822</v>
      </c>
      <c r="C655" s="9">
        <f>IFERROR(__xludf.DUMMYFUNCTION("""COMPUTED_VALUE"""),-75.197948)</f>
        <v>-75.197948</v>
      </c>
    </row>
    <row r="656">
      <c r="A656" s="6" t="str">
        <f>IFERROR(__xludf.DUMMYFUNCTION("""COMPUTED_VALUE"""),"AmiGueko")</f>
        <v>AmiGueko</v>
      </c>
      <c r="B656" s="9">
        <f>IFERROR(__xludf.DUMMYFUNCTION("""COMPUTED_VALUE"""),4.974942)</f>
        <v>4.974942</v>
      </c>
      <c r="C656" s="9">
        <f>IFERROR(__xludf.DUMMYFUNCTION("""COMPUTED_VALUE"""),-74.2902)</f>
        <v>-74.2902</v>
      </c>
    </row>
    <row r="657">
      <c r="A657" s="6" t="str">
        <f>IFERROR(__xludf.DUMMYFUNCTION("""COMPUTED_VALUE"""),"Project5443")</f>
        <v>Project5443</v>
      </c>
      <c r="B657" s="9">
        <f>IFERROR(__xludf.DUMMYFUNCTION("""COMPUTED_VALUE"""),4.75467)</f>
        <v>4.75467</v>
      </c>
      <c r="C657" s="9">
        <f>IFERROR(__xludf.DUMMYFUNCTION("""COMPUTED_VALUE"""),-74.0435)</f>
        <v>-74.0435</v>
      </c>
    </row>
    <row r="658">
      <c r="A658" s="6" t="str">
        <f>IFERROR(__xludf.DUMMYFUNCTION("""COMPUTED_VALUE"""),"Nbareschu")</f>
        <v>Nbareschu</v>
      </c>
      <c r="B658" s="9">
        <f>IFERROR(__xludf.DUMMYFUNCTION("""COMPUTED_VALUE"""),6.479683)</f>
        <v>6.479683</v>
      </c>
      <c r="C658" s="9">
        <f>IFERROR(__xludf.DUMMYFUNCTION("""COMPUTED_VALUE"""),-72.337036)</f>
        <v>-72.337036</v>
      </c>
    </row>
    <row r="659">
      <c r="A659" s="6" t="str">
        <f>IFERROR(__xludf.DUMMYFUNCTION("""COMPUTED_VALUE"""),"Karl Alberto chanc")</f>
        <v>Karl Alberto chanc</v>
      </c>
      <c r="B659" s="9">
        <f>IFERROR(__xludf.DUMMYFUNCTION("""COMPUTED_VALUE"""),3.979794)</f>
        <v>3.979794</v>
      </c>
      <c r="C659" s="9">
        <f>IFERROR(__xludf.DUMMYFUNCTION("""COMPUTED_VALUE"""),7.415267)</f>
        <v>7.415267</v>
      </c>
    </row>
    <row r="660">
      <c r="A660" s="6" t="str">
        <f>IFERROR(__xludf.DUMMYFUNCTION("""COMPUTED_VALUE"""),"Luifereduardoo")</f>
        <v>Luifereduardoo</v>
      </c>
      <c r="B660" s="9">
        <f>IFERROR(__xludf.DUMMYFUNCTION("""COMPUTED_VALUE"""),10.495412)</f>
        <v>10.495412</v>
      </c>
      <c r="C660" s="9">
        <f>IFERROR(__xludf.DUMMYFUNCTION("""COMPUTED_VALUE"""),-75.125627)</f>
        <v>-75.125627</v>
      </c>
    </row>
    <row r="661">
      <c r="A661" s="6" t="str">
        <f>IFERROR(__xludf.DUMMYFUNCTION("""COMPUTED_VALUE"""),"Supertita")</f>
        <v>Supertita</v>
      </c>
      <c r="B661" s="9">
        <f>IFERROR(__xludf.DUMMYFUNCTION("""COMPUTED_VALUE"""),4.5816)</f>
        <v>4.5816</v>
      </c>
      <c r="C661" s="9">
        <f>IFERROR(__xludf.DUMMYFUNCTION("""COMPUTED_VALUE"""),-7.41721)</f>
        <v>-7.41721</v>
      </c>
    </row>
    <row r="662">
      <c r="A662" s="6" t="str">
        <f>IFERROR(__xludf.DUMMYFUNCTION("""COMPUTED_VALUE"""),"NMontoya (WMCO)")</f>
        <v>NMontoya (WMCO)</v>
      </c>
      <c r="B662" s="9">
        <f>IFERROR(__xludf.DUMMYFUNCTION("""COMPUTED_VALUE"""),4.669437)</f>
        <v>4.669437</v>
      </c>
      <c r="C662" s="9">
        <f>IFERROR(__xludf.DUMMYFUNCTION("""COMPUTED_VALUE"""),-74.097702)</f>
        <v>-74.097702</v>
      </c>
    </row>
    <row r="663">
      <c r="A663" s="6" t="str">
        <f>IFERROR(__xludf.DUMMYFUNCTION("""COMPUTED_VALUE"""),"Leo123qwerty")</f>
        <v>Leo123qwerty</v>
      </c>
      <c r="B663" s="9">
        <f>IFERROR(__xludf.DUMMYFUNCTION("""COMPUTED_VALUE"""),-7.883198)</f>
        <v>-7.883198</v>
      </c>
      <c r="C663" s="9">
        <f>IFERROR(__xludf.DUMMYFUNCTION("""COMPUTED_VALUE"""),-72.53127)</f>
        <v>-72.53127</v>
      </c>
    </row>
    <row r="664">
      <c r="A664" s="6" t="str">
        <f>IFERROR(__xludf.DUMMYFUNCTION("""COMPUTED_VALUE"""),"Supertita")</f>
        <v>Supertita</v>
      </c>
      <c r="B664" s="9">
        <f>IFERROR(__xludf.DUMMYFUNCTION("""COMPUTED_VALUE"""),5.02991)</f>
        <v>5.02991</v>
      </c>
      <c r="C664" s="9">
        <f>IFERROR(__xludf.DUMMYFUNCTION("""COMPUTED_VALUE"""),-74.282561)</f>
        <v>-74.282561</v>
      </c>
    </row>
    <row r="665">
      <c r="A665" s="6" t="str">
        <f>IFERROR(__xludf.DUMMYFUNCTION("""COMPUTED_VALUE"""),"JJCL09")</f>
        <v>JJCL09</v>
      </c>
      <c r="B665" s="9">
        <f>IFERROR(__xludf.DUMMYFUNCTION("""COMPUTED_VALUE"""),5.571886)</f>
        <v>5.571886</v>
      </c>
      <c r="C665" s="9">
        <f>IFERROR(__xludf.DUMMYFUNCTION("""COMPUTED_VALUE"""),-74.897072)</f>
        <v>-74.897072</v>
      </c>
    </row>
    <row r="666">
      <c r="A666" s="6" t="str">
        <f>IFERROR(__xludf.DUMMYFUNCTION("""COMPUTED_VALUE"""),"AmiGueko")</f>
        <v>AmiGueko</v>
      </c>
      <c r="B666" s="9">
        <f>IFERROR(__xludf.DUMMYFUNCTION("""COMPUTED_VALUE"""),4.66775)</f>
        <v>4.66775</v>
      </c>
      <c r="C666" s="9">
        <f>IFERROR(__xludf.DUMMYFUNCTION("""COMPUTED_VALUE"""),-74.09994)</f>
        <v>-74.09994</v>
      </c>
    </row>
    <row r="667">
      <c r="A667" s="6" t="str">
        <f>IFERROR(__xludf.DUMMYFUNCTION("""COMPUTED_VALUE"""),"PapisitoDeEmmanuel")</f>
        <v>PapisitoDeEmmanuel</v>
      </c>
      <c r="B667" s="9">
        <f>IFERROR(__xludf.DUMMYFUNCTION("""COMPUTED_VALUE"""),3.3229)</f>
        <v>3.3229</v>
      </c>
      <c r="C667" s="9">
        <f>IFERROR(__xludf.DUMMYFUNCTION("""COMPUTED_VALUE"""),-76.6096)</f>
        <v>-76.6096</v>
      </c>
    </row>
    <row r="668">
      <c r="A668" s="6" t="str">
        <f>IFERROR(__xludf.DUMMYFUNCTION("""COMPUTED_VALUE"""),"Johan Andrés Toro")</f>
        <v>Johan Andrés Toro</v>
      </c>
      <c r="B668" s="9">
        <f>IFERROR(__xludf.DUMMYFUNCTION("""COMPUTED_VALUE"""),4.578887)</f>
        <v>4.578887</v>
      </c>
      <c r="C668" s="9">
        <f>IFERROR(__xludf.DUMMYFUNCTION("""COMPUTED_VALUE"""),-74.294787)</f>
        <v>-74.294787</v>
      </c>
    </row>
    <row r="669">
      <c r="A669" s="6" t="str">
        <f>IFERROR(__xludf.DUMMYFUNCTION("""COMPUTED_VALUE"""),"NMontoya (WMCO)")</f>
        <v>NMontoya (WMCO)</v>
      </c>
      <c r="B669" s="9">
        <f>IFERROR(__xludf.DUMMYFUNCTION("""COMPUTED_VALUE"""),4.669437)</f>
        <v>4.669437</v>
      </c>
      <c r="C669" s="9">
        <f>IFERROR(__xludf.DUMMYFUNCTION("""COMPUTED_VALUE"""),-74.097702)</f>
        <v>-74.097702</v>
      </c>
    </row>
    <row r="670">
      <c r="A670" s="6" t="str">
        <f>IFERROR(__xludf.DUMMYFUNCTION("""COMPUTED_VALUE"""),"Supertita")</f>
        <v>Supertita</v>
      </c>
      <c r="B670" s="9">
        <f>IFERROR(__xludf.DUMMYFUNCTION("""COMPUTED_VALUE"""),4.52799)</f>
        <v>4.52799</v>
      </c>
      <c r="C670" s="9">
        <f>IFERROR(__xludf.DUMMYFUNCTION("""COMPUTED_VALUE"""),-73.75284)</f>
        <v>-73.75284</v>
      </c>
    </row>
    <row r="671">
      <c r="A671" s="6" t="str">
        <f>IFERROR(__xludf.DUMMYFUNCTION("""COMPUTED_VALUE"""),"Diferoch")</f>
        <v>Diferoch</v>
      </c>
      <c r="B671" s="9">
        <f>IFERROR(__xludf.DUMMYFUNCTION("""COMPUTED_VALUE"""),4.55)</f>
        <v>4.55</v>
      </c>
      <c r="C671" s="9">
        <f>IFERROR(__xludf.DUMMYFUNCTION("""COMPUTED_VALUE"""),-74.0)</f>
        <v>-74</v>
      </c>
    </row>
    <row r="672">
      <c r="A672" s="6" t="str">
        <f>IFERROR(__xludf.DUMMYFUNCTION("""COMPUTED_VALUE"""),"Diferoch")</f>
        <v>Diferoch</v>
      </c>
      <c r="B672" s="9">
        <f>IFERROR(__xludf.DUMMYFUNCTION("""COMPUTED_VALUE"""),4.55)</f>
        <v>4.55</v>
      </c>
      <c r="C672" s="9">
        <f>IFERROR(__xludf.DUMMYFUNCTION("""COMPUTED_VALUE"""),-74.0)</f>
        <v>-74</v>
      </c>
    </row>
    <row r="673">
      <c r="A673" s="6" t="str">
        <f>IFERROR(__xludf.DUMMYFUNCTION("""COMPUTED_VALUE"""),"Diferoch")</f>
        <v>Diferoch</v>
      </c>
      <c r="B673" s="9">
        <f>IFERROR(__xludf.DUMMYFUNCTION("""COMPUTED_VALUE"""),4.55)</f>
        <v>4.55</v>
      </c>
      <c r="C673" s="9">
        <f>IFERROR(__xludf.DUMMYFUNCTION("""COMPUTED_VALUE"""),-74.0)</f>
        <v>-74</v>
      </c>
    </row>
    <row r="674">
      <c r="A674" s="6" t="str">
        <f>IFERROR(__xludf.DUMMYFUNCTION("""COMPUTED_VALUE"""),"Diferoch")</f>
        <v>Diferoch</v>
      </c>
      <c r="B674" s="9">
        <f>IFERROR(__xludf.DUMMYFUNCTION("""COMPUTED_VALUE"""),4.54835)</f>
        <v>4.54835</v>
      </c>
      <c r="C674" s="9">
        <f>IFERROR(__xludf.DUMMYFUNCTION("""COMPUTED_VALUE"""),-73.99667)</f>
        <v>-73.99667</v>
      </c>
    </row>
    <row r="675">
      <c r="A675" s="6" t="str">
        <f>IFERROR(__xludf.DUMMYFUNCTION("""COMPUTED_VALUE"""),"Supertita")</f>
        <v>Supertita</v>
      </c>
      <c r="B675" s="9">
        <f>IFERROR(__xludf.DUMMYFUNCTION("""COMPUTED_VALUE"""),11.283333)</f>
        <v>11.283333</v>
      </c>
      <c r="C675" s="9">
        <f>IFERROR(__xludf.DUMMYFUNCTION("""COMPUTED_VALUE"""),-74.183333)</f>
        <v>-74.183333</v>
      </c>
    </row>
    <row r="676">
      <c r="A676" s="6" t="str">
        <f>IFERROR(__xludf.DUMMYFUNCTION("""COMPUTED_VALUE"""),"Romauribe")</f>
        <v>Romauribe</v>
      </c>
      <c r="B676" s="9">
        <f>IFERROR(__xludf.DUMMYFUNCTION("""COMPUTED_VALUE"""),5.197833)</f>
        <v>5.197833</v>
      </c>
      <c r="C676" s="9">
        <f>IFERROR(__xludf.DUMMYFUNCTION("""COMPUTED_VALUE"""),-74.394333)</f>
        <v>-74.394333</v>
      </c>
    </row>
    <row r="677">
      <c r="A677" s="6" t="str">
        <f>IFERROR(__xludf.DUMMYFUNCTION("""COMPUTED_VALUE"""),"Nbareschu")</f>
        <v>Nbareschu</v>
      </c>
      <c r="B677" s="9">
        <f>IFERROR(__xludf.DUMMYFUNCTION("""COMPUTED_VALUE"""),4.850792)</f>
        <v>4.850792</v>
      </c>
      <c r="C677" s="9">
        <f>IFERROR(__xludf.DUMMYFUNCTION("""COMPUTED_VALUE"""),-74.325517)</f>
        <v>-74.325517</v>
      </c>
    </row>
    <row r="678">
      <c r="A678" s="6" t="str">
        <f>IFERROR(__xludf.DUMMYFUNCTION("""COMPUTED_VALUE"""),"AmiGueko")</f>
        <v>AmiGueko</v>
      </c>
      <c r="B678" s="9">
        <f>IFERROR(__xludf.DUMMYFUNCTION("""COMPUTED_VALUE"""),6.226906)</f>
        <v>6.226906</v>
      </c>
      <c r="C678" s="9">
        <f>IFERROR(__xludf.DUMMYFUNCTION("""COMPUTED_VALUE"""),-75.640814)</f>
        <v>-75.640814</v>
      </c>
    </row>
    <row r="679">
      <c r="A679" s="6" t="str">
        <f>IFERROR(__xludf.DUMMYFUNCTION("""COMPUTED_VALUE"""),"Natlycu")</f>
        <v>Natlycu</v>
      </c>
      <c r="B679" s="9">
        <f>IFERROR(__xludf.DUMMYFUNCTION("""COMPUTED_VALUE"""),4.360644)</f>
        <v>4.360644</v>
      </c>
      <c r="C679" s="9">
        <f>IFERROR(__xludf.DUMMYFUNCTION("""COMPUTED_VALUE"""),-74.335404)</f>
        <v>-74.335404</v>
      </c>
    </row>
    <row r="680">
      <c r="A680" s="6" t="str">
        <f>IFERROR(__xludf.DUMMYFUNCTION("""COMPUTED_VALUE"""),"Sophy Martinez")</f>
        <v>Sophy Martinez</v>
      </c>
      <c r="B680" s="9">
        <f>IFERROR(__xludf.DUMMYFUNCTION("""COMPUTED_VALUE"""),4.575927)</f>
        <v>4.575927</v>
      </c>
      <c r="C680" s="9">
        <f>IFERROR(__xludf.DUMMYFUNCTION("""COMPUTED_VALUE"""),-74.0479)</f>
        <v>-74.0479</v>
      </c>
    </row>
    <row r="681">
      <c r="A681" s="6" t="str">
        <f>IFERROR(__xludf.DUMMYFUNCTION("""COMPUTED_VALUE"""),"Project5443")</f>
        <v>Project5443</v>
      </c>
      <c r="B681" s="9">
        <f>IFERROR(__xludf.DUMMYFUNCTION("""COMPUTED_VALUE"""),4.66788)</f>
        <v>4.66788</v>
      </c>
      <c r="C681" s="9">
        <f>IFERROR(__xludf.DUMMYFUNCTION("""COMPUTED_VALUE"""),-74.099779)</f>
        <v>-74.099779</v>
      </c>
    </row>
    <row r="682">
      <c r="A682" s="6" t="str">
        <f>IFERROR(__xludf.DUMMYFUNCTION("""COMPUTED_VALUE"""),"Diferoch")</f>
        <v>Diferoch</v>
      </c>
      <c r="B682" s="9">
        <f>IFERROR(__xludf.DUMMYFUNCTION("""COMPUTED_VALUE"""),11.141583)</f>
        <v>11.141583</v>
      </c>
      <c r="C682" s="9">
        <f>IFERROR(__xludf.DUMMYFUNCTION("""COMPUTED_VALUE"""),-74.226852)</f>
        <v>-74.226852</v>
      </c>
    </row>
    <row r="683">
      <c r="A683" s="6" t="str">
        <f>IFERROR(__xludf.DUMMYFUNCTION("""COMPUTED_VALUE"""),"Diferoch")</f>
        <v>Diferoch</v>
      </c>
      <c r="B683" s="9">
        <f>IFERROR(__xludf.DUMMYFUNCTION("""COMPUTED_VALUE"""),11.141598)</f>
        <v>11.141598</v>
      </c>
      <c r="C683" s="9">
        <f>IFERROR(__xludf.DUMMYFUNCTION("""COMPUTED_VALUE"""),-74.226943)</f>
        <v>-74.226943</v>
      </c>
    </row>
    <row r="684">
      <c r="A684" s="6" t="str">
        <f>IFERROR(__xludf.DUMMYFUNCTION("""COMPUTED_VALUE"""),"Diferoch")</f>
        <v>Diferoch</v>
      </c>
      <c r="B684" s="9">
        <f>IFERROR(__xludf.DUMMYFUNCTION("""COMPUTED_VALUE"""),11.141598)</f>
        <v>11.141598</v>
      </c>
      <c r="C684" s="9">
        <f>IFERROR(__xludf.DUMMYFUNCTION("""COMPUTED_VALUE"""),-74.226943)</f>
        <v>-74.226943</v>
      </c>
    </row>
    <row r="685">
      <c r="A685" s="6" t="str">
        <f>IFERROR(__xludf.DUMMYFUNCTION("""COMPUTED_VALUE"""),"Diferoch")</f>
        <v>Diferoch</v>
      </c>
      <c r="B685" s="9">
        <f>IFERROR(__xludf.DUMMYFUNCTION("""COMPUTED_VALUE"""),5.705548)</f>
        <v>5.705548</v>
      </c>
      <c r="C685" s="9">
        <f>IFERROR(__xludf.DUMMYFUNCTION("""COMPUTED_VALUE"""),-77.269982)</f>
        <v>-77.269982</v>
      </c>
    </row>
    <row r="686">
      <c r="A686" s="6" t="str">
        <f>IFERROR(__xludf.DUMMYFUNCTION("""COMPUTED_VALUE"""),"Nbareschu")</f>
        <v>Nbareschu</v>
      </c>
      <c r="B686" s="9">
        <f>IFERROR(__xludf.DUMMYFUNCTION("""COMPUTED_VALUE"""),4.991258)</f>
        <v>4.991258</v>
      </c>
      <c r="C686" s="9">
        <f>IFERROR(__xludf.DUMMYFUNCTION("""COMPUTED_VALUE"""),-74.235886)</f>
        <v>-74.235886</v>
      </c>
    </row>
    <row r="687">
      <c r="A687" s="6" t="str">
        <f>IFERROR(__xludf.DUMMYFUNCTION("""COMPUTED_VALUE"""),"Alexpanther")</f>
        <v>Alexpanther</v>
      </c>
      <c r="B687" s="9">
        <f>IFERROR(__xludf.DUMMYFUNCTION("""COMPUTED_VALUE"""),4.091467)</f>
        <v>4.091467</v>
      </c>
      <c r="C687" s="9">
        <f>IFERROR(__xludf.DUMMYFUNCTION("""COMPUTED_VALUE"""),-73.502273)</f>
        <v>-73.502273</v>
      </c>
    </row>
    <row r="688">
      <c r="A688" s="6" t="str">
        <f>IFERROR(__xludf.DUMMYFUNCTION("""COMPUTED_VALUE"""),"XimmoY")</f>
        <v>XimmoY</v>
      </c>
      <c r="B688" s="9">
        <f>IFERROR(__xludf.DUMMYFUNCTION("""COMPUTED_VALUE"""),5.86224)</f>
        <v>5.86224</v>
      </c>
      <c r="C688" s="9">
        <f>IFERROR(__xludf.DUMMYFUNCTION("""COMPUTED_VALUE"""),-74.87047)</f>
        <v>-74.87047</v>
      </c>
    </row>
    <row r="689">
      <c r="A689" s="6" t="str">
        <f>IFERROR(__xludf.DUMMYFUNCTION("""COMPUTED_VALUE"""),"Diferoch")</f>
        <v>Diferoch</v>
      </c>
      <c r="B689" s="9">
        <f>IFERROR(__xludf.DUMMYFUNCTION("""COMPUTED_VALUE"""),7.096085)</f>
        <v>7.096085</v>
      </c>
      <c r="C689" s="9">
        <f>IFERROR(__xludf.DUMMYFUNCTION("""COMPUTED_VALUE"""),-73.756287)</f>
        <v>-73.756287</v>
      </c>
    </row>
    <row r="690">
      <c r="A690" s="6" t="str">
        <f>IFERROR(__xludf.DUMMYFUNCTION("""COMPUTED_VALUE"""),"Chars21")</f>
        <v>Chars21</v>
      </c>
      <c r="B690" s="9">
        <f>IFERROR(__xludf.DUMMYFUNCTION("""COMPUTED_VALUE"""),10.983889)</f>
        <v>10.983889</v>
      </c>
      <c r="C690" s="9">
        <f>IFERROR(__xludf.DUMMYFUNCTION("""COMPUTED_VALUE"""),-74.950556)</f>
        <v>-74.950556</v>
      </c>
    </row>
    <row r="691">
      <c r="A691" s="6" t="str">
        <f>IFERROR(__xludf.DUMMYFUNCTION("""COMPUTED_VALUE"""),"Bioedna.ro")</f>
        <v>Bioedna.ro</v>
      </c>
      <c r="B691" s="9">
        <f>IFERROR(__xludf.DUMMYFUNCTION("""COMPUTED_VALUE"""),4.546453)</f>
        <v>4.546453</v>
      </c>
      <c r="C691" s="9">
        <f>IFERROR(__xludf.DUMMYFUNCTION("""COMPUTED_VALUE"""),-73.320335)</f>
        <v>-73.320335</v>
      </c>
    </row>
    <row r="692">
      <c r="A692" s="6" t="str">
        <f>IFERROR(__xludf.DUMMYFUNCTION("""COMPUTED_VALUE"""),"Estudiante0001")</f>
        <v>Estudiante0001</v>
      </c>
      <c r="B692" s="9">
        <f>IFERROR(__xludf.DUMMYFUNCTION("""COMPUTED_VALUE"""),4.862098)</f>
        <v>4.862098</v>
      </c>
      <c r="C692" s="9">
        <f>IFERROR(__xludf.DUMMYFUNCTION("""COMPUTED_VALUE"""),-73.868921)</f>
        <v>-73.868921</v>
      </c>
    </row>
    <row r="693">
      <c r="A693" s="6" t="str">
        <f>IFERROR(__xludf.DUMMYFUNCTION("""COMPUTED_VALUE"""),"AmiGueko")</f>
        <v>AmiGueko</v>
      </c>
      <c r="B693" s="9">
        <f>IFERROR(__xludf.DUMMYFUNCTION("""COMPUTED_VALUE"""),4.987165)</f>
        <v>4.987165</v>
      </c>
      <c r="C693" s="9">
        <f>IFERROR(__xludf.DUMMYFUNCTION("""COMPUTED_VALUE"""),-74.969861)</f>
        <v>-74.969861</v>
      </c>
    </row>
    <row r="694">
      <c r="A694" s="6" t="str">
        <f>IFERROR(__xludf.DUMMYFUNCTION("""COMPUTED_VALUE"""),"AmiGueko")</f>
        <v>AmiGueko</v>
      </c>
      <c r="B694" s="9">
        <f>IFERROR(__xludf.DUMMYFUNCTION("""COMPUTED_VALUE"""),4.940995)</f>
        <v>4.940995</v>
      </c>
      <c r="C694" s="9">
        <f>IFERROR(__xludf.DUMMYFUNCTION("""COMPUTED_VALUE"""),-75.15355)</f>
        <v>-75.15355</v>
      </c>
    </row>
    <row r="695">
      <c r="A695" s="6" t="str">
        <f>IFERROR(__xludf.DUMMYFUNCTION("""COMPUTED_VALUE"""),"AmiGueko")</f>
        <v>AmiGueko</v>
      </c>
      <c r="B695" s="9">
        <f>IFERROR(__xludf.DUMMYFUNCTION("""COMPUTED_VALUE"""),4.969457)</f>
        <v>4.969457</v>
      </c>
      <c r="C695" s="9">
        <f>IFERROR(__xludf.DUMMYFUNCTION("""COMPUTED_VALUE"""),-74.277323)</f>
        <v>-74.277323</v>
      </c>
    </row>
    <row r="696">
      <c r="A696" s="6" t="str">
        <f>IFERROR(__xludf.DUMMYFUNCTION("""COMPUTED_VALUE"""),"AmiGueko")</f>
        <v>AmiGueko</v>
      </c>
      <c r="B696" s="9">
        <f>IFERROR(__xludf.DUMMYFUNCTION("""COMPUTED_VALUE"""),4.97198)</f>
        <v>4.97198</v>
      </c>
      <c r="C696" s="9">
        <f>IFERROR(__xludf.DUMMYFUNCTION("""COMPUTED_VALUE"""),-74.259897)</f>
        <v>-74.259897</v>
      </c>
    </row>
    <row r="697">
      <c r="A697" s="6" t="str">
        <f>IFERROR(__xludf.DUMMYFUNCTION("""COMPUTED_VALUE"""),"AmiGueko")</f>
        <v>AmiGueko</v>
      </c>
      <c r="B697" s="9">
        <f>IFERROR(__xludf.DUMMYFUNCTION("""COMPUTED_VALUE"""),4.968622)</f>
        <v>4.968622</v>
      </c>
      <c r="C697" s="9">
        <f>IFERROR(__xludf.DUMMYFUNCTION("""COMPUTED_VALUE"""),-74.275899)</f>
        <v>-74.275899</v>
      </c>
    </row>
    <row r="698">
      <c r="A698" s="6" t="str">
        <f>IFERROR(__xludf.DUMMYFUNCTION("""COMPUTED_VALUE"""),"AmiGueko")</f>
        <v>AmiGueko</v>
      </c>
      <c r="B698" s="9">
        <f>IFERROR(__xludf.DUMMYFUNCTION("""COMPUTED_VALUE"""),4.969461)</f>
        <v>4.969461</v>
      </c>
      <c r="C698" s="9">
        <f>IFERROR(__xludf.DUMMYFUNCTION("""COMPUTED_VALUE"""),-74.243028)</f>
        <v>-74.243028</v>
      </c>
    </row>
    <row r="699">
      <c r="A699" s="6" t="str">
        <f>IFERROR(__xludf.DUMMYFUNCTION("""COMPUTED_VALUE"""),"AmiGueko")</f>
        <v>AmiGueko</v>
      </c>
      <c r="B699" s="9">
        <f>IFERROR(__xludf.DUMMYFUNCTION("""COMPUTED_VALUE"""),4.66775)</f>
        <v>4.66775</v>
      </c>
      <c r="C699" s="9">
        <f>IFERROR(__xludf.DUMMYFUNCTION("""COMPUTED_VALUE"""),-74.09994)</f>
        <v>-74.09994</v>
      </c>
    </row>
    <row r="700">
      <c r="A700" s="6" t="str">
        <f>IFERROR(__xludf.DUMMYFUNCTION("""COMPUTED_VALUE"""),"AmiGueko")</f>
        <v>AmiGueko</v>
      </c>
      <c r="B700" s="9">
        <f>IFERROR(__xludf.DUMMYFUNCTION("""COMPUTED_VALUE"""),4.66775)</f>
        <v>4.66775</v>
      </c>
      <c r="C700" s="9">
        <f>IFERROR(__xludf.DUMMYFUNCTION("""COMPUTED_VALUE"""),-74.09994)</f>
        <v>-74.09994</v>
      </c>
    </row>
    <row r="701">
      <c r="A701" s="6" t="str">
        <f>IFERROR(__xludf.DUMMYFUNCTION("""COMPUTED_VALUE"""),"AntonioEliseo")</f>
        <v>AntonioEliseo</v>
      </c>
      <c r="B701" s="9">
        <f>IFERROR(__xludf.DUMMYFUNCTION("""COMPUTED_VALUE"""),6.3368)</f>
        <v>6.3368</v>
      </c>
      <c r="C701" s="9">
        <f>IFERROR(__xludf.DUMMYFUNCTION("""COMPUTED_VALUE"""),-72.3307)</f>
        <v>-72.3307</v>
      </c>
    </row>
    <row r="702">
      <c r="A702" s="6" t="str">
        <f>IFERROR(__xludf.DUMMYFUNCTION("""COMPUTED_VALUE"""),"Leo123qwerty")</f>
        <v>Leo123qwerty</v>
      </c>
      <c r="B702" s="9">
        <f>IFERROR(__xludf.DUMMYFUNCTION("""COMPUTED_VALUE"""),7.883198)</f>
        <v>7.883198</v>
      </c>
      <c r="C702" s="9">
        <f>IFERROR(__xludf.DUMMYFUNCTION("""COMPUTED_VALUE"""),-72.53127)</f>
        <v>-72.53127</v>
      </c>
    </row>
    <row r="703">
      <c r="A703" s="6" t="str">
        <f>IFERROR(__xludf.DUMMYFUNCTION("""COMPUTED_VALUE"""),"Supertita")</f>
        <v>Supertita</v>
      </c>
      <c r="B703" s="9">
        <f>IFERROR(__xludf.DUMMYFUNCTION("""COMPUTED_VALUE"""),11.283333)</f>
        <v>11.283333</v>
      </c>
      <c r="C703" s="9">
        <f>IFERROR(__xludf.DUMMYFUNCTION("""COMPUTED_VALUE"""),-74.183333)</f>
        <v>-74.183333</v>
      </c>
    </row>
    <row r="704">
      <c r="A704" s="6" t="str">
        <f>IFERROR(__xludf.DUMMYFUNCTION("""COMPUTED_VALUE"""),"CA3avellaneda")</f>
        <v>CA3avellaneda</v>
      </c>
      <c r="B704" s="9">
        <f>IFERROR(__xludf.DUMMYFUNCTION("""COMPUTED_VALUE"""),11.235728)</f>
        <v>11.235728</v>
      </c>
      <c r="C704" s="9">
        <f>IFERROR(__xludf.DUMMYFUNCTION("""COMPUTED_VALUE"""),-74.219582)</f>
        <v>-74.219582</v>
      </c>
    </row>
    <row r="705">
      <c r="A705" s="6" t="str">
        <f>IFERROR(__xludf.DUMMYFUNCTION("""COMPUTED_VALUE"""),"Project5443")</f>
        <v>Project5443</v>
      </c>
      <c r="B705" s="9">
        <f>IFERROR(__xludf.DUMMYFUNCTION("""COMPUTED_VALUE"""),10.14389)</f>
        <v>10.14389</v>
      </c>
      <c r="C705" s="9">
        <f>IFERROR(__xludf.DUMMYFUNCTION("""COMPUTED_VALUE"""),-75.6825)</f>
        <v>-75.6825</v>
      </c>
    </row>
    <row r="706">
      <c r="A706" s="6" t="str">
        <f>IFERROR(__xludf.DUMMYFUNCTION("""COMPUTED_VALUE"""),"Nbareschu")</f>
        <v>Nbareschu</v>
      </c>
      <c r="B706" s="9">
        <f>IFERROR(__xludf.DUMMYFUNCTION("""COMPUTED_VALUE"""),4.847964)</f>
        <v>4.847964</v>
      </c>
      <c r="C706" s="9">
        <f>IFERROR(__xludf.DUMMYFUNCTION("""COMPUTED_VALUE"""),-74.323989)</f>
        <v>-74.323989</v>
      </c>
    </row>
    <row r="707">
      <c r="A707" s="6" t="str">
        <f>IFERROR(__xludf.DUMMYFUNCTION("""COMPUTED_VALUE"""),"AmiGueko")</f>
        <v>AmiGueko</v>
      </c>
      <c r="B707" s="9">
        <f>IFERROR(__xludf.DUMMYFUNCTION("""COMPUTED_VALUE"""),4.888844)</f>
        <v>4.888844</v>
      </c>
      <c r="C707" s="9">
        <f>IFERROR(__xludf.DUMMYFUNCTION("""COMPUTED_VALUE"""),-74.945026)</f>
        <v>-74.945026</v>
      </c>
    </row>
    <row r="708">
      <c r="A708" s="6" t="str">
        <f>IFERROR(__xludf.DUMMYFUNCTION("""COMPUTED_VALUE"""),"AmiGueko")</f>
        <v>AmiGueko</v>
      </c>
      <c r="B708" s="9">
        <f>IFERROR(__xludf.DUMMYFUNCTION("""COMPUTED_VALUE"""),4.945124)</f>
        <v>4.945124</v>
      </c>
      <c r="C708" s="9">
        <f>IFERROR(__xludf.DUMMYFUNCTION("""COMPUTED_VALUE"""),-74.81597)</f>
        <v>-74.81597</v>
      </c>
    </row>
    <row r="709">
      <c r="A709" s="6" t="str">
        <f>IFERROR(__xludf.DUMMYFUNCTION("""COMPUTED_VALUE"""),"XimmoY")</f>
        <v>XimmoY</v>
      </c>
      <c r="B709" s="9">
        <f>IFERROR(__xludf.DUMMYFUNCTION("""COMPUTED_VALUE"""),7.7667)</f>
        <v>7.7667</v>
      </c>
      <c r="C709" s="9">
        <f>IFERROR(__xludf.DUMMYFUNCTION("""COMPUTED_VALUE"""),-76.65)</f>
        <v>-76.65</v>
      </c>
    </row>
    <row r="710">
      <c r="A710" s="6" t="str">
        <f>IFERROR(__xludf.DUMMYFUNCTION("""COMPUTED_VALUE"""),"Jcast07")</f>
        <v>Jcast07</v>
      </c>
      <c r="B710" s="9">
        <f>IFERROR(__xludf.DUMMYFUNCTION("""COMPUTED_VALUE"""),4.977222)</f>
        <v>4.977222</v>
      </c>
      <c r="C710" s="9">
        <f>IFERROR(__xludf.DUMMYFUNCTION("""COMPUTED_VALUE"""),-73.775556)</f>
        <v>-73.775556</v>
      </c>
    </row>
    <row r="711">
      <c r="A711" s="6" t="str">
        <f>IFERROR(__xludf.DUMMYFUNCTION("""COMPUTED_VALUE"""),"AmiGueko")</f>
        <v>AmiGueko</v>
      </c>
      <c r="B711" s="9">
        <f>IFERROR(__xludf.DUMMYFUNCTION("""COMPUTED_VALUE"""),4.982199)</f>
        <v>4.982199</v>
      </c>
      <c r="C711" s="9">
        <f>IFERROR(__xludf.DUMMYFUNCTION("""COMPUTED_VALUE"""),-75.268737)</f>
        <v>-75.268737</v>
      </c>
    </row>
    <row r="712">
      <c r="A712" s="6" t="str">
        <f>IFERROR(__xludf.DUMMYFUNCTION("""COMPUTED_VALUE"""),"Adrianvargasag")</f>
        <v>Adrianvargasag</v>
      </c>
      <c r="B712" s="9">
        <f>IFERROR(__xludf.DUMMYFUNCTION("""COMPUTED_VALUE"""),4.933819)</f>
        <v>4.933819</v>
      </c>
      <c r="C712" s="9">
        <f>IFERROR(__xludf.DUMMYFUNCTION("""COMPUTED_VALUE"""),-75.324914)</f>
        <v>-75.324914</v>
      </c>
    </row>
    <row r="713">
      <c r="A713" s="6" t="str">
        <f>IFERROR(__xludf.DUMMYFUNCTION("""COMPUTED_VALUE"""),"AmiGueko")</f>
        <v>AmiGueko</v>
      </c>
      <c r="B713" s="9">
        <f>IFERROR(__xludf.DUMMYFUNCTION("""COMPUTED_VALUE"""),4.972243)</f>
        <v>4.972243</v>
      </c>
      <c r="C713" s="9">
        <f>IFERROR(__xludf.DUMMYFUNCTION("""COMPUTED_VALUE"""),-74.306983)</f>
        <v>-74.306983</v>
      </c>
    </row>
    <row r="714">
      <c r="A714" s="6" t="str">
        <f>IFERROR(__xludf.DUMMYFUNCTION("""COMPUTED_VALUE"""),"Diferoch")</f>
        <v>Diferoch</v>
      </c>
      <c r="B714" s="9">
        <f>IFERROR(__xludf.DUMMYFUNCTION("""COMPUTED_VALUE"""),7.084777)</f>
        <v>7.084777</v>
      </c>
      <c r="C714" s="9">
        <f>IFERROR(__xludf.DUMMYFUNCTION("""COMPUTED_VALUE"""),-73.86396)</f>
        <v>-73.86396</v>
      </c>
    </row>
    <row r="715">
      <c r="A715" s="6" t="str">
        <f>IFERROR(__xludf.DUMMYFUNCTION("""COMPUTED_VALUE"""),"Nbareschu")</f>
        <v>Nbareschu</v>
      </c>
      <c r="B715" s="9">
        <f>IFERROR(__xludf.DUMMYFUNCTION("""COMPUTED_VALUE"""),4.89705)</f>
        <v>4.89705</v>
      </c>
      <c r="C715" s="9">
        <f>IFERROR(__xludf.DUMMYFUNCTION("""COMPUTED_VALUE"""),-74.320167)</f>
        <v>-74.320167</v>
      </c>
    </row>
    <row r="716">
      <c r="A716" s="6" t="str">
        <f>IFERROR(__xludf.DUMMYFUNCTION("""COMPUTED_VALUE"""),"AmiGueko")</f>
        <v>AmiGueko</v>
      </c>
      <c r="B716" s="9">
        <f>IFERROR(__xludf.DUMMYFUNCTION("""COMPUTED_VALUE"""),4.66775)</f>
        <v>4.66775</v>
      </c>
      <c r="C716" s="9">
        <f>IFERROR(__xludf.DUMMYFUNCTION("""COMPUTED_VALUE"""),-74.099944)</f>
        <v>-74.099944</v>
      </c>
    </row>
    <row r="717">
      <c r="A717" s="6" t="str">
        <f>IFERROR(__xludf.DUMMYFUNCTION("""COMPUTED_VALUE"""),"Antoniacorralosorio")</f>
        <v>Antoniacorralosorio</v>
      </c>
      <c r="B717" s="9">
        <f>IFERROR(__xludf.DUMMYFUNCTION("""COMPUTED_VALUE"""),10.189183)</f>
        <v>10.189183</v>
      </c>
      <c r="C717" s="9">
        <f>IFERROR(__xludf.DUMMYFUNCTION("""COMPUTED_VALUE"""),-75.637169)</f>
        <v>-75.637169</v>
      </c>
    </row>
    <row r="718">
      <c r="A718" s="6" t="str">
        <f>IFERROR(__xludf.DUMMYFUNCTION("""COMPUTED_VALUE"""),"Charlesjsharp")</f>
        <v>Charlesjsharp</v>
      </c>
      <c r="B718" s="9">
        <f>IFERROR(__xludf.DUMMYFUNCTION("""COMPUTED_VALUE"""),5.85)</f>
        <v>5.85</v>
      </c>
      <c r="C718" s="9">
        <f>IFERROR(__xludf.DUMMYFUNCTION("""COMPUTED_VALUE"""),-76.18)</f>
        <v>-76.18</v>
      </c>
    </row>
    <row r="719">
      <c r="A719" s="6" t="str">
        <f>IFERROR(__xludf.DUMMYFUNCTION("""COMPUTED_VALUE"""),"JJCL09")</f>
        <v>JJCL09</v>
      </c>
      <c r="B719" s="9">
        <f>IFERROR(__xludf.DUMMYFUNCTION("""COMPUTED_VALUE"""),4.736361)</f>
        <v>4.736361</v>
      </c>
      <c r="C719" s="9">
        <f>IFERROR(__xludf.DUMMYFUNCTION("""COMPUTED_VALUE"""),-75.643356)</f>
        <v>-75.643356</v>
      </c>
    </row>
    <row r="720">
      <c r="A720" s="6" t="str">
        <f>IFERROR(__xludf.DUMMYFUNCTION("""COMPUTED_VALUE"""),"Diferoch")</f>
        <v>Diferoch</v>
      </c>
      <c r="B720" s="9">
        <f>IFERROR(__xludf.DUMMYFUNCTION("""COMPUTED_VALUE"""),7.085035)</f>
        <v>7.085035</v>
      </c>
      <c r="C720" s="9">
        <f>IFERROR(__xludf.DUMMYFUNCTION("""COMPUTED_VALUE"""),-73.864022)</f>
        <v>-73.864022</v>
      </c>
    </row>
    <row r="721">
      <c r="A721" s="6" t="str">
        <f>IFERROR(__xludf.DUMMYFUNCTION("""COMPUTED_VALUE"""),"Nbareschu")</f>
        <v>Nbareschu</v>
      </c>
      <c r="B721" s="9">
        <f>IFERROR(__xludf.DUMMYFUNCTION("""COMPUTED_VALUE"""),6.496114)</f>
        <v>6.496114</v>
      </c>
      <c r="C721" s="9">
        <f>IFERROR(__xludf.DUMMYFUNCTION("""COMPUTED_VALUE"""),-72.31685)</f>
        <v>-72.31685</v>
      </c>
    </row>
    <row r="722">
      <c r="A722" s="6" t="str">
        <f>IFERROR(__xludf.DUMMYFUNCTION("""COMPUTED_VALUE"""),"JuanitoCISF")</f>
        <v>JuanitoCISF</v>
      </c>
      <c r="B722" s="9">
        <f>IFERROR(__xludf.DUMMYFUNCTION("""COMPUTED_VALUE"""),5.131525)</f>
        <v>5.131525</v>
      </c>
      <c r="C722" s="9">
        <f>IFERROR(__xludf.DUMMYFUNCTION("""COMPUTED_VALUE"""),-73.996431)</f>
        <v>-73.996431</v>
      </c>
    </row>
    <row r="723">
      <c r="A723" s="6" t="str">
        <f>IFERROR(__xludf.DUMMYFUNCTION("""COMPUTED_VALUE"""),"JuanitoCISF")</f>
        <v>JuanitoCISF</v>
      </c>
      <c r="B723" s="9">
        <f>IFERROR(__xludf.DUMMYFUNCTION("""COMPUTED_VALUE"""),11.138283)</f>
        <v>11.138283</v>
      </c>
      <c r="C723" s="9">
        <f>IFERROR(__xludf.DUMMYFUNCTION("""COMPUTED_VALUE"""),-74.227403)</f>
        <v>-74.227403</v>
      </c>
    </row>
    <row r="724">
      <c r="A724" s="6" t="str">
        <f>IFERROR(__xludf.DUMMYFUNCTION("""COMPUTED_VALUE"""),"Zolsemiya")</f>
        <v>Zolsemiya</v>
      </c>
      <c r="B724" s="9">
        <f>IFERROR(__xludf.DUMMYFUNCTION("""COMPUTED_VALUE"""),4.172187)</f>
        <v>4.172187</v>
      </c>
      <c r="C724" s="9">
        <f>IFERROR(__xludf.DUMMYFUNCTION("""COMPUTED_VALUE"""),-74.146794)</f>
        <v>-74.146794</v>
      </c>
    </row>
    <row r="725">
      <c r="A725" s="6" t="str">
        <f>IFERROR(__xludf.DUMMYFUNCTION("""COMPUTED_VALUE"""),"Diferoch")</f>
        <v>Diferoch</v>
      </c>
      <c r="B725" s="9">
        <f>IFERROR(__xludf.DUMMYFUNCTION("""COMPUTED_VALUE"""),11.141678)</f>
        <v>11.141678</v>
      </c>
      <c r="C725" s="9">
        <f>IFERROR(__xludf.DUMMYFUNCTION("""COMPUTED_VALUE"""),-74.22628)</f>
        <v>-74.22628</v>
      </c>
    </row>
    <row r="726">
      <c r="A726" s="6" t="str">
        <f>IFERROR(__xludf.DUMMYFUNCTION("""COMPUTED_VALUE"""),"Diferoch")</f>
        <v>Diferoch</v>
      </c>
      <c r="B726" s="9">
        <f>IFERROR(__xludf.DUMMYFUNCTION("""COMPUTED_VALUE"""),11.141678)</f>
        <v>11.141678</v>
      </c>
      <c r="C726" s="9">
        <f>IFERROR(__xludf.DUMMYFUNCTION("""COMPUTED_VALUE"""),-74.22628)</f>
        <v>-74.22628</v>
      </c>
    </row>
    <row r="727">
      <c r="A727" s="6" t="str">
        <f>IFERROR(__xludf.DUMMYFUNCTION("""COMPUTED_VALUE"""),"Diferoch")</f>
        <v>Diferoch</v>
      </c>
      <c r="B727" s="9">
        <f>IFERROR(__xludf.DUMMYFUNCTION("""COMPUTED_VALUE"""),11.141678)</f>
        <v>11.141678</v>
      </c>
      <c r="C727" s="9">
        <f>IFERROR(__xludf.DUMMYFUNCTION("""COMPUTED_VALUE"""),-74.22628)</f>
        <v>-74.22628</v>
      </c>
    </row>
    <row r="728">
      <c r="A728" s="6" t="str">
        <f>IFERROR(__xludf.DUMMYFUNCTION("""COMPUTED_VALUE"""),"XimmoY")</f>
        <v>XimmoY</v>
      </c>
      <c r="B728" s="9">
        <f>IFERROR(__xludf.DUMMYFUNCTION("""COMPUTED_VALUE"""),5.86224)</f>
        <v>5.86224</v>
      </c>
      <c r="C728" s="9">
        <f>IFERROR(__xludf.DUMMYFUNCTION("""COMPUTED_VALUE"""),-74.87047)</f>
        <v>-74.87047</v>
      </c>
    </row>
    <row r="729">
      <c r="A729" s="6" t="str">
        <f>IFERROR(__xludf.DUMMYFUNCTION("""COMPUTED_VALUE"""),"AmiGueko")</f>
        <v>AmiGueko</v>
      </c>
      <c r="B729" s="9">
        <f>IFERROR(__xludf.DUMMYFUNCTION("""COMPUTED_VALUE"""),4.257092)</f>
        <v>4.257092</v>
      </c>
      <c r="C729" s="9">
        <f>IFERROR(__xludf.DUMMYFUNCTION("""COMPUTED_VALUE"""),-75.928643)</f>
        <v>-75.928643</v>
      </c>
    </row>
    <row r="730">
      <c r="A730" s="6" t="str">
        <f>IFERROR(__xludf.DUMMYFUNCTION("""COMPUTED_VALUE"""),"AmiGueko")</f>
        <v>AmiGueko</v>
      </c>
      <c r="B730" s="9">
        <f>IFERROR(__xludf.DUMMYFUNCTION("""COMPUTED_VALUE"""),4.261861)</f>
        <v>4.261861</v>
      </c>
      <c r="C730" s="9">
        <f>IFERROR(__xludf.DUMMYFUNCTION("""COMPUTED_VALUE"""),-75.922112)</f>
        <v>-75.922112</v>
      </c>
    </row>
    <row r="731">
      <c r="A731" s="6" t="str">
        <f>IFERROR(__xludf.DUMMYFUNCTION("""COMPUTED_VALUE"""),"AmiGueko")</f>
        <v>AmiGueko</v>
      </c>
      <c r="B731" s="9">
        <f>IFERROR(__xludf.DUMMYFUNCTION("""COMPUTED_VALUE"""),4.273815)</f>
        <v>4.273815</v>
      </c>
      <c r="C731" s="9">
        <f>IFERROR(__xludf.DUMMYFUNCTION("""COMPUTED_VALUE"""),-75.961996)</f>
        <v>-75.961996</v>
      </c>
    </row>
    <row r="732">
      <c r="A732" s="6" t="str">
        <f>IFERROR(__xludf.DUMMYFUNCTION("""COMPUTED_VALUE"""),"AmiGueko")</f>
        <v>AmiGueko</v>
      </c>
      <c r="B732" s="9">
        <f>IFERROR(__xludf.DUMMYFUNCTION("""COMPUTED_VALUE"""),4.258829)</f>
        <v>4.258829</v>
      </c>
      <c r="C732" s="9">
        <f>IFERROR(__xludf.DUMMYFUNCTION("""COMPUTED_VALUE"""),-75.96969)</f>
        <v>-75.96969</v>
      </c>
    </row>
    <row r="733">
      <c r="A733" s="6" t="str">
        <f>IFERROR(__xludf.DUMMYFUNCTION("""COMPUTED_VALUE"""),"AmiGueko")</f>
        <v>AmiGueko</v>
      </c>
      <c r="B733" s="9">
        <f>IFERROR(__xludf.DUMMYFUNCTION("""COMPUTED_VALUE"""),4.263937)</f>
        <v>4.263937</v>
      </c>
      <c r="C733" s="9">
        <f>IFERROR(__xludf.DUMMYFUNCTION("""COMPUTED_VALUE"""),-75.958368)</f>
        <v>-75.958368</v>
      </c>
    </row>
    <row r="734">
      <c r="A734" s="6" t="str">
        <f>IFERROR(__xludf.DUMMYFUNCTION("""COMPUTED_VALUE"""),"AmiGueko")</f>
        <v>AmiGueko</v>
      </c>
      <c r="B734" s="9">
        <f>IFERROR(__xludf.DUMMYFUNCTION("""COMPUTED_VALUE"""),4.259998)</f>
        <v>4.259998</v>
      </c>
      <c r="C734" s="9">
        <f>IFERROR(__xludf.DUMMYFUNCTION("""COMPUTED_VALUE"""),-75.947994)</f>
        <v>-75.947994</v>
      </c>
    </row>
    <row r="735">
      <c r="A735" s="6" t="str">
        <f>IFERROR(__xludf.DUMMYFUNCTION("""COMPUTED_VALUE"""),"AmiGueko")</f>
        <v>AmiGueko</v>
      </c>
      <c r="B735" s="9">
        <f>IFERROR(__xludf.DUMMYFUNCTION("""COMPUTED_VALUE"""),4.268976)</f>
        <v>4.268976</v>
      </c>
      <c r="C735" s="9">
        <f>IFERROR(__xludf.DUMMYFUNCTION("""COMPUTED_VALUE"""),-75.940237)</f>
        <v>-75.940237</v>
      </c>
    </row>
    <row r="736">
      <c r="A736" s="6" t="str">
        <f>IFERROR(__xludf.DUMMYFUNCTION("""COMPUTED_VALUE"""),"AmiGueko")</f>
        <v>AmiGueko</v>
      </c>
      <c r="B736" s="9">
        <f>IFERROR(__xludf.DUMMYFUNCTION("""COMPUTED_VALUE"""),4.277292)</f>
        <v>4.277292</v>
      </c>
      <c r="C736" s="9">
        <f>IFERROR(__xludf.DUMMYFUNCTION("""COMPUTED_VALUE"""),-75.94938)</f>
        <v>-75.94938</v>
      </c>
    </row>
    <row r="737">
      <c r="A737" s="6" t="str">
        <f>IFERROR(__xludf.DUMMYFUNCTION("""COMPUTED_VALUE"""),"AmiGueko")</f>
        <v>AmiGueko</v>
      </c>
      <c r="B737" s="9">
        <f>IFERROR(__xludf.DUMMYFUNCTION("""COMPUTED_VALUE"""),4.253054)</f>
        <v>4.253054</v>
      </c>
      <c r="C737" s="9">
        <f>IFERROR(__xludf.DUMMYFUNCTION("""COMPUTED_VALUE"""),-75.961495)</f>
        <v>-75.961495</v>
      </c>
    </row>
    <row r="738">
      <c r="A738" s="6" t="str">
        <f>IFERROR(__xludf.DUMMYFUNCTION("""COMPUTED_VALUE"""),"AmiGueko")</f>
        <v>AmiGueko</v>
      </c>
      <c r="B738" s="9">
        <f>IFERROR(__xludf.DUMMYFUNCTION("""COMPUTED_VALUE"""),4.261136)</f>
        <v>4.261136</v>
      </c>
      <c r="C738" s="9">
        <f>IFERROR(__xludf.DUMMYFUNCTION("""COMPUTED_VALUE"""),-75.949435)</f>
        <v>-75.949435</v>
      </c>
    </row>
    <row r="739">
      <c r="A739" s="6" t="str">
        <f>IFERROR(__xludf.DUMMYFUNCTION("""COMPUTED_VALUE"""),"AmiGueko")</f>
        <v>AmiGueko</v>
      </c>
      <c r="B739" s="9">
        <f>IFERROR(__xludf.DUMMYFUNCTION("""COMPUTED_VALUE"""),4.251154)</f>
        <v>4.251154</v>
      </c>
      <c r="C739" s="9">
        <f>IFERROR(__xludf.DUMMYFUNCTION("""COMPUTED_VALUE"""),-75.951812)</f>
        <v>-75.951812</v>
      </c>
    </row>
    <row r="740">
      <c r="A740" s="6" t="str">
        <f>IFERROR(__xludf.DUMMYFUNCTION("""COMPUTED_VALUE"""),"Andresdflorez23")</f>
        <v>Andresdflorez23</v>
      </c>
      <c r="B740" s="9">
        <f>IFERROR(__xludf.DUMMYFUNCTION("""COMPUTED_VALUE"""),4.563949)</f>
        <v>4.563949</v>
      </c>
      <c r="C740" s="9">
        <f>IFERROR(__xludf.DUMMYFUNCTION("""COMPUTED_VALUE"""),-74.526271)</f>
        <v>-74.526271</v>
      </c>
    </row>
    <row r="741">
      <c r="A741" s="6" t="str">
        <f>IFERROR(__xludf.DUMMYFUNCTION("""COMPUTED_VALUE"""),"XimmoY")</f>
        <v>XimmoY</v>
      </c>
      <c r="B741" s="9">
        <f>IFERROR(__xludf.DUMMYFUNCTION("""COMPUTED_VALUE"""),5.86224)</f>
        <v>5.86224</v>
      </c>
      <c r="C741" s="9">
        <f>IFERROR(__xludf.DUMMYFUNCTION("""COMPUTED_VALUE"""),-74.87047)</f>
        <v>-74.87047</v>
      </c>
    </row>
    <row r="742">
      <c r="A742" s="6" t="str">
        <f>IFERROR(__xludf.DUMMYFUNCTION("""COMPUTED_VALUE"""),"AmiGueko")</f>
        <v>AmiGueko</v>
      </c>
      <c r="B742" s="9">
        <f>IFERROR(__xludf.DUMMYFUNCTION("""COMPUTED_VALUE"""),4.272512)</f>
        <v>4.272512</v>
      </c>
      <c r="C742" s="9">
        <f>IFERROR(__xludf.DUMMYFUNCTION("""COMPUTED_VALUE"""),-75.934309)</f>
        <v>-75.934309</v>
      </c>
    </row>
    <row r="743">
      <c r="A743" s="6" t="str">
        <f>IFERROR(__xludf.DUMMYFUNCTION("""COMPUTED_VALUE"""),"Charlesjsharp")</f>
        <v>Charlesjsharp</v>
      </c>
      <c r="B743" s="9">
        <f>IFERROR(__xludf.DUMMYFUNCTION("""COMPUTED_VALUE"""),5.85)</f>
        <v>5.85</v>
      </c>
      <c r="C743" s="9">
        <f>IFERROR(__xludf.DUMMYFUNCTION("""COMPUTED_VALUE"""),-76.18)</f>
        <v>-76.18</v>
      </c>
    </row>
    <row r="744">
      <c r="A744" s="6" t="str">
        <f>IFERROR(__xludf.DUMMYFUNCTION("""COMPUTED_VALUE"""),"Charlesjsharp")</f>
        <v>Charlesjsharp</v>
      </c>
      <c r="B744" s="9">
        <f>IFERROR(__xludf.DUMMYFUNCTION("""COMPUTED_VALUE"""),5.07)</f>
        <v>5.07</v>
      </c>
      <c r="C744" s="9">
        <f>IFERROR(__xludf.DUMMYFUNCTION("""COMPUTED_VALUE"""),-75.44)</f>
        <v>-75.44</v>
      </c>
    </row>
    <row r="745">
      <c r="A745" s="6" t="str">
        <f>IFERROR(__xludf.DUMMYFUNCTION("""COMPUTED_VALUE"""),"Rodrigomacrophoto")</f>
        <v>Rodrigomacrophoto</v>
      </c>
      <c r="B745" s="9">
        <f>IFERROR(__xludf.DUMMYFUNCTION("""COMPUTED_VALUE"""),2.494485)</f>
        <v>2.494485</v>
      </c>
      <c r="C745" s="9">
        <f>IFERROR(__xludf.DUMMYFUNCTION("""COMPUTED_VALUE"""),-72.636197)</f>
        <v>-72.636197</v>
      </c>
    </row>
    <row r="746">
      <c r="A746" s="6" t="str">
        <f>IFERROR(__xludf.DUMMYFUNCTION("""COMPUTED_VALUE"""),"NMontoya (WMCO)")</f>
        <v>NMontoya (WMCO)</v>
      </c>
      <c r="B746" s="9">
        <f>IFERROR(__xludf.DUMMYFUNCTION("""COMPUTED_VALUE"""),4.669437)</f>
        <v>4.669437</v>
      </c>
      <c r="C746" s="9">
        <f>IFERROR(__xludf.DUMMYFUNCTION("""COMPUTED_VALUE"""),-74.097702)</f>
        <v>-74.097702</v>
      </c>
    </row>
    <row r="747">
      <c r="A747" s="6" t="str">
        <f>IFERROR(__xludf.DUMMYFUNCTION("""COMPUTED_VALUE"""),"Diferoch")</f>
        <v>Diferoch</v>
      </c>
      <c r="B747" s="9">
        <f>IFERROR(__xludf.DUMMYFUNCTION("""COMPUTED_VALUE"""),5.613725)</f>
        <v>5.613725</v>
      </c>
      <c r="C747" s="9">
        <f>IFERROR(__xludf.DUMMYFUNCTION("""COMPUTED_VALUE"""),-77.433403)</f>
        <v>-77.433403</v>
      </c>
    </row>
    <row r="748">
      <c r="A748" s="6" t="str">
        <f>IFERROR(__xludf.DUMMYFUNCTION("""COMPUTED_VALUE"""),"Diferoch")</f>
        <v>Diferoch</v>
      </c>
      <c r="B748" s="9">
        <f>IFERROR(__xludf.DUMMYFUNCTION("""COMPUTED_VALUE"""),5.613982)</f>
        <v>5.613982</v>
      </c>
      <c r="C748" s="9">
        <f>IFERROR(__xludf.DUMMYFUNCTION("""COMPUTED_VALUE"""),-77.433433)</f>
        <v>-77.433433</v>
      </c>
    </row>
    <row r="749">
      <c r="A749" s="6" t="str">
        <f>IFERROR(__xludf.DUMMYFUNCTION("""COMPUTED_VALUE"""),"Diferoch")</f>
        <v>Diferoch</v>
      </c>
      <c r="B749" s="9">
        <f>IFERROR(__xludf.DUMMYFUNCTION("""COMPUTED_VALUE"""),5.614262)</f>
        <v>5.614262</v>
      </c>
      <c r="C749" s="9">
        <f>IFERROR(__xludf.DUMMYFUNCTION("""COMPUTED_VALUE"""),-77.433572)</f>
        <v>-77.433572</v>
      </c>
    </row>
    <row r="750">
      <c r="A750" s="6" t="str">
        <f>IFERROR(__xludf.DUMMYFUNCTION("""COMPUTED_VALUE"""),"NMontoya (WMCO)")</f>
        <v>NMontoya (WMCO)</v>
      </c>
      <c r="B750" s="9">
        <f>IFERROR(__xludf.DUMMYFUNCTION("""COMPUTED_VALUE"""),4.669437)</f>
        <v>4.669437</v>
      </c>
      <c r="C750" s="9">
        <f>IFERROR(__xludf.DUMMYFUNCTION("""COMPUTED_VALUE"""),-74.097702)</f>
        <v>-74.097702</v>
      </c>
    </row>
    <row r="751">
      <c r="A751" s="6" t="str">
        <f>IFERROR(__xludf.DUMMYFUNCTION("""COMPUTED_VALUE"""),"Nbareschu")</f>
        <v>Nbareschu</v>
      </c>
      <c r="B751" s="9">
        <f>IFERROR(__xludf.DUMMYFUNCTION("""COMPUTED_VALUE"""),4.884081)</f>
        <v>4.884081</v>
      </c>
      <c r="C751" s="9">
        <f>IFERROR(__xludf.DUMMYFUNCTION("""COMPUTED_VALUE"""),-74.281022)</f>
        <v>-74.281022</v>
      </c>
    </row>
    <row r="752">
      <c r="A752" s="6" t="str">
        <f>IFERROR(__xludf.DUMMYFUNCTION("""COMPUTED_VALUE"""),"Diferoch")</f>
        <v>Diferoch</v>
      </c>
      <c r="B752" s="9">
        <f>IFERROR(__xludf.DUMMYFUNCTION("""COMPUTED_VALUE"""),6.89159)</f>
        <v>6.89159</v>
      </c>
      <c r="C752" s="9">
        <f>IFERROR(__xludf.DUMMYFUNCTION("""COMPUTED_VALUE"""),-73.024285)</f>
        <v>-73.024285</v>
      </c>
    </row>
    <row r="753">
      <c r="A753" s="6" t="str">
        <f>IFERROR(__xludf.DUMMYFUNCTION("""COMPUTED_VALUE"""),"Jhoan Bravo")</f>
        <v>Jhoan Bravo</v>
      </c>
      <c r="B753" s="9">
        <f>IFERROR(__xludf.DUMMYFUNCTION("""COMPUTED_VALUE"""),1.5012605)</f>
        <v>1.5012605</v>
      </c>
      <c r="C753" s="9">
        <f>IFERROR(__xludf.DUMMYFUNCTION("""COMPUTED_VALUE"""),-77.5161304)</f>
        <v>-77.5161304</v>
      </c>
    </row>
    <row r="754">
      <c r="A754" s="6" t="str">
        <f>IFERROR(__xludf.DUMMYFUNCTION("""COMPUTED_VALUE"""),"Diferoch")</f>
        <v>Diferoch</v>
      </c>
      <c r="B754" s="9">
        <f>IFERROR(__xludf.DUMMYFUNCTION("""COMPUTED_VALUE"""),5.625025)</f>
        <v>5.625025</v>
      </c>
      <c r="C754" s="9">
        <f>IFERROR(__xludf.DUMMYFUNCTION("""COMPUTED_VALUE"""),-77.420837)</f>
        <v>-77.420837</v>
      </c>
    </row>
    <row r="755">
      <c r="A755" s="6" t="str">
        <f>IFERROR(__xludf.DUMMYFUNCTION("""COMPUTED_VALUE"""),"Elprofeta91")</f>
        <v>Elprofeta91</v>
      </c>
      <c r="B755" s="9">
        <f>IFERROR(__xludf.DUMMYFUNCTION("""COMPUTED_VALUE"""),8.094939)</f>
        <v>8.094939</v>
      </c>
      <c r="C755" s="9">
        <f>IFERROR(__xludf.DUMMYFUNCTION("""COMPUTED_VALUE"""),-74.773192)</f>
        <v>-74.773192</v>
      </c>
    </row>
    <row r="756">
      <c r="A756" s="6" t="str">
        <f>IFERROR(__xludf.DUMMYFUNCTION("""COMPUTED_VALUE"""),"CHAVESJUAN19")</f>
        <v>CHAVESJUAN19</v>
      </c>
      <c r="B756" s="9">
        <f>IFERROR(__xludf.DUMMYFUNCTION("""COMPUTED_VALUE"""),1.628361)</f>
        <v>1.628361</v>
      </c>
      <c r="C756" s="9">
        <f>IFERROR(__xludf.DUMMYFUNCTION("""COMPUTED_VALUE"""),-76.128983)</f>
        <v>-76.128983</v>
      </c>
    </row>
    <row r="757">
      <c r="A757" s="6" t="str">
        <f>IFERROR(__xludf.DUMMYFUNCTION("""COMPUTED_VALUE"""),"Dacorralesc")</f>
        <v>Dacorralesc</v>
      </c>
      <c r="B757" s="9">
        <f>IFERROR(__xludf.DUMMYFUNCTION("""COMPUTED_VALUE"""),6.496338)</f>
        <v>6.496338</v>
      </c>
      <c r="C757" s="9">
        <f>IFERROR(__xludf.DUMMYFUNCTION("""COMPUTED_VALUE"""),-72.319065)</f>
        <v>-72.319065</v>
      </c>
    </row>
    <row r="758">
      <c r="A758" s="6" t="str">
        <f>IFERROR(__xludf.DUMMYFUNCTION("""COMPUTED_VALUE"""),"AmiGueko")</f>
        <v>AmiGueko</v>
      </c>
      <c r="B758" s="9">
        <f>IFERROR(__xludf.DUMMYFUNCTION("""COMPUTED_VALUE"""),4.958695)</f>
        <v>4.958695</v>
      </c>
      <c r="C758" s="9">
        <f>IFERROR(__xludf.DUMMYFUNCTION("""COMPUTED_VALUE"""),-74.847861)</f>
        <v>-74.847861</v>
      </c>
    </row>
    <row r="759">
      <c r="A759" s="6" t="str">
        <f>IFERROR(__xludf.DUMMYFUNCTION("""COMPUTED_VALUE"""),"AmiGueko")</f>
        <v>AmiGueko</v>
      </c>
      <c r="B759" s="9">
        <f>IFERROR(__xludf.DUMMYFUNCTION("""COMPUTED_VALUE"""),4.908044)</f>
        <v>4.908044</v>
      </c>
      <c r="C759" s="9">
        <f>IFERROR(__xludf.DUMMYFUNCTION("""COMPUTED_VALUE"""),-75.061289)</f>
        <v>-75.061289</v>
      </c>
    </row>
    <row r="760">
      <c r="A760" s="6" t="str">
        <f>IFERROR(__xludf.DUMMYFUNCTION("""COMPUTED_VALUE"""),"Project5443")</f>
        <v>Project5443</v>
      </c>
      <c r="B760" s="9">
        <f>IFERROR(__xludf.DUMMYFUNCTION("""COMPUTED_VALUE"""),4.66788)</f>
        <v>4.66788</v>
      </c>
      <c r="C760" s="9">
        <f>IFERROR(__xludf.DUMMYFUNCTION("""COMPUTED_VALUE"""),-74.099779)</f>
        <v>-74.099779</v>
      </c>
    </row>
    <row r="761">
      <c r="A761" s="6" t="str">
        <f>IFERROR(__xludf.DUMMYFUNCTION("""COMPUTED_VALUE"""),"Diferoch")</f>
        <v>Diferoch</v>
      </c>
      <c r="B761" s="9">
        <f>IFERROR(__xludf.DUMMYFUNCTION("""COMPUTED_VALUE"""),7.085062)</f>
        <v>7.085062</v>
      </c>
      <c r="C761" s="9">
        <f>IFERROR(__xludf.DUMMYFUNCTION("""COMPUTED_VALUE"""),-73.864135)</f>
        <v>-73.864135</v>
      </c>
    </row>
    <row r="762">
      <c r="A762" s="6" t="str">
        <f>IFERROR(__xludf.DUMMYFUNCTION("""COMPUTED_VALUE"""),"Juanrapave")</f>
        <v>Juanrapave</v>
      </c>
      <c r="B762" s="9">
        <f>IFERROR(__xludf.DUMMYFUNCTION("""COMPUTED_VALUE"""),11.245217)</f>
        <v>11.245217</v>
      </c>
      <c r="C762" s="9">
        <f>IFERROR(__xludf.DUMMYFUNCTION("""COMPUTED_VALUE"""),-73.565117)</f>
        <v>-73.565117</v>
      </c>
    </row>
    <row r="763">
      <c r="A763" s="6" t="str">
        <f>IFERROR(__xludf.DUMMYFUNCTION("""COMPUTED_VALUE"""),"Supertita")</f>
        <v>Supertita</v>
      </c>
      <c r="B763" s="9">
        <f>IFERROR(__xludf.DUMMYFUNCTION("""COMPUTED_VALUE"""),4.668211)</f>
        <v>4.668211</v>
      </c>
      <c r="C763" s="9">
        <f>IFERROR(__xludf.DUMMYFUNCTION("""COMPUTED_VALUE"""),-74.100198)</f>
        <v>-74.100198</v>
      </c>
    </row>
    <row r="764">
      <c r="A764" s="6" t="str">
        <f>IFERROR(__xludf.DUMMYFUNCTION("""COMPUTED_VALUE"""),"Sebasgr05")</f>
        <v>Sebasgr05</v>
      </c>
      <c r="B764" s="9">
        <f>IFERROR(__xludf.DUMMYFUNCTION("""COMPUTED_VALUE"""),2.18319)</f>
        <v>2.18319</v>
      </c>
      <c r="C764" s="9">
        <f>IFERROR(__xludf.DUMMYFUNCTION("""COMPUTED_VALUE"""),-73.784932)</f>
        <v>-73.784932</v>
      </c>
    </row>
    <row r="765">
      <c r="A765" s="6" t="str">
        <f>IFERROR(__xludf.DUMMYFUNCTION("""COMPUTED_VALUE"""),"AmiGueko")</f>
        <v>AmiGueko</v>
      </c>
      <c r="B765" s="9">
        <f>IFERROR(__xludf.DUMMYFUNCTION("""COMPUTED_VALUE"""),4.984157)</f>
        <v>4.984157</v>
      </c>
      <c r="C765" s="9">
        <f>IFERROR(__xludf.DUMMYFUNCTION("""COMPUTED_VALUE"""),-74.27816)</f>
        <v>-74.27816</v>
      </c>
    </row>
    <row r="766">
      <c r="A766" s="6" t="str">
        <f>IFERROR(__xludf.DUMMYFUNCTION("""COMPUTED_VALUE"""),"Natlycu")</f>
        <v>Natlycu</v>
      </c>
      <c r="B766" s="9">
        <f>IFERROR(__xludf.DUMMYFUNCTION("""COMPUTED_VALUE"""),4.668296)</f>
        <v>4.668296</v>
      </c>
      <c r="C766" s="9">
        <f>IFERROR(__xludf.DUMMYFUNCTION("""COMPUTED_VALUE"""),-74.097728)</f>
        <v>-74.097728</v>
      </c>
    </row>
    <row r="767">
      <c r="A767" s="6" t="str">
        <f>IFERROR(__xludf.DUMMYFUNCTION("""COMPUTED_VALUE"""),"AmiGueko")</f>
        <v>AmiGueko</v>
      </c>
      <c r="B767" s="9">
        <f>IFERROR(__xludf.DUMMYFUNCTION("""COMPUTED_VALUE"""),4.972726)</f>
        <v>4.972726</v>
      </c>
      <c r="C767" s="9">
        <f>IFERROR(__xludf.DUMMYFUNCTION("""COMPUTED_VALUE"""),-74.265165)</f>
        <v>-74.265165</v>
      </c>
    </row>
    <row r="768">
      <c r="A768" s="6" t="str">
        <f>IFERROR(__xludf.DUMMYFUNCTION("""COMPUTED_VALUE"""),"AmiGueko")</f>
        <v>AmiGueko</v>
      </c>
      <c r="B768" s="9">
        <f>IFERROR(__xludf.DUMMYFUNCTION("""COMPUTED_VALUE"""),4.979121)</f>
        <v>4.979121</v>
      </c>
      <c r="C768" s="9">
        <f>IFERROR(__xludf.DUMMYFUNCTION("""COMPUTED_VALUE"""),-74.298682)</f>
        <v>-74.298682</v>
      </c>
    </row>
    <row r="769">
      <c r="A769" s="6" t="str">
        <f>IFERROR(__xludf.DUMMYFUNCTION("""COMPUTED_VALUE"""),"AmiGueko")</f>
        <v>AmiGueko</v>
      </c>
      <c r="B769" s="9">
        <f>IFERROR(__xludf.DUMMYFUNCTION("""COMPUTED_VALUE"""),4.973558)</f>
        <v>4.973558</v>
      </c>
      <c r="C769" s="9">
        <f>IFERROR(__xludf.DUMMYFUNCTION("""COMPUTED_VALUE"""),-74.296436)</f>
        <v>-74.296436</v>
      </c>
    </row>
    <row r="770">
      <c r="A770" s="6" t="str">
        <f>IFERROR(__xludf.DUMMYFUNCTION("""COMPUTED_VALUE"""),"AmiGueko")</f>
        <v>AmiGueko</v>
      </c>
      <c r="B770" s="9">
        <f>IFERROR(__xludf.DUMMYFUNCTION("""COMPUTED_VALUE"""),4.973435)</f>
        <v>4.973435</v>
      </c>
      <c r="C770" s="9">
        <f>IFERROR(__xludf.DUMMYFUNCTION("""COMPUTED_VALUE"""),-74.288473)</f>
        <v>-74.288473</v>
      </c>
    </row>
    <row r="771">
      <c r="A771" s="6" t="str">
        <f>IFERROR(__xludf.DUMMYFUNCTION("""COMPUTED_VALUE"""),"AmiGueko")</f>
        <v>AmiGueko</v>
      </c>
      <c r="B771" s="9">
        <f>IFERROR(__xludf.DUMMYFUNCTION("""COMPUTED_VALUE"""),4.977303)</f>
        <v>4.977303</v>
      </c>
      <c r="C771" s="9">
        <f>IFERROR(__xludf.DUMMYFUNCTION("""COMPUTED_VALUE"""),-74.298337)</f>
        <v>-74.298337</v>
      </c>
    </row>
    <row r="772">
      <c r="A772" s="6" t="str">
        <f>IFERROR(__xludf.DUMMYFUNCTION("""COMPUTED_VALUE"""),"Diferoch")</f>
        <v>Diferoch</v>
      </c>
      <c r="B772" s="9">
        <f>IFERROR(__xludf.DUMMYFUNCTION("""COMPUTED_VALUE"""),6.715038)</f>
        <v>6.715038</v>
      </c>
      <c r="C772" s="9">
        <f>IFERROR(__xludf.DUMMYFUNCTION("""COMPUTED_VALUE"""),-74.136398)</f>
        <v>-74.136398</v>
      </c>
    </row>
    <row r="773">
      <c r="A773" s="6" t="str">
        <f>IFERROR(__xludf.DUMMYFUNCTION("""COMPUTED_VALUE"""),"AmiGueko")</f>
        <v>AmiGueko</v>
      </c>
      <c r="B773" s="9">
        <f>IFERROR(__xludf.DUMMYFUNCTION("""COMPUTED_VALUE"""),4.968572)</f>
        <v>4.968572</v>
      </c>
      <c r="C773" s="9">
        <f>IFERROR(__xludf.DUMMYFUNCTION("""COMPUTED_VALUE"""),-74.263662)</f>
        <v>-74.263662</v>
      </c>
    </row>
    <row r="774">
      <c r="A774" s="6" t="str">
        <f>IFERROR(__xludf.DUMMYFUNCTION("""COMPUTED_VALUE"""),"NMontoya (WMCO)")</f>
        <v>NMontoya (WMCO)</v>
      </c>
      <c r="B774" s="9">
        <f>IFERROR(__xludf.DUMMYFUNCTION("""COMPUTED_VALUE"""),4.669437)</f>
        <v>4.669437</v>
      </c>
      <c r="C774" s="9">
        <f>IFERROR(__xludf.DUMMYFUNCTION("""COMPUTED_VALUE"""),-74.097702)</f>
        <v>-74.097702</v>
      </c>
    </row>
    <row r="775">
      <c r="A775" s="6" t="str">
        <f>IFERROR(__xludf.DUMMYFUNCTION("""COMPUTED_VALUE"""),"ZulayMR")</f>
        <v>ZulayMR</v>
      </c>
      <c r="B775" s="9">
        <f>IFERROR(__xludf.DUMMYFUNCTION("""COMPUTED_VALUE"""),3.257751)</f>
        <v>3.257751</v>
      </c>
      <c r="C775" s="9">
        <f>IFERROR(__xludf.DUMMYFUNCTION("""COMPUTED_VALUE"""),-76.65569)</f>
        <v>-76.65569</v>
      </c>
    </row>
    <row r="776">
      <c r="A776" s="6" t="str">
        <f>IFERROR(__xludf.DUMMYFUNCTION("""COMPUTED_VALUE"""),"Supertita")</f>
        <v>Supertita</v>
      </c>
      <c r="B776" s="9">
        <f>IFERROR(__xludf.DUMMYFUNCTION("""COMPUTED_VALUE"""),4.52799)</f>
        <v>4.52799</v>
      </c>
      <c r="C776" s="9">
        <f>IFERROR(__xludf.DUMMYFUNCTION("""COMPUTED_VALUE"""),-73.75284)</f>
        <v>-73.75284</v>
      </c>
    </row>
    <row r="777">
      <c r="A777" s="6" t="str">
        <f>IFERROR(__xludf.DUMMYFUNCTION("""COMPUTED_VALUE"""),"Nbareschu")</f>
        <v>Nbareschu</v>
      </c>
      <c r="B777" s="9">
        <f>IFERROR(__xludf.DUMMYFUNCTION("""COMPUTED_VALUE"""),9.132247)</f>
        <v>9.132247</v>
      </c>
      <c r="C777" s="9">
        <f>IFERROR(__xludf.DUMMYFUNCTION("""COMPUTED_VALUE"""),-76.180092)</f>
        <v>-76.180092</v>
      </c>
    </row>
    <row r="778">
      <c r="A778" s="6" t="str">
        <f>IFERROR(__xludf.DUMMYFUNCTION("""COMPUTED_VALUE"""),"AmiGueko")</f>
        <v>AmiGueko</v>
      </c>
      <c r="B778" s="9">
        <f>IFERROR(__xludf.DUMMYFUNCTION("""COMPUTED_VALUE"""),4.972361)</f>
        <v>4.972361</v>
      </c>
      <c r="C778" s="9">
        <f>IFERROR(__xludf.DUMMYFUNCTION("""COMPUTED_VALUE"""),-74.310922)</f>
        <v>-74.310922</v>
      </c>
    </row>
    <row r="779">
      <c r="A779" s="6" t="str">
        <f>IFERROR(__xludf.DUMMYFUNCTION("""COMPUTED_VALUE"""),"NicolleTorresG")</f>
        <v>NicolleTorresG</v>
      </c>
      <c r="B779" s="9">
        <f>IFERROR(__xludf.DUMMYFUNCTION("""COMPUTED_VALUE"""),3.5611)</f>
        <v>3.5611</v>
      </c>
      <c r="C779" s="9">
        <f>IFERROR(__xludf.DUMMYFUNCTION("""COMPUTED_VALUE"""),-76.5569)</f>
        <v>-76.5569</v>
      </c>
    </row>
    <row r="780">
      <c r="A780" s="6" t="str">
        <f>IFERROR(__xludf.DUMMYFUNCTION("""COMPUTED_VALUE"""),"TeaBonsai")</f>
        <v>TeaBonsai</v>
      </c>
      <c r="B780" s="9">
        <f>IFERROR(__xludf.DUMMYFUNCTION("""COMPUTED_VALUE"""),11.554472)</f>
        <v>11.554472</v>
      </c>
      <c r="C780" s="9">
        <f>IFERROR(__xludf.DUMMYFUNCTION("""COMPUTED_VALUE"""),-72.909081)</f>
        <v>-72.909081</v>
      </c>
    </row>
    <row r="781">
      <c r="A781" s="6" t="str">
        <f>IFERROR(__xludf.DUMMYFUNCTION("""COMPUTED_VALUE"""),"AmiGueko")</f>
        <v>AmiGueko</v>
      </c>
      <c r="B781" s="9">
        <f>IFERROR(__xludf.DUMMYFUNCTION("""COMPUTED_VALUE"""),4.66775)</f>
        <v>4.66775</v>
      </c>
      <c r="C781" s="9">
        <f>IFERROR(__xludf.DUMMYFUNCTION("""COMPUTED_VALUE"""),-74.099944)</f>
        <v>-74.099944</v>
      </c>
    </row>
    <row r="782">
      <c r="A782" s="6" t="str">
        <f>IFERROR(__xludf.DUMMYFUNCTION("""COMPUTED_VALUE"""),"JuànMì41")</f>
        <v>JuànMì41</v>
      </c>
      <c r="B782" s="9">
        <f>IFERROR(__xludf.DUMMYFUNCTION("""COMPUTED_VALUE"""),4.743499)</f>
        <v>4.743499</v>
      </c>
      <c r="C782" s="9">
        <f>IFERROR(__xludf.DUMMYFUNCTION("""COMPUTED_VALUE"""),-74.523037)</f>
        <v>-74.523037</v>
      </c>
    </row>
    <row r="783">
      <c r="A783" s="6" t="str">
        <f>IFERROR(__xludf.DUMMYFUNCTION("""COMPUTED_VALUE"""),"Rodrigomacrophoto")</f>
        <v>Rodrigomacrophoto</v>
      </c>
      <c r="B783" s="9">
        <f>IFERROR(__xludf.DUMMYFUNCTION("""COMPUTED_VALUE"""),4.874161)</f>
        <v>4.874161</v>
      </c>
      <c r="C783" s="9">
        <f>IFERROR(__xludf.DUMMYFUNCTION("""COMPUTED_VALUE"""),-74.085107)</f>
        <v>-74.085107</v>
      </c>
    </row>
    <row r="784">
      <c r="A784" s="6" t="str">
        <f>IFERROR(__xludf.DUMMYFUNCTION("""COMPUTED_VALUE"""),"Charlesjsharp")</f>
        <v>Charlesjsharp</v>
      </c>
      <c r="B784" s="9">
        <f>IFERROR(__xludf.DUMMYFUNCTION("""COMPUTED_VALUE"""),5.07)</f>
        <v>5.07</v>
      </c>
      <c r="C784" s="9">
        <f>IFERROR(__xludf.DUMMYFUNCTION("""COMPUTED_VALUE"""),-75.44)</f>
        <v>-75.44</v>
      </c>
    </row>
    <row r="785">
      <c r="A785" s="6" t="str">
        <f>IFERROR(__xludf.DUMMYFUNCTION("""COMPUTED_VALUE"""),"JJCL09")</f>
        <v>JJCL09</v>
      </c>
      <c r="B785" s="9">
        <f>IFERROR(__xludf.DUMMYFUNCTION("""COMPUTED_VALUE"""),5.5719)</f>
        <v>5.5719</v>
      </c>
      <c r="C785" s="9">
        <f>IFERROR(__xludf.DUMMYFUNCTION("""COMPUTED_VALUE"""),-74.896989)</f>
        <v>-74.896989</v>
      </c>
    </row>
    <row r="786">
      <c r="A786" s="6" t="str">
        <f>IFERROR(__xludf.DUMMYFUNCTION("""COMPUTED_VALUE"""),"JJCL09")</f>
        <v>JJCL09</v>
      </c>
      <c r="B786" s="9">
        <f>IFERROR(__xludf.DUMMYFUNCTION("""COMPUTED_VALUE"""),5.571678)</f>
        <v>5.571678</v>
      </c>
      <c r="C786" s="9">
        <f>IFERROR(__xludf.DUMMYFUNCTION("""COMPUTED_VALUE"""),-74.897103)</f>
        <v>-74.897103</v>
      </c>
    </row>
    <row r="787">
      <c r="A787" s="6" t="str">
        <f>IFERROR(__xludf.DUMMYFUNCTION("""COMPUTED_VALUE"""),"Supertita")</f>
        <v>Supertita</v>
      </c>
      <c r="B787" s="9">
        <f>IFERROR(__xludf.DUMMYFUNCTION("""COMPUTED_VALUE"""),5.3759)</f>
        <v>5.3759</v>
      </c>
      <c r="C787" s="9">
        <f>IFERROR(__xludf.DUMMYFUNCTION("""COMPUTED_VALUE"""),7.453509)</f>
        <v>7.453509</v>
      </c>
    </row>
    <row r="788">
      <c r="A788" s="6" t="str">
        <f>IFERROR(__xludf.DUMMYFUNCTION("""COMPUTED_VALUE"""),"Supertita")</f>
        <v>Supertita</v>
      </c>
      <c r="B788" s="9">
        <f>IFERROR(__xludf.DUMMYFUNCTION("""COMPUTED_VALUE"""),4.52799)</f>
        <v>4.52799</v>
      </c>
      <c r="C788" s="9">
        <f>IFERROR(__xludf.DUMMYFUNCTION("""COMPUTED_VALUE"""),-73.75284)</f>
        <v>-73.75284</v>
      </c>
    </row>
    <row r="789">
      <c r="A789" s="6" t="str">
        <f>IFERROR(__xludf.DUMMYFUNCTION("""COMPUTED_VALUE"""),"Supertita")</f>
        <v>Supertita</v>
      </c>
      <c r="B789" s="9">
        <f>IFERROR(__xludf.DUMMYFUNCTION("""COMPUTED_VALUE"""),4.52799)</f>
        <v>4.52799</v>
      </c>
      <c r="C789" s="9">
        <f>IFERROR(__xludf.DUMMYFUNCTION("""COMPUTED_VALUE"""),-73.75284)</f>
        <v>-73.75284</v>
      </c>
    </row>
    <row r="790">
      <c r="A790" s="6" t="str">
        <f>IFERROR(__xludf.DUMMYFUNCTION("""COMPUTED_VALUE"""),"Diferoch")</f>
        <v>Diferoch</v>
      </c>
      <c r="B790" s="9">
        <f>IFERROR(__xludf.DUMMYFUNCTION("""COMPUTED_VALUE"""),5.62501)</f>
        <v>5.62501</v>
      </c>
      <c r="C790" s="9">
        <f>IFERROR(__xludf.DUMMYFUNCTION("""COMPUTED_VALUE"""),-77.416465)</f>
        <v>-77.416465</v>
      </c>
    </row>
    <row r="791">
      <c r="A791" s="6" t="str">
        <f>IFERROR(__xludf.DUMMYFUNCTION("""COMPUTED_VALUE"""),"Diferoch")</f>
        <v>Diferoch</v>
      </c>
      <c r="B791" s="9">
        <f>IFERROR(__xludf.DUMMYFUNCTION("""COMPUTED_VALUE"""),5.625067)</f>
        <v>5.625067</v>
      </c>
      <c r="C791" s="9">
        <f>IFERROR(__xludf.DUMMYFUNCTION("""COMPUTED_VALUE"""),-77.416443)</f>
        <v>-77.416443</v>
      </c>
    </row>
    <row r="792">
      <c r="A792" s="6" t="str">
        <f>IFERROR(__xludf.DUMMYFUNCTION("""COMPUTED_VALUE"""),"AmiGueko")</f>
        <v>AmiGueko</v>
      </c>
      <c r="B792" s="9">
        <f>IFERROR(__xludf.DUMMYFUNCTION("""COMPUTED_VALUE"""),4.66775)</f>
        <v>4.66775</v>
      </c>
      <c r="C792" s="9">
        <f>IFERROR(__xludf.DUMMYFUNCTION("""COMPUTED_VALUE"""),-74.099944)</f>
        <v>-74.099944</v>
      </c>
    </row>
    <row r="793">
      <c r="A793" s="6" t="str">
        <f>IFERROR(__xludf.DUMMYFUNCTION("""COMPUTED_VALUE"""),"Diferoch")</f>
        <v>Diferoch</v>
      </c>
      <c r="B793" s="9">
        <f>IFERROR(__xludf.DUMMYFUNCTION("""COMPUTED_VALUE"""),6.894113)</f>
        <v>6.894113</v>
      </c>
      <c r="C793" s="9">
        <f>IFERROR(__xludf.DUMMYFUNCTION("""COMPUTED_VALUE"""),-73.021858)</f>
        <v>-73.021858</v>
      </c>
    </row>
    <row r="794">
      <c r="A794" s="6" t="str">
        <f>IFERROR(__xludf.DUMMYFUNCTION("""COMPUTED_VALUE"""),"AmiGueko")</f>
        <v>AmiGueko</v>
      </c>
      <c r="B794" s="9">
        <f>IFERROR(__xludf.DUMMYFUNCTION("""COMPUTED_VALUE"""),4.66775)</f>
        <v>4.66775</v>
      </c>
      <c r="C794" s="9">
        <f>IFERROR(__xludf.DUMMYFUNCTION("""COMPUTED_VALUE"""),-74.099944)</f>
        <v>-74.099944</v>
      </c>
    </row>
    <row r="795">
      <c r="A795" s="6" t="str">
        <f>IFERROR(__xludf.DUMMYFUNCTION("""COMPUTED_VALUE"""),"JJCL09")</f>
        <v>JJCL09</v>
      </c>
      <c r="B795" s="9">
        <f>IFERROR(__xludf.DUMMYFUNCTION("""COMPUTED_VALUE"""),5.571872)</f>
        <v>5.571872</v>
      </c>
      <c r="C795" s="9">
        <f>IFERROR(__xludf.DUMMYFUNCTION("""COMPUTED_VALUE"""),-74.897025)</f>
        <v>-74.897025</v>
      </c>
    </row>
    <row r="796">
      <c r="A796" s="6" t="str">
        <f>IFERROR(__xludf.DUMMYFUNCTION("""COMPUTED_VALUE"""),"JuanPabloAndres1")</f>
        <v>JuanPabloAndres1</v>
      </c>
      <c r="B796" s="9">
        <f>IFERROR(__xludf.DUMMYFUNCTION("""COMPUTED_VALUE"""),5.250208)</f>
        <v>5.250208</v>
      </c>
      <c r="C796" s="9">
        <f>IFERROR(__xludf.DUMMYFUNCTION("""COMPUTED_VALUE"""),-73.807969)</f>
        <v>-73.807969</v>
      </c>
    </row>
    <row r="797">
      <c r="A797" s="6" t="str">
        <f>IFERROR(__xludf.DUMMYFUNCTION("""COMPUTED_VALUE"""),"JuanPabloAndres1")</f>
        <v>JuanPabloAndres1</v>
      </c>
      <c r="B797" s="9">
        <f>IFERROR(__xludf.DUMMYFUNCTION("""COMPUTED_VALUE"""),5.250147)</f>
        <v>5.250147</v>
      </c>
      <c r="C797" s="9">
        <f>IFERROR(__xludf.DUMMYFUNCTION("""COMPUTED_VALUE"""),-73.807922)</f>
        <v>-73.807922</v>
      </c>
    </row>
    <row r="798">
      <c r="A798" s="6" t="str">
        <f>IFERROR(__xludf.DUMMYFUNCTION("""COMPUTED_VALUE"""),"JuanPabloAndres1")</f>
        <v>JuanPabloAndres1</v>
      </c>
      <c r="B798" s="9">
        <f>IFERROR(__xludf.DUMMYFUNCTION("""COMPUTED_VALUE"""),5.250194)</f>
        <v>5.250194</v>
      </c>
      <c r="C798" s="9">
        <f>IFERROR(__xludf.DUMMYFUNCTION("""COMPUTED_VALUE"""),-73.807922)</f>
        <v>-73.807922</v>
      </c>
    </row>
    <row r="799">
      <c r="A799" s="6" t="str">
        <f>IFERROR(__xludf.DUMMYFUNCTION("""COMPUTED_VALUE"""),"Charlesjsharp")</f>
        <v>Charlesjsharp</v>
      </c>
      <c r="B799" s="9">
        <f>IFERROR(__xludf.DUMMYFUNCTION("""COMPUTED_VALUE"""),5.02)</f>
        <v>5.02</v>
      </c>
      <c r="C799" s="9">
        <f>IFERROR(__xludf.DUMMYFUNCTION("""COMPUTED_VALUE"""),-75.36)</f>
        <v>-75.36</v>
      </c>
    </row>
    <row r="800">
      <c r="A800" s="6" t="str">
        <f>IFERROR(__xludf.DUMMYFUNCTION("""COMPUTED_VALUE"""),"Nbareschu")</f>
        <v>Nbareschu</v>
      </c>
      <c r="B800" s="9">
        <f>IFERROR(__xludf.DUMMYFUNCTION("""COMPUTED_VALUE"""),5.002078)</f>
        <v>5.002078</v>
      </c>
      <c r="C800" s="9">
        <f>IFERROR(__xludf.DUMMYFUNCTION("""COMPUTED_VALUE"""),-74.209297)</f>
        <v>-74.209297</v>
      </c>
    </row>
    <row r="801">
      <c r="A801" s="6" t="str">
        <f>IFERROR(__xludf.DUMMYFUNCTION("""COMPUTED_VALUE"""),"Diferoch")</f>
        <v>Diferoch</v>
      </c>
      <c r="B801" s="9">
        <f>IFERROR(__xludf.DUMMYFUNCTION("""COMPUTED_VALUE"""),6.895995)</f>
        <v>6.895995</v>
      </c>
      <c r="C801" s="9">
        <f>IFERROR(__xludf.DUMMYFUNCTION("""COMPUTED_VALUE"""),-73.021317)</f>
        <v>-73.021317</v>
      </c>
    </row>
    <row r="802">
      <c r="A802" s="6" t="str">
        <f>IFERROR(__xludf.DUMMYFUNCTION("""COMPUTED_VALUE"""),"Diferoch")</f>
        <v>Diferoch</v>
      </c>
      <c r="B802" s="9">
        <f>IFERROR(__xludf.DUMMYFUNCTION("""COMPUTED_VALUE"""),4.599792)</f>
        <v>4.599792</v>
      </c>
      <c r="C802" s="9">
        <f>IFERROR(__xludf.DUMMYFUNCTION("""COMPUTED_VALUE"""),-74.063103)</f>
        <v>-74.063103</v>
      </c>
    </row>
    <row r="803">
      <c r="A803" s="6" t="str">
        <f>IFERROR(__xludf.DUMMYFUNCTION("""COMPUTED_VALUE"""),"Romauribe")</f>
        <v>Romauribe</v>
      </c>
      <c r="B803" s="9">
        <f>IFERROR(__xludf.DUMMYFUNCTION("""COMPUTED_VALUE"""),4.693694)</f>
        <v>4.693694</v>
      </c>
      <c r="C803" s="9">
        <f>IFERROR(__xludf.DUMMYFUNCTION("""COMPUTED_VALUE"""),-74.061722)</f>
        <v>-74.061722</v>
      </c>
    </row>
    <row r="804">
      <c r="A804" s="6" t="str">
        <f>IFERROR(__xludf.DUMMYFUNCTION("""COMPUTED_VALUE"""),"Diferoch")</f>
        <v>Diferoch</v>
      </c>
      <c r="B804" s="9">
        <f>IFERROR(__xludf.DUMMYFUNCTION("""COMPUTED_VALUE"""),6.891827)</f>
        <v>6.891827</v>
      </c>
      <c r="C804" s="9">
        <f>IFERROR(__xludf.DUMMYFUNCTION("""COMPUTED_VALUE"""),-73.024155)</f>
        <v>-73.024155</v>
      </c>
    </row>
    <row r="805">
      <c r="A805" s="6" t="str">
        <f>IFERROR(__xludf.DUMMYFUNCTION("""COMPUTED_VALUE"""),"Natlycu")</f>
        <v>Natlycu</v>
      </c>
      <c r="B805" s="9">
        <f>IFERROR(__xludf.DUMMYFUNCTION("""COMPUTED_VALUE"""),4.360644)</f>
        <v>4.360644</v>
      </c>
      <c r="C805" s="9">
        <f>IFERROR(__xludf.DUMMYFUNCTION("""COMPUTED_VALUE"""),-74.335404)</f>
        <v>-74.335404</v>
      </c>
    </row>
    <row r="806">
      <c r="A806" s="6" t="str">
        <f>IFERROR(__xludf.DUMMYFUNCTION("""COMPUTED_VALUE"""),"NicolleTorresG")</f>
        <v>NicolleTorresG</v>
      </c>
      <c r="B806" s="9">
        <f>IFERROR(__xludf.DUMMYFUNCTION("""COMPUTED_VALUE"""),3.5611)</f>
        <v>3.5611</v>
      </c>
      <c r="C806" s="9">
        <f>IFERROR(__xludf.DUMMYFUNCTION("""COMPUTED_VALUE"""),-76.5569)</f>
        <v>-76.5569</v>
      </c>
    </row>
    <row r="807">
      <c r="A807" s="6" t="str">
        <f>IFERROR(__xludf.DUMMYFUNCTION("""COMPUTED_VALUE"""),"NicolleTorresG")</f>
        <v>NicolleTorresG</v>
      </c>
      <c r="B807" s="9">
        <f>IFERROR(__xludf.DUMMYFUNCTION("""COMPUTED_VALUE"""),3.5611)</f>
        <v>3.5611</v>
      </c>
      <c r="C807" s="9">
        <f>IFERROR(__xludf.DUMMYFUNCTION("""COMPUTED_VALUE"""),-76.5569)</f>
        <v>-76.5569</v>
      </c>
    </row>
    <row r="808">
      <c r="A808" s="6" t="str">
        <f>IFERROR(__xludf.DUMMYFUNCTION("""COMPUTED_VALUE"""),"NicolleTorresG")</f>
        <v>NicolleTorresG</v>
      </c>
      <c r="B808" s="9">
        <f>IFERROR(__xludf.DUMMYFUNCTION("""COMPUTED_VALUE"""),3.5611)</f>
        <v>3.5611</v>
      </c>
      <c r="C808" s="9">
        <f>IFERROR(__xludf.DUMMYFUNCTION("""COMPUTED_VALUE"""),-76.5569)</f>
        <v>-76.5569</v>
      </c>
    </row>
    <row r="809">
      <c r="A809" s="6" t="str">
        <f>IFERROR(__xludf.DUMMYFUNCTION("""COMPUTED_VALUE"""),"NicolleTorresG")</f>
        <v>NicolleTorresG</v>
      </c>
      <c r="B809" s="9">
        <f>IFERROR(__xludf.DUMMYFUNCTION("""COMPUTED_VALUE"""),3.5611)</f>
        <v>3.5611</v>
      </c>
      <c r="C809" s="9">
        <f>IFERROR(__xludf.DUMMYFUNCTION("""COMPUTED_VALUE"""),-76.5569)</f>
        <v>-76.5569</v>
      </c>
    </row>
    <row r="810">
      <c r="A810" s="6" t="str">
        <f>IFERROR(__xludf.DUMMYFUNCTION("""COMPUTED_VALUE"""),"Supertita")</f>
        <v>Supertita</v>
      </c>
      <c r="B810" s="9">
        <f>IFERROR(__xludf.DUMMYFUNCTION("""COMPUTED_VALUE"""),4.5816)</f>
        <v>4.5816</v>
      </c>
      <c r="C810" s="9">
        <f>IFERROR(__xludf.DUMMYFUNCTION("""COMPUTED_VALUE"""),-7.41721)</f>
        <v>-7.41721</v>
      </c>
    </row>
    <row r="811">
      <c r="A811" s="6" t="str">
        <f>IFERROR(__xludf.DUMMYFUNCTION("""COMPUTED_VALUE"""),"Supertita")</f>
        <v>Supertita</v>
      </c>
      <c r="B811" s="9">
        <f>IFERROR(__xludf.DUMMYFUNCTION("""COMPUTED_VALUE"""),4.5816)</f>
        <v>4.5816</v>
      </c>
      <c r="C811" s="9">
        <f>IFERROR(__xludf.DUMMYFUNCTION("""COMPUTED_VALUE"""),-7.41721)</f>
        <v>-7.41721</v>
      </c>
    </row>
    <row r="812">
      <c r="A812" s="6" t="str">
        <f>IFERROR(__xludf.DUMMYFUNCTION("""COMPUTED_VALUE"""),"XimmoY")</f>
        <v>XimmoY</v>
      </c>
      <c r="B812" s="9">
        <f>IFERROR(__xludf.DUMMYFUNCTION("""COMPUTED_VALUE"""),10.8292)</f>
        <v>10.8292</v>
      </c>
      <c r="C812" s="9">
        <f>IFERROR(__xludf.DUMMYFUNCTION("""COMPUTED_VALUE"""),-73.6923)</f>
        <v>-73.6923</v>
      </c>
    </row>
    <row r="813">
      <c r="A813" s="6" t="str">
        <f>IFERROR(__xludf.DUMMYFUNCTION("""COMPUTED_VALUE"""),"Kithpro")</f>
        <v>Kithpro</v>
      </c>
      <c r="B813" s="9">
        <f>IFERROR(__xludf.DUMMYFUNCTION("""COMPUTED_VALUE"""),4.559625)</f>
        <v>4.559625</v>
      </c>
      <c r="C813" s="9">
        <f>IFERROR(__xludf.DUMMYFUNCTION("""COMPUTED_VALUE"""),-74.005714)</f>
        <v>-74.005714</v>
      </c>
    </row>
    <row r="814">
      <c r="A814" s="6" t="str">
        <f>IFERROR(__xludf.DUMMYFUNCTION("""COMPUTED_VALUE"""),"Diferoch")</f>
        <v>Diferoch</v>
      </c>
      <c r="B814" s="9">
        <f>IFERROR(__xludf.DUMMYFUNCTION("""COMPUTED_VALUE"""),7.09441)</f>
        <v>7.09441</v>
      </c>
      <c r="C814" s="9">
        <f>IFERROR(__xludf.DUMMYFUNCTION("""COMPUTED_VALUE"""),-73.756035)</f>
        <v>-73.756035</v>
      </c>
    </row>
    <row r="815">
      <c r="A815" s="6" t="str">
        <f>IFERROR(__xludf.DUMMYFUNCTION("""COMPUTED_VALUE"""),"Diferoch")</f>
        <v>Diferoch</v>
      </c>
      <c r="B815" s="9">
        <f>IFERROR(__xludf.DUMMYFUNCTION("""COMPUTED_VALUE"""),7.094498)</f>
        <v>7.094498</v>
      </c>
      <c r="C815" s="9">
        <f>IFERROR(__xludf.DUMMYFUNCTION("""COMPUTED_VALUE"""),-73.756058)</f>
        <v>-73.756058</v>
      </c>
    </row>
    <row r="816">
      <c r="A816" s="6" t="str">
        <f>IFERROR(__xludf.DUMMYFUNCTION("""COMPUTED_VALUE"""),"Rodrigomacrophoto")</f>
        <v>Rodrigomacrophoto</v>
      </c>
      <c r="B816" s="9">
        <f>IFERROR(__xludf.DUMMYFUNCTION("""COMPUTED_VALUE"""),4.87337)</f>
        <v>4.87337</v>
      </c>
      <c r="C816" s="9">
        <f>IFERROR(__xludf.DUMMYFUNCTION("""COMPUTED_VALUE"""),-74.08291)</f>
        <v>-74.08291</v>
      </c>
    </row>
    <row r="817">
      <c r="A817" s="6" t="str">
        <f>IFERROR(__xludf.DUMMYFUNCTION("""COMPUTED_VALUE"""),"NicolleTorresG")</f>
        <v>NicolleTorresG</v>
      </c>
      <c r="B817" s="9">
        <f>IFERROR(__xludf.DUMMYFUNCTION("""COMPUTED_VALUE"""),3.5611)</f>
        <v>3.5611</v>
      </c>
      <c r="C817" s="9">
        <f>IFERROR(__xludf.DUMMYFUNCTION("""COMPUTED_VALUE"""),-76.5569)</f>
        <v>-76.5569</v>
      </c>
    </row>
    <row r="818">
      <c r="A818" s="6" t="str">
        <f>IFERROR(__xludf.DUMMYFUNCTION("""COMPUTED_VALUE"""),"NicolleTorresG")</f>
        <v>NicolleTorresG</v>
      </c>
      <c r="B818" s="9">
        <f>IFERROR(__xludf.DUMMYFUNCTION("""COMPUTED_VALUE"""),3.5611)</f>
        <v>3.5611</v>
      </c>
      <c r="C818" s="9">
        <f>IFERROR(__xludf.DUMMYFUNCTION("""COMPUTED_VALUE"""),-76.5569)</f>
        <v>-76.5569</v>
      </c>
    </row>
    <row r="819">
      <c r="A819" s="6" t="str">
        <f>IFERROR(__xludf.DUMMYFUNCTION("""COMPUTED_VALUE"""),"AntonioEliseo")</f>
        <v>AntonioEliseo</v>
      </c>
      <c r="B819" s="9">
        <f>IFERROR(__xludf.DUMMYFUNCTION("""COMPUTED_VALUE"""),5.676027)</f>
        <v>5.676027</v>
      </c>
      <c r="C819" s="9">
        <f>IFERROR(__xludf.DUMMYFUNCTION("""COMPUTED_VALUE"""),-73.537774)</f>
        <v>-73.537774</v>
      </c>
    </row>
    <row r="820">
      <c r="A820" s="6" t="str">
        <f>IFERROR(__xludf.DUMMYFUNCTION("""COMPUTED_VALUE"""),"Antoniacorralosorio")</f>
        <v>Antoniacorralosorio</v>
      </c>
      <c r="B820" s="9">
        <f>IFERROR(__xludf.DUMMYFUNCTION("""COMPUTED_VALUE"""),10.486867)</f>
        <v>10.486867</v>
      </c>
      <c r="C820" s="9">
        <f>IFERROR(__xludf.DUMMYFUNCTION("""COMPUTED_VALUE"""),-75.492469)</f>
        <v>-75.492469</v>
      </c>
    </row>
    <row r="821">
      <c r="A821" s="6" t="str">
        <f>IFERROR(__xludf.DUMMYFUNCTION("""COMPUTED_VALUE"""),"NicolleTorresG")</f>
        <v>NicolleTorresG</v>
      </c>
      <c r="B821" s="9">
        <f>IFERROR(__xludf.DUMMYFUNCTION("""COMPUTED_VALUE"""),5.0874)</f>
        <v>5.0874</v>
      </c>
      <c r="C821" s="9">
        <f>IFERROR(__xludf.DUMMYFUNCTION("""COMPUTED_VALUE"""),-75.4529)</f>
        <v>-75.4529</v>
      </c>
    </row>
    <row r="822">
      <c r="A822" s="6" t="str">
        <f>IFERROR(__xludf.DUMMYFUNCTION("""COMPUTED_VALUE"""),"Supertita")</f>
        <v>Supertita</v>
      </c>
      <c r="B822" s="9">
        <f>IFERROR(__xludf.DUMMYFUNCTION("""COMPUTED_VALUE"""),5.0294)</f>
        <v>5.0294</v>
      </c>
      <c r="C822" s="9">
        <f>IFERROR(__xludf.DUMMYFUNCTION("""COMPUTED_VALUE"""),-74.3276)</f>
        <v>-74.3276</v>
      </c>
    </row>
    <row r="823">
      <c r="A823" s="6" t="str">
        <f>IFERROR(__xludf.DUMMYFUNCTION("""COMPUTED_VALUE"""),"Supertita")</f>
        <v>Supertita</v>
      </c>
      <c r="B823" s="9">
        <f>IFERROR(__xludf.DUMMYFUNCTION("""COMPUTED_VALUE"""),4.52799)</f>
        <v>4.52799</v>
      </c>
      <c r="C823" s="9">
        <f>IFERROR(__xludf.DUMMYFUNCTION("""COMPUTED_VALUE"""),-73.75284)</f>
        <v>-73.75284</v>
      </c>
    </row>
    <row r="824">
      <c r="A824" s="6" t="str">
        <f>IFERROR(__xludf.DUMMYFUNCTION("""COMPUTED_VALUE"""),"Supertita")</f>
        <v>Supertita</v>
      </c>
      <c r="B824" s="9">
        <f>IFERROR(__xludf.DUMMYFUNCTION("""COMPUTED_VALUE"""),4.52799)</f>
        <v>4.52799</v>
      </c>
      <c r="C824" s="9">
        <f>IFERROR(__xludf.DUMMYFUNCTION("""COMPUTED_VALUE"""),-73.75284)</f>
        <v>-73.75284</v>
      </c>
    </row>
    <row r="825">
      <c r="A825" s="6" t="str">
        <f>IFERROR(__xludf.DUMMYFUNCTION("""COMPUTED_VALUE"""),"NicolleTorresG")</f>
        <v>NicolleTorresG</v>
      </c>
      <c r="B825" s="9">
        <f>IFERROR(__xludf.DUMMYFUNCTION("""COMPUTED_VALUE"""),3.5611)</f>
        <v>3.5611</v>
      </c>
      <c r="C825" s="9">
        <f>IFERROR(__xludf.DUMMYFUNCTION("""COMPUTED_VALUE"""),-76.5569)</f>
        <v>-76.5569</v>
      </c>
    </row>
    <row r="826">
      <c r="A826" s="6" t="str">
        <f>IFERROR(__xludf.DUMMYFUNCTION("""COMPUTED_VALUE"""),"Nbareschu")</f>
        <v>Nbareschu</v>
      </c>
      <c r="B826" s="9">
        <f>IFERROR(__xludf.DUMMYFUNCTION("""COMPUTED_VALUE"""),4.854792)</f>
        <v>4.854792</v>
      </c>
      <c r="C826" s="9">
        <f>IFERROR(__xludf.DUMMYFUNCTION("""COMPUTED_VALUE"""),-74.345214)</f>
        <v>-74.345214</v>
      </c>
    </row>
    <row r="827">
      <c r="A827" s="6" t="str">
        <f>IFERROR(__xludf.DUMMYFUNCTION("""COMPUTED_VALUE"""),"Diferoch")</f>
        <v>Diferoch</v>
      </c>
      <c r="B827" s="9">
        <f>IFERROR(__xludf.DUMMYFUNCTION("""COMPUTED_VALUE"""),5.619017)</f>
        <v>5.619017</v>
      </c>
      <c r="C827" s="9">
        <f>IFERROR(__xludf.DUMMYFUNCTION("""COMPUTED_VALUE"""),-77.429558)</f>
        <v>-77.429558</v>
      </c>
    </row>
    <row r="828">
      <c r="A828" s="6" t="str">
        <f>IFERROR(__xludf.DUMMYFUNCTION("""COMPUTED_VALUE"""),"Diferoch")</f>
        <v>Diferoch</v>
      </c>
      <c r="B828" s="9">
        <f>IFERROR(__xludf.DUMMYFUNCTION("""COMPUTED_VALUE"""),7.095537)</f>
        <v>7.095537</v>
      </c>
      <c r="C828" s="9">
        <f>IFERROR(__xludf.DUMMYFUNCTION("""COMPUTED_VALUE"""),-73.756142)</f>
        <v>-73.756142</v>
      </c>
    </row>
    <row r="829">
      <c r="A829" s="6" t="str">
        <f>IFERROR(__xludf.DUMMYFUNCTION("""COMPUTED_VALUE"""),"Diferoch")</f>
        <v>Diferoch</v>
      </c>
      <c r="B829" s="9">
        <f>IFERROR(__xludf.DUMMYFUNCTION("""COMPUTED_VALUE"""),6.912815)</f>
        <v>6.912815</v>
      </c>
      <c r="C829" s="9">
        <f>IFERROR(__xludf.DUMMYFUNCTION("""COMPUTED_VALUE"""),-73.031182)</f>
        <v>-73.031182</v>
      </c>
    </row>
    <row r="830">
      <c r="A830" s="6" t="str">
        <f>IFERROR(__xludf.DUMMYFUNCTION("""COMPUTED_VALUE"""),"XimmoY")</f>
        <v>XimmoY</v>
      </c>
      <c r="B830" s="9">
        <f>IFERROR(__xludf.DUMMYFUNCTION("""COMPUTED_VALUE"""),5.86224)</f>
        <v>5.86224</v>
      </c>
      <c r="C830" s="9">
        <f>IFERROR(__xludf.DUMMYFUNCTION("""COMPUTED_VALUE"""),-74.87047)</f>
        <v>-74.87047</v>
      </c>
    </row>
    <row r="831">
      <c r="A831" s="6" t="str">
        <f>IFERROR(__xludf.DUMMYFUNCTION("""COMPUTED_VALUE"""),"Diferoch")</f>
        <v>Diferoch</v>
      </c>
      <c r="B831" s="9">
        <f>IFERROR(__xludf.DUMMYFUNCTION("""COMPUTED_VALUE"""),4.599892)</f>
        <v>4.599892</v>
      </c>
      <c r="C831" s="9">
        <f>IFERROR(__xludf.DUMMYFUNCTION("""COMPUTED_VALUE"""),-74.063583)</f>
        <v>-74.063583</v>
      </c>
    </row>
    <row r="832">
      <c r="A832" s="6" t="str">
        <f>IFERROR(__xludf.DUMMYFUNCTION("""COMPUTED_VALUE"""),"Diferoch")</f>
        <v>Diferoch</v>
      </c>
      <c r="B832" s="9">
        <f>IFERROR(__xludf.DUMMYFUNCTION("""COMPUTED_VALUE"""),7.095956)</f>
        <v>7.095956</v>
      </c>
      <c r="C832" s="9">
        <f>IFERROR(__xludf.DUMMYFUNCTION("""COMPUTED_VALUE"""),-73.756335)</f>
        <v>-73.756335</v>
      </c>
    </row>
    <row r="833">
      <c r="A833" s="6" t="str">
        <f>IFERROR(__xludf.DUMMYFUNCTION("""COMPUTED_VALUE"""),"Diferoch")</f>
        <v>Diferoch</v>
      </c>
      <c r="B833" s="9">
        <f>IFERROR(__xludf.DUMMYFUNCTION("""COMPUTED_VALUE"""),7.095957)</f>
        <v>7.095957</v>
      </c>
      <c r="C833" s="9">
        <f>IFERROR(__xludf.DUMMYFUNCTION("""COMPUTED_VALUE"""),-73.756334)</f>
        <v>-73.756334</v>
      </c>
    </row>
    <row r="834">
      <c r="A834" s="6" t="str">
        <f>IFERROR(__xludf.DUMMYFUNCTION("""COMPUTED_VALUE"""),"Diferoch")</f>
        <v>Diferoch</v>
      </c>
      <c r="B834" s="9">
        <f>IFERROR(__xludf.DUMMYFUNCTION("""COMPUTED_VALUE"""),7.096)</f>
        <v>7.096</v>
      </c>
      <c r="C834" s="9">
        <f>IFERROR(__xludf.DUMMYFUNCTION("""COMPUTED_VALUE"""),-73.756221)</f>
        <v>-73.756221</v>
      </c>
    </row>
    <row r="835">
      <c r="A835" s="6" t="str">
        <f>IFERROR(__xludf.DUMMYFUNCTION("""COMPUTED_VALUE"""),"Diferoch")</f>
        <v>Diferoch</v>
      </c>
      <c r="B835" s="9">
        <f>IFERROR(__xludf.DUMMYFUNCTION("""COMPUTED_VALUE"""),7.084797)</f>
        <v>7.084797</v>
      </c>
      <c r="C835" s="9">
        <f>IFERROR(__xludf.DUMMYFUNCTION("""COMPUTED_VALUE"""),-73.863937)</f>
        <v>-73.863937</v>
      </c>
    </row>
    <row r="836">
      <c r="A836" s="6" t="str">
        <f>IFERROR(__xludf.DUMMYFUNCTION("""COMPUTED_VALUE"""),"Diferoch")</f>
        <v>Diferoch</v>
      </c>
      <c r="B836" s="9">
        <f>IFERROR(__xludf.DUMMYFUNCTION("""COMPUTED_VALUE"""),6.896558)</f>
        <v>6.896558</v>
      </c>
      <c r="C836" s="9">
        <f>IFERROR(__xludf.DUMMYFUNCTION("""COMPUTED_VALUE"""),-73.021705)</f>
        <v>-73.021705</v>
      </c>
    </row>
    <row r="837">
      <c r="A837" s="6" t="str">
        <f>IFERROR(__xludf.DUMMYFUNCTION("""COMPUTED_VALUE"""),"Diferoch")</f>
        <v>Diferoch</v>
      </c>
      <c r="B837" s="9">
        <f>IFERROR(__xludf.DUMMYFUNCTION("""COMPUTED_VALUE"""),6.896565)</f>
        <v>6.896565</v>
      </c>
      <c r="C837" s="9">
        <f>IFERROR(__xludf.DUMMYFUNCTION("""COMPUTED_VALUE"""),-73.021613)</f>
        <v>-73.021613</v>
      </c>
    </row>
    <row r="838">
      <c r="A838" s="6" t="str">
        <f>IFERROR(__xludf.DUMMYFUNCTION("""COMPUTED_VALUE"""),"NicolleTorresG")</f>
        <v>NicolleTorresG</v>
      </c>
      <c r="B838" s="9">
        <f>IFERROR(__xludf.DUMMYFUNCTION("""COMPUTED_VALUE"""),3.5611)</f>
        <v>3.5611</v>
      </c>
      <c r="C838" s="9">
        <f>IFERROR(__xludf.DUMMYFUNCTION("""COMPUTED_VALUE"""),-76.5569)</f>
        <v>-76.5569</v>
      </c>
    </row>
    <row r="839">
      <c r="A839" s="6" t="str">
        <f>IFERROR(__xludf.DUMMYFUNCTION("""COMPUTED_VALUE"""),"Elprofeta91")</f>
        <v>Elprofeta91</v>
      </c>
      <c r="B839" s="9">
        <f>IFERROR(__xludf.DUMMYFUNCTION("""COMPUTED_VALUE"""),8.094869)</f>
        <v>8.094869</v>
      </c>
      <c r="C839" s="9">
        <f>IFERROR(__xludf.DUMMYFUNCTION("""COMPUTED_VALUE"""),-74.773153)</f>
        <v>-74.773153</v>
      </c>
    </row>
    <row r="840">
      <c r="A840" s="6" t="str">
        <f>IFERROR(__xludf.DUMMYFUNCTION("""COMPUTED_VALUE"""),"Elprofeta91")</f>
        <v>Elprofeta91</v>
      </c>
      <c r="B840" s="9">
        <f>IFERROR(__xludf.DUMMYFUNCTION("""COMPUTED_VALUE"""),8.094922)</f>
        <v>8.094922</v>
      </c>
      <c r="C840" s="9">
        <f>IFERROR(__xludf.DUMMYFUNCTION("""COMPUTED_VALUE"""),-74.773175)</f>
        <v>-74.773175</v>
      </c>
    </row>
    <row r="841">
      <c r="A841" s="6" t="str">
        <f>IFERROR(__xludf.DUMMYFUNCTION("""COMPUTED_VALUE"""),"Zamstiv")</f>
        <v>Zamstiv</v>
      </c>
      <c r="B841" s="9">
        <f>IFERROR(__xludf.DUMMYFUNCTION("""COMPUTED_VALUE"""),4.719324)</f>
        <v>4.719324</v>
      </c>
      <c r="C841" s="9">
        <f>IFERROR(__xludf.DUMMYFUNCTION("""COMPUTED_VALUE"""),-74.404778)</f>
        <v>-74.404778</v>
      </c>
    </row>
    <row r="842">
      <c r="A842" s="6" t="str">
        <f>IFERROR(__xludf.DUMMYFUNCTION("""COMPUTED_VALUE"""),"Zamstiv")</f>
        <v>Zamstiv</v>
      </c>
      <c r="B842" s="9">
        <f>IFERROR(__xludf.DUMMYFUNCTION("""COMPUTED_VALUE"""),4.719324)</f>
        <v>4.719324</v>
      </c>
      <c r="C842" s="9">
        <f>IFERROR(__xludf.DUMMYFUNCTION("""COMPUTED_VALUE"""),-74.404778)</f>
        <v>-74.404778</v>
      </c>
    </row>
    <row r="843">
      <c r="A843" s="6" t="str">
        <f>IFERROR(__xludf.DUMMYFUNCTION("""COMPUTED_VALUE"""),"Elprofeta91")</f>
        <v>Elprofeta91</v>
      </c>
      <c r="B843" s="9">
        <f>IFERROR(__xludf.DUMMYFUNCTION("""COMPUTED_VALUE"""),8.073269)</f>
        <v>8.073269</v>
      </c>
      <c r="C843" s="9">
        <f>IFERROR(__xludf.DUMMYFUNCTION("""COMPUTED_VALUE"""),-74.785186)</f>
        <v>-74.785186</v>
      </c>
    </row>
    <row r="844">
      <c r="A844" s="6" t="str">
        <f>IFERROR(__xludf.DUMMYFUNCTION("""COMPUTED_VALUE"""),"Elprofeta91")</f>
        <v>Elprofeta91</v>
      </c>
      <c r="B844" s="9">
        <f>IFERROR(__xludf.DUMMYFUNCTION("""COMPUTED_VALUE"""),8.072164)</f>
        <v>8.072164</v>
      </c>
      <c r="C844" s="9">
        <f>IFERROR(__xludf.DUMMYFUNCTION("""COMPUTED_VALUE"""),-74.786261)</f>
        <v>-74.786261</v>
      </c>
    </row>
    <row r="845">
      <c r="A845" s="6" t="str">
        <f>IFERROR(__xludf.DUMMYFUNCTION("""COMPUTED_VALUE"""),"Halleyuncometafotografo")</f>
        <v>Halleyuncometafotografo</v>
      </c>
      <c r="B845" s="9">
        <f>IFERROR(__xludf.DUMMYFUNCTION("""COMPUTED_VALUE"""),5.795613)</f>
        <v>5.795613</v>
      </c>
      <c r="C845" s="9">
        <f>IFERROR(__xludf.DUMMYFUNCTION("""COMPUTED_VALUE"""),-73.457378)</f>
        <v>-73.457378</v>
      </c>
    </row>
    <row r="846">
      <c r="A846" s="6" t="str">
        <f>IFERROR(__xludf.DUMMYFUNCTION("""COMPUTED_VALUE"""),"Elprofeta91")</f>
        <v>Elprofeta91</v>
      </c>
      <c r="B846" s="9">
        <f>IFERROR(__xludf.DUMMYFUNCTION("""COMPUTED_VALUE"""),8.072294)</f>
        <v>8.072294</v>
      </c>
      <c r="C846" s="9">
        <f>IFERROR(__xludf.DUMMYFUNCTION("""COMPUTED_VALUE"""),-74.786128)</f>
        <v>-74.786128</v>
      </c>
    </row>
    <row r="847">
      <c r="A847" s="6" t="str">
        <f>IFERROR(__xludf.DUMMYFUNCTION("""COMPUTED_VALUE"""),"KingJo09")</f>
        <v>KingJo09</v>
      </c>
      <c r="B847" s="9">
        <f>IFERROR(__xludf.DUMMYFUNCTION("""COMPUTED_VALUE"""),4.59449)</f>
        <v>4.59449</v>
      </c>
      <c r="C847" s="9">
        <f>IFERROR(__xludf.DUMMYFUNCTION("""COMPUTED_VALUE"""),-74.07034)</f>
        <v>-74.07034</v>
      </c>
    </row>
    <row r="848">
      <c r="A848" s="6" t="str">
        <f>IFERROR(__xludf.DUMMYFUNCTION("""COMPUTED_VALUE"""),"Juanrapave")</f>
        <v>Juanrapave</v>
      </c>
      <c r="B848" s="9">
        <f>IFERROR(__xludf.DUMMYFUNCTION("""COMPUTED_VALUE"""),4.668609)</f>
        <v>4.668609</v>
      </c>
      <c r="C848" s="9">
        <f>IFERROR(__xludf.DUMMYFUNCTION("""COMPUTED_VALUE"""),-74.097384)</f>
        <v>-74.097384</v>
      </c>
    </row>
    <row r="849">
      <c r="A849" s="6" t="str">
        <f>IFERROR(__xludf.DUMMYFUNCTION("""COMPUTED_VALUE"""),"NataMendietaOrtega")</f>
        <v>NataMendietaOrtega</v>
      </c>
      <c r="B849" s="9">
        <f>IFERROR(__xludf.DUMMYFUNCTION("""COMPUTED_VALUE"""),4.595319)</f>
        <v>4.595319</v>
      </c>
      <c r="C849" s="9">
        <f>IFERROR(__xludf.DUMMYFUNCTION("""COMPUTED_VALUE"""),-74.070686)</f>
        <v>-74.070686</v>
      </c>
    </row>
    <row r="850">
      <c r="A850" s="6" t="str">
        <f>IFERROR(__xludf.DUMMYFUNCTION("""COMPUTED_VALUE"""),"JJCL09")</f>
        <v>JJCL09</v>
      </c>
      <c r="B850" s="9">
        <f>IFERROR(__xludf.DUMMYFUNCTION("""COMPUTED_VALUE"""),4.740317)</f>
        <v>4.740317</v>
      </c>
      <c r="C850" s="9">
        <f>IFERROR(__xludf.DUMMYFUNCTION("""COMPUTED_VALUE"""),-75.683097)</f>
        <v>-75.683097</v>
      </c>
    </row>
    <row r="851">
      <c r="A851" s="6" t="str">
        <f>IFERROR(__xludf.DUMMYFUNCTION("""COMPUTED_VALUE"""),"Hector Bottai")</f>
        <v>Hector Bottai</v>
      </c>
      <c r="B851" s="9">
        <f>IFERROR(__xludf.DUMMYFUNCTION("""COMPUTED_VALUE"""),5.826)</f>
        <v>5.826</v>
      </c>
      <c r="C851" s="9">
        <f>IFERROR(__xludf.DUMMYFUNCTION("""COMPUTED_VALUE"""),-76.082)</f>
        <v>-76.082</v>
      </c>
    </row>
    <row r="852">
      <c r="A852" s="6" t="str">
        <f>IFERROR(__xludf.DUMMYFUNCTION("""COMPUTED_VALUE"""),"Nbareschu")</f>
        <v>Nbareschu</v>
      </c>
      <c r="B852" s="9">
        <f>IFERROR(__xludf.DUMMYFUNCTION("""COMPUTED_VALUE"""),4.851189)</f>
        <v>4.851189</v>
      </c>
      <c r="C852" s="9">
        <f>IFERROR(__xludf.DUMMYFUNCTION("""COMPUTED_VALUE"""),-74.347442)</f>
        <v>-74.347442</v>
      </c>
    </row>
    <row r="853">
      <c r="A853" s="6" t="str">
        <f>IFERROR(__xludf.DUMMYFUNCTION("""COMPUTED_VALUE"""),"Adrianvargasag")</f>
        <v>Adrianvargasag</v>
      </c>
      <c r="B853" s="9">
        <f>IFERROR(__xludf.DUMMYFUNCTION("""COMPUTED_VALUE"""),5.012789)</f>
        <v>5.012789</v>
      </c>
      <c r="C853" s="9">
        <f>IFERROR(__xludf.DUMMYFUNCTION("""COMPUTED_VALUE"""),-75.328711)</f>
        <v>-75.328711</v>
      </c>
    </row>
    <row r="854">
      <c r="A854" s="6" t="str">
        <f>IFERROR(__xludf.DUMMYFUNCTION("""COMPUTED_VALUE"""),"AmiGueko")</f>
        <v>AmiGueko</v>
      </c>
      <c r="B854" s="9">
        <f>IFERROR(__xludf.DUMMYFUNCTION("""COMPUTED_VALUE"""),4.638395)</f>
        <v>4.638395</v>
      </c>
      <c r="C854" s="9">
        <f>IFERROR(__xludf.DUMMYFUNCTION("""COMPUTED_VALUE"""),-75.561566)</f>
        <v>-75.561566</v>
      </c>
    </row>
    <row r="855">
      <c r="A855" s="6" t="str">
        <f>IFERROR(__xludf.DUMMYFUNCTION("""COMPUTED_VALUE"""),"AmiGueko")</f>
        <v>AmiGueko</v>
      </c>
      <c r="B855" s="9">
        <f>IFERROR(__xludf.DUMMYFUNCTION("""COMPUTED_VALUE"""),4.642314)</f>
        <v>4.642314</v>
      </c>
      <c r="C855" s="9">
        <f>IFERROR(__xludf.DUMMYFUNCTION("""COMPUTED_VALUE"""),-75.552434)</f>
        <v>-75.552434</v>
      </c>
    </row>
    <row r="856">
      <c r="A856" s="6" t="str">
        <f>IFERROR(__xludf.DUMMYFUNCTION("""COMPUTED_VALUE"""),"AmiGueko")</f>
        <v>AmiGueko</v>
      </c>
      <c r="B856" s="9">
        <f>IFERROR(__xludf.DUMMYFUNCTION("""COMPUTED_VALUE"""),4.6667)</f>
        <v>4.6667</v>
      </c>
      <c r="C856" s="9">
        <f>IFERROR(__xludf.DUMMYFUNCTION("""COMPUTED_VALUE"""),-75.5)</f>
        <v>-75.5</v>
      </c>
    </row>
    <row r="857">
      <c r="A857" s="6" t="str">
        <f>IFERROR(__xludf.DUMMYFUNCTION("""COMPUTED_VALUE"""),"AmiGueko")</f>
        <v>AmiGueko</v>
      </c>
      <c r="B857" s="9">
        <f>IFERROR(__xludf.DUMMYFUNCTION("""COMPUTED_VALUE"""),4.6667)</f>
        <v>4.6667</v>
      </c>
      <c r="C857" s="9">
        <f>IFERROR(__xludf.DUMMYFUNCTION("""COMPUTED_VALUE"""),-75.5)</f>
        <v>-75.5</v>
      </c>
    </row>
    <row r="858">
      <c r="A858" s="6" t="str">
        <f>IFERROR(__xludf.DUMMYFUNCTION("""COMPUTED_VALUE"""),"AmiGueko")</f>
        <v>AmiGueko</v>
      </c>
      <c r="B858" s="9">
        <f>IFERROR(__xludf.DUMMYFUNCTION("""COMPUTED_VALUE"""),4.6667)</f>
        <v>4.6667</v>
      </c>
      <c r="C858" s="9">
        <f>IFERROR(__xludf.DUMMYFUNCTION("""COMPUTED_VALUE"""),-75.5)</f>
        <v>-75.5</v>
      </c>
    </row>
    <row r="859">
      <c r="A859" s="6" t="str">
        <f>IFERROR(__xludf.DUMMYFUNCTION("""COMPUTED_VALUE"""),"AmiGueko")</f>
        <v>AmiGueko</v>
      </c>
      <c r="B859" s="9">
        <f>IFERROR(__xludf.DUMMYFUNCTION("""COMPUTED_VALUE"""),4.6667)</f>
        <v>4.6667</v>
      </c>
      <c r="C859" s="9">
        <f>IFERROR(__xludf.DUMMYFUNCTION("""COMPUTED_VALUE"""),-75.5)</f>
        <v>-75.5</v>
      </c>
    </row>
    <row r="860">
      <c r="A860" s="6" t="str">
        <f>IFERROR(__xludf.DUMMYFUNCTION("""COMPUTED_VALUE"""),"AmiGueko")</f>
        <v>AmiGueko</v>
      </c>
      <c r="B860" s="9">
        <f>IFERROR(__xludf.DUMMYFUNCTION("""COMPUTED_VALUE"""),4.6667)</f>
        <v>4.6667</v>
      </c>
      <c r="C860" s="9">
        <f>IFERROR(__xludf.DUMMYFUNCTION("""COMPUTED_VALUE"""),-75.5)</f>
        <v>-75.5</v>
      </c>
    </row>
    <row r="861">
      <c r="A861" s="6" t="str">
        <f>IFERROR(__xludf.DUMMYFUNCTION("""COMPUTED_VALUE"""),"AmiGueko")</f>
        <v>AmiGueko</v>
      </c>
      <c r="B861" s="9">
        <f>IFERROR(__xludf.DUMMYFUNCTION("""COMPUTED_VALUE"""),4.6667)</f>
        <v>4.6667</v>
      </c>
      <c r="C861" s="9">
        <f>IFERROR(__xludf.DUMMYFUNCTION("""COMPUTED_VALUE"""),-75.5)</f>
        <v>-75.5</v>
      </c>
    </row>
    <row r="862">
      <c r="A862" s="6" t="str">
        <f>IFERROR(__xludf.DUMMYFUNCTION("""COMPUTED_VALUE"""),"AmiGueko")</f>
        <v>AmiGueko</v>
      </c>
      <c r="B862" s="9">
        <f>IFERROR(__xludf.DUMMYFUNCTION("""COMPUTED_VALUE"""),4.6667)</f>
        <v>4.6667</v>
      </c>
      <c r="C862" s="9">
        <f>IFERROR(__xludf.DUMMYFUNCTION("""COMPUTED_VALUE"""),-75.5)</f>
        <v>-75.5</v>
      </c>
    </row>
    <row r="863">
      <c r="A863" s="6" t="str">
        <f>IFERROR(__xludf.DUMMYFUNCTION("""COMPUTED_VALUE"""),"AmiGueko")</f>
        <v>AmiGueko</v>
      </c>
      <c r="B863" s="9">
        <f>IFERROR(__xludf.DUMMYFUNCTION("""COMPUTED_VALUE"""),4.6667)</f>
        <v>4.6667</v>
      </c>
      <c r="C863" s="9">
        <f>IFERROR(__xludf.DUMMYFUNCTION("""COMPUTED_VALUE"""),-75.5)</f>
        <v>-75.5</v>
      </c>
    </row>
    <row r="864">
      <c r="A864" s="6" t="str">
        <f>IFERROR(__xludf.DUMMYFUNCTION("""COMPUTED_VALUE"""),"AmiGueko")</f>
        <v>AmiGueko</v>
      </c>
      <c r="B864" s="9">
        <f>IFERROR(__xludf.DUMMYFUNCTION("""COMPUTED_VALUE"""),4.6667)</f>
        <v>4.6667</v>
      </c>
      <c r="C864" s="9">
        <f>IFERROR(__xludf.DUMMYFUNCTION("""COMPUTED_VALUE"""),-75.5)</f>
        <v>-75.5</v>
      </c>
    </row>
    <row r="865">
      <c r="A865" s="6" t="str">
        <f>IFERROR(__xludf.DUMMYFUNCTION("""COMPUTED_VALUE"""),"AmiGueko")</f>
        <v>AmiGueko</v>
      </c>
      <c r="B865" s="9">
        <f>IFERROR(__xludf.DUMMYFUNCTION("""COMPUTED_VALUE"""),4.6667)</f>
        <v>4.6667</v>
      </c>
      <c r="C865" s="9">
        <f>IFERROR(__xludf.DUMMYFUNCTION("""COMPUTED_VALUE"""),-75.5)</f>
        <v>-75.5</v>
      </c>
    </row>
    <row r="866">
      <c r="A866" s="6" t="str">
        <f>IFERROR(__xludf.DUMMYFUNCTION("""COMPUTED_VALUE"""),"AmiGueko")</f>
        <v>AmiGueko</v>
      </c>
      <c r="B866" s="9">
        <f>IFERROR(__xludf.DUMMYFUNCTION("""COMPUTED_VALUE"""),4.6667)</f>
        <v>4.6667</v>
      </c>
      <c r="C866" s="9">
        <f>IFERROR(__xludf.DUMMYFUNCTION("""COMPUTED_VALUE"""),-75.5)</f>
        <v>-75.5</v>
      </c>
    </row>
    <row r="867">
      <c r="A867" s="6" t="str">
        <f>IFERROR(__xludf.DUMMYFUNCTION("""COMPUTED_VALUE"""),"AmiGueko")</f>
        <v>AmiGueko</v>
      </c>
      <c r="B867" s="9">
        <f>IFERROR(__xludf.DUMMYFUNCTION("""COMPUTED_VALUE"""),4.642023)</f>
        <v>4.642023</v>
      </c>
      <c r="C867" s="9">
        <f>IFERROR(__xludf.DUMMYFUNCTION("""COMPUTED_VALUE"""),-75.588938)</f>
        <v>-75.588938</v>
      </c>
    </row>
    <row r="868">
      <c r="A868" s="6" t="str">
        <f>IFERROR(__xludf.DUMMYFUNCTION("""COMPUTED_VALUE"""),"AmiGueko")</f>
        <v>AmiGueko</v>
      </c>
      <c r="B868" s="9">
        <f>IFERROR(__xludf.DUMMYFUNCTION("""COMPUTED_VALUE"""),4.6667)</f>
        <v>4.6667</v>
      </c>
      <c r="C868" s="9">
        <f>IFERROR(__xludf.DUMMYFUNCTION("""COMPUTED_VALUE"""),-75.5)</f>
        <v>-75.5</v>
      </c>
    </row>
    <row r="869">
      <c r="A869" s="6" t="str">
        <f>IFERROR(__xludf.DUMMYFUNCTION("""COMPUTED_VALUE"""),"AmiGueko")</f>
        <v>AmiGueko</v>
      </c>
      <c r="B869" s="9">
        <f>IFERROR(__xludf.DUMMYFUNCTION("""COMPUTED_VALUE"""),4.6667)</f>
        <v>4.6667</v>
      </c>
      <c r="C869" s="9">
        <f>IFERROR(__xludf.DUMMYFUNCTION("""COMPUTED_VALUE"""),-75.5)</f>
        <v>-75.5</v>
      </c>
    </row>
    <row r="870">
      <c r="A870" s="6" t="str">
        <f>IFERROR(__xludf.DUMMYFUNCTION("""COMPUTED_VALUE"""),"JJCL09")</f>
        <v>JJCL09</v>
      </c>
      <c r="B870" s="9">
        <f>IFERROR(__xludf.DUMMYFUNCTION("""COMPUTED_VALUE"""),5.052892)</f>
        <v>5.052892</v>
      </c>
      <c r="C870" s="9">
        <f>IFERROR(__xludf.DUMMYFUNCTION("""COMPUTED_VALUE"""),-75.546508)</f>
        <v>-75.546508</v>
      </c>
    </row>
    <row r="871">
      <c r="A871" s="6" t="str">
        <f>IFERROR(__xludf.DUMMYFUNCTION("""COMPUTED_VALUE"""),"Diferoch")</f>
        <v>Diferoch</v>
      </c>
      <c r="B871" s="9">
        <f>IFERROR(__xludf.DUMMYFUNCTION("""COMPUTED_VALUE"""),6.894992)</f>
        <v>6.894992</v>
      </c>
      <c r="C871" s="9">
        <f>IFERROR(__xludf.DUMMYFUNCTION("""COMPUTED_VALUE"""),-73.020965)</f>
        <v>-73.020965</v>
      </c>
    </row>
    <row r="872">
      <c r="A872" s="6" t="str">
        <f>IFERROR(__xludf.DUMMYFUNCTION("""COMPUTED_VALUE"""),"Diferoch")</f>
        <v>Diferoch</v>
      </c>
      <c r="B872" s="9">
        <f>IFERROR(__xludf.DUMMYFUNCTION("""COMPUTED_VALUE"""),6.894993)</f>
        <v>6.894993</v>
      </c>
      <c r="C872" s="9">
        <f>IFERROR(__xludf.DUMMYFUNCTION("""COMPUTED_VALUE"""),-73.020965)</f>
        <v>-73.020965</v>
      </c>
    </row>
    <row r="873">
      <c r="A873" s="6" t="str">
        <f>IFERROR(__xludf.DUMMYFUNCTION("""COMPUTED_VALUE"""),"SergioM01")</f>
        <v>SergioM01</v>
      </c>
      <c r="B873" s="9">
        <f>IFERROR(__xludf.DUMMYFUNCTION("""COMPUTED_VALUE"""),4.934704)</f>
        <v>4.934704</v>
      </c>
      <c r="C873" s="9">
        <f>IFERROR(__xludf.DUMMYFUNCTION("""COMPUTED_VALUE"""),-75.34723)</f>
        <v>-75.34723</v>
      </c>
    </row>
    <row r="874">
      <c r="A874" s="6" t="str">
        <f>IFERROR(__xludf.DUMMYFUNCTION("""COMPUTED_VALUE"""),"JJCL09")</f>
        <v>JJCL09</v>
      </c>
      <c r="B874" s="9">
        <f>IFERROR(__xludf.DUMMYFUNCTION("""COMPUTED_VALUE"""),5.566728)</f>
        <v>5.566728</v>
      </c>
      <c r="C874" s="9">
        <f>IFERROR(__xludf.DUMMYFUNCTION("""COMPUTED_VALUE"""),-74.906936)</f>
        <v>-74.906936</v>
      </c>
    </row>
    <row r="875">
      <c r="A875" s="6" t="str">
        <f>IFERROR(__xludf.DUMMYFUNCTION("""COMPUTED_VALUE"""),"Johannelob")</f>
        <v>Johannelob</v>
      </c>
      <c r="B875" s="9">
        <f>IFERROR(__xludf.DUMMYFUNCTION("""COMPUTED_VALUE"""),10.425)</f>
        <v>10.425</v>
      </c>
      <c r="C875" s="9">
        <f>IFERROR(__xludf.DUMMYFUNCTION("""COMPUTED_VALUE"""),-75.540278)</f>
        <v>-75.540278</v>
      </c>
    </row>
    <row r="876">
      <c r="A876" s="6" t="str">
        <f>IFERROR(__xludf.DUMMYFUNCTION("""COMPUTED_VALUE"""),"Supertita")</f>
        <v>Supertita</v>
      </c>
      <c r="B876" s="9">
        <f>IFERROR(__xludf.DUMMYFUNCTION("""COMPUTED_VALUE"""),4.668211)</f>
        <v>4.668211</v>
      </c>
      <c r="C876" s="9">
        <f>IFERROR(__xludf.DUMMYFUNCTION("""COMPUTED_VALUE"""),-74.100198)</f>
        <v>-74.100198</v>
      </c>
    </row>
    <row r="877">
      <c r="A877" s="6" t="str">
        <f>IFERROR(__xludf.DUMMYFUNCTION("""COMPUTED_VALUE"""),"LentedeBerilo")</f>
        <v>LentedeBerilo</v>
      </c>
      <c r="B877" s="9">
        <f>IFERROR(__xludf.DUMMYFUNCTION("""COMPUTED_VALUE"""),2.128661)</f>
        <v>2.128661</v>
      </c>
      <c r="C877" s="9">
        <f>IFERROR(__xludf.DUMMYFUNCTION("""COMPUTED_VALUE"""),-76.429432)</f>
        <v>-76.429432</v>
      </c>
    </row>
    <row r="878">
      <c r="A878" s="6" t="str">
        <f>IFERROR(__xludf.DUMMYFUNCTION("""COMPUTED_VALUE"""),"NycDM")</f>
        <v>NycDM</v>
      </c>
      <c r="B878" s="9">
        <f>IFERROR(__xludf.DUMMYFUNCTION("""COMPUTED_VALUE"""),4.109503)</f>
        <v>4.109503</v>
      </c>
      <c r="C878" s="9">
        <f>IFERROR(__xludf.DUMMYFUNCTION("""COMPUTED_VALUE"""),-73.636719)</f>
        <v>-73.636719</v>
      </c>
    </row>
    <row r="879">
      <c r="A879" s="6" t="str">
        <f>IFERROR(__xludf.DUMMYFUNCTION("""COMPUTED_VALUE"""),"NycDM")</f>
        <v>NycDM</v>
      </c>
      <c r="B879" s="9">
        <f>IFERROR(__xludf.DUMMYFUNCTION("""COMPUTED_VALUE"""),4.109503)</f>
        <v>4.109503</v>
      </c>
      <c r="C879" s="9">
        <f>IFERROR(__xludf.DUMMYFUNCTION("""COMPUTED_VALUE"""),-73.636733)</f>
        <v>-73.636733</v>
      </c>
    </row>
    <row r="880">
      <c r="A880" s="6" t="str">
        <f>IFERROR(__xludf.DUMMYFUNCTION("""COMPUTED_VALUE"""),"Charlesjsharp")</f>
        <v>Charlesjsharp</v>
      </c>
      <c r="B880" s="9">
        <f>IFERROR(__xludf.DUMMYFUNCTION("""COMPUTED_VALUE"""),5.85)</f>
        <v>5.85</v>
      </c>
      <c r="C880" s="9">
        <f>IFERROR(__xludf.DUMMYFUNCTION("""COMPUTED_VALUE"""),-76.18)</f>
        <v>-76.18</v>
      </c>
    </row>
    <row r="881">
      <c r="A881" s="6" t="str">
        <f>IFERROR(__xludf.DUMMYFUNCTION("""COMPUTED_VALUE"""),"Johan Andrés Toro")</f>
        <v>Johan Andrés Toro</v>
      </c>
      <c r="B881" s="9">
        <f>IFERROR(__xludf.DUMMYFUNCTION("""COMPUTED_VALUE"""),5.215509)</f>
        <v>5.215509</v>
      </c>
      <c r="C881" s="9">
        <f>IFERROR(__xludf.DUMMYFUNCTION("""COMPUTED_VALUE"""),-73.846618)</f>
        <v>-73.846618</v>
      </c>
    </row>
    <row r="882">
      <c r="A882" s="6" t="str">
        <f>IFERROR(__xludf.DUMMYFUNCTION("""COMPUTED_VALUE"""),"Johan Andrés Toro")</f>
        <v>Johan Andrés Toro</v>
      </c>
      <c r="B882" s="9">
        <f>IFERROR(__xludf.DUMMYFUNCTION("""COMPUTED_VALUE"""),5.214099)</f>
        <v>5.214099</v>
      </c>
      <c r="C882" s="9">
        <f>IFERROR(__xludf.DUMMYFUNCTION("""COMPUTED_VALUE"""),-73.845426)</f>
        <v>-73.845426</v>
      </c>
    </row>
    <row r="883">
      <c r="A883" s="6" t="str">
        <f>IFERROR(__xludf.DUMMYFUNCTION("""COMPUTED_VALUE"""),"Johan Andrés Toro")</f>
        <v>Johan Andrés Toro</v>
      </c>
      <c r="B883" s="9">
        <f>IFERROR(__xludf.DUMMYFUNCTION("""COMPUTED_VALUE"""),4.574826)</f>
        <v>4.574826</v>
      </c>
      <c r="C883" s="9">
        <f>IFERROR(__xludf.DUMMYFUNCTION("""COMPUTED_VALUE"""),-74.293245)</f>
        <v>-74.293245</v>
      </c>
    </row>
    <row r="884">
      <c r="A884" s="6" t="str">
        <f>IFERROR(__xludf.DUMMYFUNCTION("""COMPUTED_VALUE"""),"XimmoY")</f>
        <v>XimmoY</v>
      </c>
      <c r="B884" s="9">
        <f>IFERROR(__xludf.DUMMYFUNCTION("""COMPUTED_VALUE"""),5.86224)</f>
        <v>5.86224</v>
      </c>
      <c r="C884" s="9">
        <f>IFERROR(__xludf.DUMMYFUNCTION("""COMPUTED_VALUE"""),-74.87047)</f>
        <v>-74.87047</v>
      </c>
    </row>
    <row r="885">
      <c r="A885" s="6" t="str">
        <f>IFERROR(__xludf.DUMMYFUNCTION("""COMPUTED_VALUE"""),"JuanitoCISF")</f>
        <v>JuanitoCISF</v>
      </c>
      <c r="B885" s="9">
        <f>IFERROR(__xludf.DUMMYFUNCTION("""COMPUTED_VALUE"""),5.53725)</f>
        <v>5.53725</v>
      </c>
      <c r="C885" s="9">
        <f>IFERROR(__xludf.DUMMYFUNCTION("""COMPUTED_VALUE"""),-73.616089)</f>
        <v>-73.616089</v>
      </c>
    </row>
    <row r="886">
      <c r="A886" s="6" t="str">
        <f>IFERROR(__xludf.DUMMYFUNCTION("""COMPUTED_VALUE"""),"JuanitoCISF")</f>
        <v>JuanitoCISF</v>
      </c>
      <c r="B886" s="9">
        <f>IFERROR(__xludf.DUMMYFUNCTION("""COMPUTED_VALUE"""),5.634014)</f>
        <v>5.634014</v>
      </c>
      <c r="C886" s="9">
        <f>IFERROR(__xludf.DUMMYFUNCTION("""COMPUTED_VALUE"""),-73.523697)</f>
        <v>-73.523697</v>
      </c>
    </row>
    <row r="887">
      <c r="A887" s="6" t="str">
        <f>IFERROR(__xludf.DUMMYFUNCTION("""COMPUTED_VALUE"""),"LentedeBerilo")</f>
        <v>LentedeBerilo</v>
      </c>
      <c r="B887" s="9">
        <f>IFERROR(__xludf.DUMMYFUNCTION("""COMPUTED_VALUE"""),2.944734)</f>
        <v>2.944734</v>
      </c>
      <c r="C887" s="9">
        <f>IFERROR(__xludf.DUMMYFUNCTION("""COMPUTED_VALUE"""),-78.198383)</f>
        <v>-78.198383</v>
      </c>
    </row>
    <row r="888">
      <c r="A888" s="6" t="str">
        <f>IFERROR(__xludf.DUMMYFUNCTION("""COMPUTED_VALUE"""),"Mfrancoavellaneda")</f>
        <v>Mfrancoavellaneda</v>
      </c>
      <c r="B888" s="9">
        <f>IFERROR(__xludf.DUMMYFUNCTION("""COMPUTED_VALUE"""),4.667814)</f>
        <v>4.667814</v>
      </c>
      <c r="C888" s="9">
        <f>IFERROR(__xludf.DUMMYFUNCTION("""COMPUTED_VALUE"""),-74.099953)</f>
        <v>-74.099953</v>
      </c>
    </row>
    <row r="889">
      <c r="A889" s="6" t="str">
        <f>IFERROR(__xludf.DUMMYFUNCTION("""COMPUTED_VALUE"""),"Supertita")</f>
        <v>Supertita</v>
      </c>
      <c r="B889" s="9">
        <f>IFERROR(__xludf.DUMMYFUNCTION("""COMPUTED_VALUE"""),5.3759)</f>
        <v>5.3759</v>
      </c>
      <c r="C889" s="9">
        <f>IFERROR(__xludf.DUMMYFUNCTION("""COMPUTED_VALUE"""),-7.33132)</f>
        <v>-7.33132</v>
      </c>
    </row>
    <row r="890">
      <c r="A890" s="6" t="str">
        <f>IFERROR(__xludf.DUMMYFUNCTION("""COMPUTED_VALUE"""),"FranciscoFajardoG")</f>
        <v>FranciscoFajardoG</v>
      </c>
      <c r="B890" s="9">
        <f>IFERROR(__xludf.DUMMYFUNCTION("""COMPUTED_VALUE"""),4.169424)</f>
        <v>4.169424</v>
      </c>
      <c r="C890" s="9">
        <f>IFERROR(__xludf.DUMMYFUNCTION("""COMPUTED_VALUE"""),-74.16854)</f>
        <v>-74.16854</v>
      </c>
    </row>
    <row r="891">
      <c r="A891" s="6" t="str">
        <f>IFERROR(__xludf.DUMMYFUNCTION("""COMPUTED_VALUE"""),"FranciscoFajardoG")</f>
        <v>FranciscoFajardoG</v>
      </c>
      <c r="B891" s="9">
        <f>IFERROR(__xludf.DUMMYFUNCTION("""COMPUTED_VALUE"""),4.169424)</f>
        <v>4.169424</v>
      </c>
      <c r="C891" s="9">
        <f>IFERROR(__xludf.DUMMYFUNCTION("""COMPUTED_VALUE"""),-74.16854)</f>
        <v>-74.16854</v>
      </c>
    </row>
    <row r="892">
      <c r="A892" s="6" t="str">
        <f>IFERROR(__xludf.DUMMYFUNCTION("""COMPUTED_VALUE"""),"FranciscoFajardoG")</f>
        <v>FranciscoFajardoG</v>
      </c>
      <c r="B892" s="9">
        <f>IFERROR(__xludf.DUMMYFUNCTION("""COMPUTED_VALUE"""),4.169424)</f>
        <v>4.169424</v>
      </c>
      <c r="C892" s="9">
        <f>IFERROR(__xludf.DUMMYFUNCTION("""COMPUTED_VALUE"""),-74.16854)</f>
        <v>-74.16854</v>
      </c>
    </row>
    <row r="893">
      <c r="A893" s="6" t="str">
        <f>IFERROR(__xludf.DUMMYFUNCTION("""COMPUTED_VALUE"""),"Charlesjsharp")</f>
        <v>Charlesjsharp</v>
      </c>
      <c r="B893" s="9">
        <f>IFERROR(__xludf.DUMMYFUNCTION("""COMPUTED_VALUE"""),4.63)</f>
        <v>4.63</v>
      </c>
      <c r="C893" s="9">
        <f>IFERROR(__xludf.DUMMYFUNCTION("""COMPUTED_VALUE"""),-73.72)</f>
        <v>-73.72</v>
      </c>
    </row>
    <row r="894">
      <c r="A894" s="6" t="str">
        <f>IFERROR(__xludf.DUMMYFUNCTION("""COMPUTED_VALUE"""),"Supertita")</f>
        <v>Supertita</v>
      </c>
      <c r="B894" s="9">
        <f>IFERROR(__xludf.DUMMYFUNCTION("""COMPUTED_VALUE"""),4.52799)</f>
        <v>4.52799</v>
      </c>
      <c r="C894" s="9">
        <f>IFERROR(__xludf.DUMMYFUNCTION("""COMPUTED_VALUE"""),-73.75284)</f>
        <v>-73.75284</v>
      </c>
    </row>
    <row r="895">
      <c r="A895" s="6" t="str">
        <f>IFERROR(__xludf.DUMMYFUNCTION("""COMPUTED_VALUE"""),"Overlabor5010")</f>
        <v>Overlabor5010</v>
      </c>
      <c r="B895" s="9">
        <f>IFERROR(__xludf.DUMMYFUNCTION("""COMPUTED_VALUE"""),11.308901)</f>
        <v>11.308901</v>
      </c>
      <c r="C895" s="9">
        <f>IFERROR(__xludf.DUMMYFUNCTION("""COMPUTED_VALUE"""),-73.936915)</f>
        <v>-73.936915</v>
      </c>
    </row>
    <row r="896">
      <c r="A896" s="6" t="str">
        <f>IFERROR(__xludf.DUMMYFUNCTION("""COMPUTED_VALUE"""),"Diferoch")</f>
        <v>Diferoch</v>
      </c>
      <c r="B896" s="9">
        <f>IFERROR(__xludf.DUMMYFUNCTION("""COMPUTED_VALUE"""),7.08506)</f>
        <v>7.08506</v>
      </c>
      <c r="C896" s="9">
        <f>IFERROR(__xludf.DUMMYFUNCTION("""COMPUTED_VALUE"""),-73.863815)</f>
        <v>-73.863815</v>
      </c>
    </row>
    <row r="897">
      <c r="A897" s="6" t="str">
        <f>IFERROR(__xludf.DUMMYFUNCTION("""COMPUTED_VALUE"""),"AmiGueko")</f>
        <v>AmiGueko</v>
      </c>
      <c r="B897" s="9">
        <f>IFERROR(__xludf.DUMMYFUNCTION("""COMPUTED_VALUE"""),4.66775)</f>
        <v>4.66775</v>
      </c>
      <c r="C897" s="9">
        <f>IFERROR(__xludf.DUMMYFUNCTION("""COMPUTED_VALUE"""),-74.099944)</f>
        <v>-74.099944</v>
      </c>
    </row>
    <row r="898">
      <c r="A898" s="6" t="str">
        <f>IFERROR(__xludf.DUMMYFUNCTION("""COMPUTED_VALUE"""),"JJCL09")</f>
        <v>JJCL09</v>
      </c>
      <c r="B898" s="9">
        <f>IFERROR(__xludf.DUMMYFUNCTION("""COMPUTED_VALUE"""),4.805028)</f>
        <v>4.805028</v>
      </c>
      <c r="C898" s="9">
        <f>IFERROR(__xludf.DUMMYFUNCTION("""COMPUTED_VALUE"""),-75.692)</f>
        <v>-75.692</v>
      </c>
    </row>
    <row r="899">
      <c r="A899" s="6" t="str">
        <f>IFERROR(__xludf.DUMMYFUNCTION("""COMPUTED_VALUE"""),"Natlycu")</f>
        <v>Natlycu</v>
      </c>
      <c r="B899" s="9">
        <f>IFERROR(__xludf.DUMMYFUNCTION("""COMPUTED_VALUE"""),4.668296)</f>
        <v>4.668296</v>
      </c>
      <c r="C899" s="9">
        <f>IFERROR(__xludf.DUMMYFUNCTION("""COMPUTED_VALUE"""),-74.097728)</f>
        <v>-74.097728</v>
      </c>
    </row>
    <row r="900">
      <c r="A900" s="6" t="str">
        <f>IFERROR(__xludf.DUMMYFUNCTION("""COMPUTED_VALUE"""),"Sigolene-jomain")</f>
        <v>Sigolene-jomain</v>
      </c>
      <c r="B900" s="9">
        <f>IFERROR(__xludf.DUMMYFUNCTION("""COMPUTED_VALUE"""),4.708597)</f>
        <v>4.708597</v>
      </c>
      <c r="C900" s="9">
        <f>IFERROR(__xludf.DUMMYFUNCTION("""COMPUTED_VALUE"""),-75.648339)</f>
        <v>-75.648339</v>
      </c>
    </row>
    <row r="901">
      <c r="A901" s="6" t="str">
        <f>IFERROR(__xludf.DUMMYFUNCTION("""COMPUTED_VALUE"""),"Diferoch")</f>
        <v>Diferoch</v>
      </c>
      <c r="B901" s="9">
        <f>IFERROR(__xludf.DUMMYFUNCTION("""COMPUTED_VALUE"""),4.600725)</f>
        <v>4.600725</v>
      </c>
      <c r="C901" s="9">
        <f>IFERROR(__xludf.DUMMYFUNCTION("""COMPUTED_VALUE"""),-74.066002)</f>
        <v>-74.066002</v>
      </c>
    </row>
    <row r="902">
      <c r="A902" s="6" t="str">
        <f>IFERROR(__xludf.DUMMYFUNCTION("""COMPUTED_VALUE"""),"Diferoch")</f>
        <v>Diferoch</v>
      </c>
      <c r="B902" s="9">
        <f>IFERROR(__xludf.DUMMYFUNCTION("""COMPUTED_VALUE"""),4.60073)</f>
        <v>4.60073</v>
      </c>
      <c r="C902" s="9">
        <f>IFERROR(__xludf.DUMMYFUNCTION("""COMPUTED_VALUE"""),-74.065995)</f>
        <v>-74.065995</v>
      </c>
    </row>
    <row r="903">
      <c r="A903" s="6" t="str">
        <f>IFERROR(__xludf.DUMMYFUNCTION("""COMPUTED_VALUE"""),"Rodrigomacrophoto")</f>
        <v>Rodrigomacrophoto</v>
      </c>
      <c r="B903" s="9">
        <f>IFERROR(__xludf.DUMMYFUNCTION("""COMPUTED_VALUE"""),4.87082)</f>
        <v>4.87082</v>
      </c>
      <c r="C903" s="9">
        <f>IFERROR(__xludf.DUMMYFUNCTION("""COMPUTED_VALUE"""),-74.086119)</f>
        <v>-74.086119</v>
      </c>
    </row>
    <row r="904">
      <c r="A904" s="6" t="str">
        <f>IFERROR(__xludf.DUMMYFUNCTION("""COMPUTED_VALUE"""),"NMontoya (WMCO)")</f>
        <v>NMontoya (WMCO)</v>
      </c>
      <c r="B904" s="9">
        <f>IFERROR(__xludf.DUMMYFUNCTION("""COMPUTED_VALUE"""),4.669437)</f>
        <v>4.669437</v>
      </c>
      <c r="C904" s="9">
        <f>IFERROR(__xludf.DUMMYFUNCTION("""COMPUTED_VALUE"""),-74.097702)</f>
        <v>-74.097702</v>
      </c>
    </row>
    <row r="905">
      <c r="A905" s="6" t="str">
        <f>IFERROR(__xludf.DUMMYFUNCTION("""COMPUTED_VALUE"""),"NMontoya (WMCO)")</f>
        <v>NMontoya (WMCO)</v>
      </c>
      <c r="B905" s="9">
        <f>IFERROR(__xludf.DUMMYFUNCTION("""COMPUTED_VALUE"""),4.66775)</f>
        <v>4.66775</v>
      </c>
      <c r="C905" s="9">
        <f>IFERROR(__xludf.DUMMYFUNCTION("""COMPUTED_VALUE"""),-74.099944)</f>
        <v>-74.099944</v>
      </c>
    </row>
    <row r="906">
      <c r="A906" s="6" t="str">
        <f>IFERROR(__xludf.DUMMYFUNCTION("""COMPUTED_VALUE"""),"NMontoya (WMCO)")</f>
        <v>NMontoya (WMCO)</v>
      </c>
      <c r="B906" s="9">
        <f>IFERROR(__xludf.DUMMYFUNCTION("""COMPUTED_VALUE"""),4.66775)</f>
        <v>4.66775</v>
      </c>
      <c r="C906" s="9">
        <f>IFERROR(__xludf.DUMMYFUNCTION("""COMPUTED_VALUE"""),-74.099944)</f>
        <v>-74.099944</v>
      </c>
    </row>
    <row r="907">
      <c r="A907" s="6" t="str">
        <f>IFERROR(__xludf.DUMMYFUNCTION("""COMPUTED_VALUE"""),"AntonioEliseo")</f>
        <v>AntonioEliseo</v>
      </c>
      <c r="B907" s="9">
        <f>IFERROR(__xludf.DUMMYFUNCTION("""COMPUTED_VALUE"""),4.654778)</f>
        <v>4.654778</v>
      </c>
      <c r="C907" s="9">
        <f>IFERROR(__xludf.DUMMYFUNCTION("""COMPUTED_VALUE"""),-74.391238)</f>
        <v>-74.391238</v>
      </c>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0"/>
    <hyperlink r:id="rId649" ref="A651"/>
    <hyperlink r:id="rId650" ref="A652"/>
    <hyperlink r:id="rId651" ref="A653"/>
    <hyperlink r:id="rId652" ref="A654"/>
    <hyperlink r:id="rId653" ref="A655"/>
    <hyperlink r:id="rId654" ref="A656"/>
    <hyperlink r:id="rId655" ref="A657"/>
    <hyperlink r:id="rId656" ref="A658"/>
    <hyperlink r:id="rId657" ref="A659"/>
    <hyperlink r:id="rId658" ref="A660"/>
    <hyperlink r:id="rId659" ref="A661"/>
    <hyperlink r:id="rId660" ref="A662"/>
    <hyperlink r:id="rId661" ref="A663"/>
    <hyperlink r:id="rId662" ref="A664"/>
    <hyperlink r:id="rId663" ref="A665"/>
    <hyperlink r:id="rId664" ref="A666"/>
    <hyperlink r:id="rId665" ref="A667"/>
    <hyperlink r:id="rId666" ref="A668"/>
    <hyperlink r:id="rId667" ref="A669"/>
    <hyperlink r:id="rId668" ref="A670"/>
    <hyperlink r:id="rId669" ref="A671"/>
    <hyperlink r:id="rId670" ref="A672"/>
    <hyperlink r:id="rId671" ref="A673"/>
    <hyperlink r:id="rId672" ref="A674"/>
    <hyperlink r:id="rId673" ref="A675"/>
    <hyperlink r:id="rId674" ref="A676"/>
    <hyperlink r:id="rId675" ref="A677"/>
    <hyperlink r:id="rId676" ref="A678"/>
    <hyperlink r:id="rId677" ref="A679"/>
    <hyperlink r:id="rId678" ref="A680"/>
    <hyperlink r:id="rId679" ref="A681"/>
    <hyperlink r:id="rId680" ref="A682"/>
    <hyperlink r:id="rId681" ref="A683"/>
    <hyperlink r:id="rId682" ref="A684"/>
    <hyperlink r:id="rId683" ref="A685"/>
    <hyperlink r:id="rId684" ref="A686"/>
    <hyperlink r:id="rId685" ref="A687"/>
    <hyperlink r:id="rId686" ref="A688"/>
    <hyperlink r:id="rId687" ref="A689"/>
    <hyperlink r:id="rId688" ref="A690"/>
    <hyperlink r:id="rId689" ref="A691"/>
    <hyperlink r:id="rId690" ref="A692"/>
    <hyperlink r:id="rId691" ref="A693"/>
    <hyperlink r:id="rId692" ref="A694"/>
    <hyperlink r:id="rId693" ref="A695"/>
    <hyperlink r:id="rId694" ref="A696"/>
    <hyperlink r:id="rId695" ref="A697"/>
    <hyperlink r:id="rId696" ref="A698"/>
    <hyperlink r:id="rId697" ref="A699"/>
    <hyperlink r:id="rId698" ref="A700"/>
    <hyperlink r:id="rId699" ref="A701"/>
    <hyperlink r:id="rId700" ref="A702"/>
    <hyperlink r:id="rId701" ref="A703"/>
    <hyperlink r:id="rId702" ref="A704"/>
    <hyperlink r:id="rId703" ref="A705"/>
    <hyperlink r:id="rId704" ref="A706"/>
    <hyperlink r:id="rId705" ref="A707"/>
    <hyperlink r:id="rId706" ref="A708"/>
    <hyperlink r:id="rId707" ref="A709"/>
    <hyperlink r:id="rId708" ref="A710"/>
    <hyperlink r:id="rId709" ref="A711"/>
    <hyperlink r:id="rId710" ref="A712"/>
    <hyperlink r:id="rId711" ref="A713"/>
    <hyperlink r:id="rId712" ref="A714"/>
    <hyperlink r:id="rId713" ref="A715"/>
    <hyperlink r:id="rId714" ref="A716"/>
    <hyperlink r:id="rId715" ref="A717"/>
    <hyperlink r:id="rId716" ref="A718"/>
    <hyperlink r:id="rId717" ref="A719"/>
    <hyperlink r:id="rId718" ref="A720"/>
    <hyperlink r:id="rId719" ref="A721"/>
    <hyperlink r:id="rId720" ref="A722"/>
    <hyperlink r:id="rId721" ref="A723"/>
    <hyperlink r:id="rId722" ref="A724"/>
    <hyperlink r:id="rId723" ref="A725"/>
    <hyperlink r:id="rId724" ref="A726"/>
    <hyperlink r:id="rId725" ref="A727"/>
    <hyperlink r:id="rId726" ref="A728"/>
    <hyperlink r:id="rId727" ref="A729"/>
    <hyperlink r:id="rId728" ref="A730"/>
    <hyperlink r:id="rId729" ref="A731"/>
    <hyperlink r:id="rId730" ref="A732"/>
    <hyperlink r:id="rId731" ref="A733"/>
    <hyperlink r:id="rId732" ref="A734"/>
    <hyperlink r:id="rId733" ref="A735"/>
    <hyperlink r:id="rId734" ref="A736"/>
    <hyperlink r:id="rId735" ref="A737"/>
    <hyperlink r:id="rId736" ref="A738"/>
    <hyperlink r:id="rId737" ref="A739"/>
    <hyperlink r:id="rId738" ref="A740"/>
    <hyperlink r:id="rId739" ref="A741"/>
    <hyperlink r:id="rId740" ref="A742"/>
    <hyperlink r:id="rId741" ref="A743"/>
    <hyperlink r:id="rId742" ref="A744"/>
    <hyperlink r:id="rId743" ref="A745"/>
    <hyperlink r:id="rId744" ref="A746"/>
    <hyperlink r:id="rId745" ref="A747"/>
    <hyperlink r:id="rId746" ref="A748"/>
    <hyperlink r:id="rId747" ref="A749"/>
    <hyperlink r:id="rId748" ref="A750"/>
    <hyperlink r:id="rId749" ref="A751"/>
    <hyperlink r:id="rId750" ref="A752"/>
    <hyperlink r:id="rId751" ref="A753"/>
    <hyperlink r:id="rId752" ref="A754"/>
    <hyperlink r:id="rId753" ref="A755"/>
    <hyperlink r:id="rId754" ref="A756"/>
    <hyperlink r:id="rId755" ref="A757"/>
    <hyperlink r:id="rId756" ref="A758"/>
    <hyperlink r:id="rId757" ref="A759"/>
    <hyperlink r:id="rId758" ref="A760"/>
    <hyperlink r:id="rId759" ref="A761"/>
    <hyperlink r:id="rId760" ref="A762"/>
    <hyperlink r:id="rId761" ref="A763"/>
    <hyperlink r:id="rId762" ref="A764"/>
    <hyperlink r:id="rId763" ref="A765"/>
    <hyperlink r:id="rId764" ref="A766"/>
    <hyperlink r:id="rId765" ref="A767"/>
    <hyperlink r:id="rId766" ref="A768"/>
    <hyperlink r:id="rId767" ref="A769"/>
    <hyperlink r:id="rId768" ref="A770"/>
    <hyperlink r:id="rId769" ref="A771"/>
    <hyperlink r:id="rId770" ref="A772"/>
    <hyperlink r:id="rId771" ref="A773"/>
    <hyperlink r:id="rId772" ref="A774"/>
    <hyperlink r:id="rId773" ref="A775"/>
    <hyperlink r:id="rId774" ref="A776"/>
    <hyperlink r:id="rId775" ref="A777"/>
    <hyperlink r:id="rId776" ref="A778"/>
    <hyperlink r:id="rId777" ref="A779"/>
    <hyperlink r:id="rId778" ref="A780"/>
    <hyperlink r:id="rId779" ref="A781"/>
    <hyperlink r:id="rId780" ref="A782"/>
    <hyperlink r:id="rId781" ref="A783"/>
    <hyperlink r:id="rId782" ref="A784"/>
    <hyperlink r:id="rId783" ref="A785"/>
    <hyperlink r:id="rId784" ref="A786"/>
    <hyperlink r:id="rId785" ref="A787"/>
    <hyperlink r:id="rId786" ref="A788"/>
    <hyperlink r:id="rId787" ref="A789"/>
    <hyperlink r:id="rId788" ref="A790"/>
    <hyperlink r:id="rId789" ref="A791"/>
    <hyperlink r:id="rId790" ref="A792"/>
    <hyperlink r:id="rId791" ref="A793"/>
    <hyperlink r:id="rId792" ref="A794"/>
    <hyperlink r:id="rId793" ref="A795"/>
    <hyperlink r:id="rId794" ref="A796"/>
    <hyperlink r:id="rId795" ref="A797"/>
    <hyperlink r:id="rId796" ref="A798"/>
    <hyperlink r:id="rId797" ref="A799"/>
    <hyperlink r:id="rId798" ref="A800"/>
    <hyperlink r:id="rId799" ref="A801"/>
    <hyperlink r:id="rId800" ref="A802"/>
    <hyperlink r:id="rId801" ref="A803"/>
    <hyperlink r:id="rId802" ref="A804"/>
    <hyperlink r:id="rId803" ref="A805"/>
    <hyperlink r:id="rId804" ref="A806"/>
    <hyperlink r:id="rId805" ref="A807"/>
    <hyperlink r:id="rId806" ref="A808"/>
    <hyperlink r:id="rId807" ref="A809"/>
    <hyperlink r:id="rId808" ref="A810"/>
    <hyperlink r:id="rId809" ref="A811"/>
    <hyperlink r:id="rId810" ref="A812"/>
    <hyperlink r:id="rId811" ref="A813"/>
    <hyperlink r:id="rId812" ref="A814"/>
    <hyperlink r:id="rId813" ref="A815"/>
    <hyperlink r:id="rId814" ref="A816"/>
    <hyperlink r:id="rId815" ref="A817"/>
    <hyperlink r:id="rId816" ref="A818"/>
    <hyperlink r:id="rId817" ref="A819"/>
    <hyperlink r:id="rId818" ref="A820"/>
    <hyperlink r:id="rId819" ref="A821"/>
    <hyperlink r:id="rId820" ref="A822"/>
    <hyperlink r:id="rId821" ref="A823"/>
    <hyperlink r:id="rId822" ref="A824"/>
    <hyperlink r:id="rId823" ref="A825"/>
    <hyperlink r:id="rId824" ref="A826"/>
    <hyperlink r:id="rId825" ref="A827"/>
    <hyperlink r:id="rId826" ref="A828"/>
    <hyperlink r:id="rId827" ref="A829"/>
    <hyperlink r:id="rId828" ref="A830"/>
    <hyperlink r:id="rId829" ref="A831"/>
    <hyperlink r:id="rId830" ref="A832"/>
    <hyperlink r:id="rId831" ref="A833"/>
    <hyperlink r:id="rId832" ref="A834"/>
    <hyperlink r:id="rId833" ref="A835"/>
    <hyperlink r:id="rId834" ref="A836"/>
    <hyperlink r:id="rId835" ref="A837"/>
    <hyperlink r:id="rId836" ref="A838"/>
    <hyperlink r:id="rId837" ref="A839"/>
    <hyperlink r:id="rId838" ref="A840"/>
    <hyperlink r:id="rId839" ref="A841"/>
    <hyperlink r:id="rId840" ref="A842"/>
    <hyperlink r:id="rId841" ref="A843"/>
    <hyperlink r:id="rId842" ref="A844"/>
    <hyperlink r:id="rId843" ref="A845"/>
    <hyperlink r:id="rId844" ref="A846"/>
    <hyperlink r:id="rId845" ref="A847"/>
    <hyperlink r:id="rId846" ref="A848"/>
    <hyperlink r:id="rId847" ref="A849"/>
    <hyperlink r:id="rId848" ref="A850"/>
    <hyperlink r:id="rId849" ref="A851"/>
    <hyperlink r:id="rId850" ref="A852"/>
    <hyperlink r:id="rId851" ref="A853"/>
    <hyperlink r:id="rId852" ref="A854"/>
    <hyperlink r:id="rId853" ref="A855"/>
    <hyperlink r:id="rId854" ref="A856"/>
    <hyperlink r:id="rId855" ref="A857"/>
    <hyperlink r:id="rId856" ref="A858"/>
    <hyperlink r:id="rId857" ref="A859"/>
    <hyperlink r:id="rId858" ref="A860"/>
    <hyperlink r:id="rId859" ref="A861"/>
    <hyperlink r:id="rId860" ref="A862"/>
    <hyperlink r:id="rId861" ref="A863"/>
    <hyperlink r:id="rId862" ref="A864"/>
    <hyperlink r:id="rId863" ref="A865"/>
    <hyperlink r:id="rId864" ref="A866"/>
    <hyperlink r:id="rId865" ref="A867"/>
    <hyperlink r:id="rId866" ref="A868"/>
    <hyperlink r:id="rId867" ref="A869"/>
    <hyperlink r:id="rId868" ref="A870"/>
    <hyperlink r:id="rId869" ref="A871"/>
    <hyperlink r:id="rId870" ref="A872"/>
    <hyperlink r:id="rId871" ref="A873"/>
    <hyperlink r:id="rId872" ref="A874"/>
    <hyperlink r:id="rId873" ref="A875"/>
    <hyperlink r:id="rId874" ref="A876"/>
    <hyperlink r:id="rId875" ref="A877"/>
    <hyperlink r:id="rId876" ref="A878"/>
    <hyperlink r:id="rId877" ref="A879"/>
    <hyperlink r:id="rId878" ref="A880"/>
    <hyperlink r:id="rId879" ref="A881"/>
    <hyperlink r:id="rId880" ref="A882"/>
    <hyperlink r:id="rId881" ref="A883"/>
    <hyperlink r:id="rId882" ref="A884"/>
    <hyperlink r:id="rId883" ref="A885"/>
    <hyperlink r:id="rId884" ref="A886"/>
    <hyperlink r:id="rId885" ref="A887"/>
    <hyperlink r:id="rId886" ref="A888"/>
    <hyperlink r:id="rId887" ref="A889"/>
    <hyperlink r:id="rId888" ref="A890"/>
    <hyperlink r:id="rId889" ref="A891"/>
    <hyperlink r:id="rId890" ref="A892"/>
    <hyperlink r:id="rId891" ref="A893"/>
    <hyperlink r:id="rId892" ref="A894"/>
    <hyperlink r:id="rId893" ref="A895"/>
    <hyperlink r:id="rId894" ref="A896"/>
    <hyperlink r:id="rId895" ref="A897"/>
    <hyperlink r:id="rId896" ref="A898"/>
    <hyperlink r:id="rId897" ref="A899"/>
    <hyperlink r:id="rId898" ref="A900"/>
    <hyperlink r:id="rId899" ref="A901"/>
    <hyperlink r:id="rId900" ref="A902"/>
    <hyperlink r:id="rId901" ref="A903"/>
    <hyperlink r:id="rId902" ref="A904"/>
    <hyperlink r:id="rId903" ref="A905"/>
    <hyperlink r:id="rId904" ref="A906"/>
    <hyperlink r:id="rId905" ref="A907"/>
  </hyperlinks>
  <drawing r:id="rId906"/>
</worksheet>
</file>